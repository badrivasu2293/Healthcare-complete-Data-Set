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AVI\Downloads\"/>
    </mc:Choice>
  </mc:AlternateContent>
  <xr:revisionPtr revIDLastSave="0" documentId="13_ncr:1_{3DFE8955-CF2A-4E2B-9B8A-A4BF2FFFE7AB}" xr6:coauthVersionLast="47" xr6:coauthVersionMax="47" xr10:uidLastSave="{00000000-0000-0000-0000-000000000000}"/>
  <bookViews>
    <workbookView xWindow="-120" yWindow="-120" windowWidth="20730" windowHeight="11160" firstSheet="5" activeTab="9" xr2:uid="{00000000-000D-0000-FFFF-FFFF00000000}"/>
  </bookViews>
  <sheets>
    <sheet name="PatientsMaster" sheetId="1" r:id="rId1"/>
    <sheet name="Diagnoses" sheetId="4" r:id="rId2"/>
    <sheet name="Procedures" sheetId="5" r:id="rId3"/>
    <sheet name="VitalsLog" sheetId="6" r:id="rId4"/>
    <sheet name="Charges" sheetId="7" r:id="rId5"/>
    <sheet name="InsuranceClaims" sheetId="8" r:id="rId6"/>
    <sheet name="ProvidersMaster" sheetId="9" r:id="rId7"/>
    <sheet name="Prescriptions" sheetId="11" r:id="rId8"/>
    <sheet name="Preprocess Audit" sheetId="12" r:id="rId9"/>
    <sheet name="Clean Patients" sheetId="13" r:id="rId10"/>
    <sheet name="Clean Vitals" sheetId="16" r:id="rId11"/>
    <sheet name="Clean Diagnoses" sheetId="19" r:id="rId12"/>
    <sheet name="Clean Procedures" sheetId="20" r:id="rId13"/>
    <sheet name="Clean Charges" sheetId="21" r:id="rId14"/>
    <sheet name="Clean Claims" sheetId="22" r:id="rId15"/>
    <sheet name="Clean Providers" sheetId="23" r:id="rId16"/>
    <sheet name="Clean Prescriptions" sheetId="24" r:id="rId17"/>
    <sheet name="Pivot Summary" sheetId="25" r:id="rId18"/>
  </sheets>
  <calcPr calcId="191028"/>
  <pivotCaches>
    <pivotCache cacheId="0" r:id="rId19"/>
    <pivotCache cacheId="1" r:id="rId20"/>
    <pivotCache cacheId="2" r:id="rId2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6" i="24" l="1"/>
  <c r="H410" i="24"/>
  <c r="H122" i="24"/>
  <c r="H10" i="24"/>
  <c r="H262" i="24"/>
  <c r="H499" i="24"/>
  <c r="H475" i="24"/>
  <c r="H451" i="24"/>
  <c r="H269" i="24"/>
  <c r="H25" i="24"/>
  <c r="H137" i="24"/>
  <c r="H81" i="24"/>
  <c r="H170" i="24"/>
  <c r="H312" i="24"/>
  <c r="H263" i="24"/>
  <c r="H32" i="24"/>
  <c r="H359" i="24"/>
  <c r="H80" i="24"/>
  <c r="H279" i="24"/>
  <c r="H380" i="24"/>
  <c r="H372" i="24"/>
  <c r="H132" i="24"/>
  <c r="H478" i="24"/>
  <c r="H34" i="24"/>
  <c r="H11" i="24"/>
  <c r="H211" i="24"/>
  <c r="H291" i="24"/>
  <c r="H424" i="24"/>
  <c r="H407" i="24"/>
  <c r="H338" i="24"/>
  <c r="H462" i="24"/>
  <c r="H405" i="24"/>
  <c r="H12" i="24"/>
  <c r="H118" i="24"/>
  <c r="H343" i="24"/>
  <c r="H399" i="24"/>
  <c r="H284" i="24"/>
  <c r="H188" i="24"/>
  <c r="H126" i="24"/>
  <c r="H237" i="24"/>
  <c r="H470" i="24"/>
  <c r="H296" i="24"/>
  <c r="H464" i="24"/>
  <c r="H88" i="24"/>
  <c r="H85" i="24"/>
  <c r="H145" i="24"/>
  <c r="H320" i="24"/>
  <c r="H471" i="24"/>
  <c r="H151" i="24"/>
  <c r="H203" i="24"/>
  <c r="H494" i="24"/>
  <c r="H113" i="24"/>
  <c r="H378" i="24"/>
  <c r="H323" i="24"/>
  <c r="H42" i="24"/>
  <c r="H46" i="24"/>
  <c r="H382" i="24"/>
  <c r="H120" i="24"/>
  <c r="H278" i="24"/>
  <c r="H141" i="24"/>
  <c r="H422" i="24"/>
  <c r="H305" i="24"/>
  <c r="H195" i="24"/>
  <c r="H437" i="24"/>
  <c r="H123" i="24"/>
  <c r="H107" i="24"/>
  <c r="H349" i="24"/>
  <c r="H468" i="24"/>
  <c r="H30" i="24"/>
  <c r="H292" i="24"/>
  <c r="H209" i="24"/>
  <c r="H388" i="24"/>
  <c r="H208" i="24"/>
  <c r="H43" i="24"/>
  <c r="H453" i="24"/>
  <c r="H339" i="24"/>
  <c r="H2" i="24"/>
  <c r="H270" i="24"/>
  <c r="H272" i="24"/>
  <c r="H234" i="24"/>
  <c r="H217" i="24"/>
  <c r="H455" i="24"/>
  <c r="H366" i="24"/>
  <c r="H193" i="24"/>
  <c r="H394" i="24"/>
  <c r="H90" i="24"/>
  <c r="H244" i="24"/>
  <c r="H267" i="24"/>
  <c r="H252" i="24"/>
  <c r="H247" i="24"/>
  <c r="H300" i="24"/>
  <c r="H140" i="24"/>
  <c r="H294" i="24"/>
  <c r="H501" i="24"/>
  <c r="H450" i="24"/>
  <c r="H58" i="24"/>
  <c r="H341" i="24"/>
  <c r="H334" i="24"/>
  <c r="H443" i="24"/>
  <c r="H242" i="24"/>
  <c r="H396" i="24"/>
  <c r="H330" i="24"/>
  <c r="H438" i="24"/>
  <c r="H474" i="24"/>
  <c r="H367" i="24"/>
  <c r="H212" i="24"/>
  <c r="H229" i="24"/>
  <c r="H165" i="24"/>
  <c r="H285" i="24"/>
  <c r="H400" i="24"/>
  <c r="H277" i="24"/>
  <c r="H15" i="24"/>
  <c r="H169" i="24"/>
  <c r="H362" i="24"/>
  <c r="H158" i="24"/>
  <c r="H142" i="24"/>
  <c r="H449" i="24"/>
  <c r="H185" i="24"/>
  <c r="H109" i="24"/>
  <c r="H157" i="24"/>
  <c r="H22" i="24"/>
  <c r="H260" i="24"/>
  <c r="H79" i="24"/>
  <c r="H368" i="24"/>
  <c r="H31" i="24"/>
  <c r="H391" i="24"/>
  <c r="H66" i="24"/>
  <c r="H313" i="24"/>
  <c r="H29" i="24"/>
  <c r="H224" i="24"/>
  <c r="H435" i="24"/>
  <c r="H344" i="24"/>
  <c r="H167" i="24"/>
  <c r="H413" i="24"/>
  <c r="H111" i="24"/>
  <c r="H198" i="24"/>
  <c r="H307" i="24"/>
  <c r="H496" i="24"/>
  <c r="H190" i="24"/>
  <c r="H376" i="24"/>
  <c r="H23" i="24"/>
  <c r="H373" i="24"/>
  <c r="H321" i="24"/>
  <c r="H370" i="24"/>
  <c r="H129" i="24"/>
  <c r="H310" i="24"/>
  <c r="H387" i="24"/>
  <c r="H444" i="24"/>
  <c r="H196" i="24"/>
  <c r="H297" i="24"/>
  <c r="H433" i="24"/>
  <c r="H325" i="24"/>
  <c r="H173" i="24"/>
  <c r="H4" i="24"/>
  <c r="H44" i="24"/>
  <c r="H179" i="24"/>
  <c r="H442" i="24"/>
  <c r="H302" i="24"/>
  <c r="H13" i="24"/>
  <c r="H456" i="24"/>
  <c r="H256" i="24"/>
  <c r="H466" i="24"/>
  <c r="H314" i="24"/>
  <c r="H139" i="24"/>
  <c r="H290" i="24"/>
  <c r="H92" i="24"/>
  <c r="H33" i="24"/>
  <c r="H149" i="24"/>
  <c r="H347" i="24"/>
  <c r="H152" i="24"/>
  <c r="H348" i="24"/>
  <c r="H308" i="24"/>
  <c r="H288" i="24"/>
  <c r="H72" i="24"/>
  <c r="H14" i="24"/>
  <c r="H178" i="24"/>
  <c r="H412" i="24"/>
  <c r="H206" i="24"/>
  <c r="H319" i="24"/>
  <c r="H103" i="24"/>
  <c r="H223" i="24"/>
  <c r="H16" i="24"/>
  <c r="H164" i="24"/>
  <c r="H469" i="24"/>
  <c r="H375" i="24"/>
  <c r="H428" i="24"/>
  <c r="H303" i="24"/>
  <c r="H459" i="24"/>
  <c r="H255" i="24"/>
  <c r="H231" i="24"/>
  <c r="H390" i="24"/>
  <c r="H41" i="24"/>
  <c r="H207" i="24"/>
  <c r="H490" i="24"/>
  <c r="H446" i="24"/>
  <c r="H276" i="24"/>
  <c r="H202" i="24"/>
  <c r="H127" i="24"/>
  <c r="H17" i="24"/>
  <c r="H295" i="24"/>
  <c r="H363" i="24"/>
  <c r="H436" i="24"/>
  <c r="H336" i="24"/>
  <c r="H448" i="24"/>
  <c r="H392" i="24"/>
  <c r="H84" i="24"/>
  <c r="H487" i="24"/>
  <c r="H153" i="24"/>
  <c r="H379" i="24"/>
  <c r="H77" i="24"/>
  <c r="H63" i="24"/>
  <c r="H221" i="24"/>
  <c r="H457" i="24"/>
  <c r="H274" i="24"/>
  <c r="H243" i="24"/>
  <c r="H452" i="24"/>
  <c r="H393" i="24"/>
  <c r="H489" i="24"/>
  <c r="H439" i="24"/>
  <c r="H340" i="24"/>
  <c r="H143" i="24"/>
  <c r="H245" i="24"/>
  <c r="H162" i="24"/>
  <c r="H383" i="24"/>
  <c r="H248" i="24"/>
  <c r="H36" i="24"/>
  <c r="H309" i="24"/>
  <c r="H91" i="24"/>
  <c r="H324" i="24"/>
  <c r="H148" i="24"/>
  <c r="H78" i="24"/>
  <c r="H60" i="24"/>
  <c r="H374" i="24"/>
  <c r="H222" i="24"/>
  <c r="H430" i="24"/>
  <c r="H369" i="24"/>
  <c r="H365" i="24"/>
  <c r="H50" i="24"/>
  <c r="H250" i="24"/>
  <c r="H24" i="24"/>
  <c r="H354" i="24"/>
  <c r="H45" i="24"/>
  <c r="H216" i="24"/>
  <c r="H485" i="24"/>
  <c r="H345" i="24"/>
  <c r="H83" i="24"/>
  <c r="H96" i="24"/>
  <c r="H114" i="24"/>
  <c r="H18" i="24"/>
  <c r="H492" i="24"/>
  <c r="H204" i="24"/>
  <c r="H161" i="24"/>
  <c r="H337" i="24"/>
  <c r="H328" i="24"/>
  <c r="H417" i="24"/>
  <c r="H251" i="24"/>
  <c r="H117" i="24"/>
  <c r="H220" i="24"/>
  <c r="H197" i="24"/>
  <c r="H73" i="24"/>
  <c r="H238" i="24"/>
  <c r="H275" i="24"/>
  <c r="H299" i="24"/>
  <c r="H75" i="24"/>
  <c r="H377" i="24"/>
  <c r="H21" i="24"/>
  <c r="H465" i="24"/>
  <c r="H384" i="24"/>
  <c r="H76" i="24"/>
  <c r="H191" i="24"/>
  <c r="H98" i="24"/>
  <c r="H39" i="24"/>
  <c r="H416" i="24"/>
  <c r="H99" i="24"/>
  <c r="H69" i="24"/>
  <c r="H484" i="24"/>
  <c r="H108" i="24"/>
  <c r="H230" i="24"/>
  <c r="H495" i="24"/>
  <c r="H27" i="24"/>
  <c r="H181" i="24"/>
  <c r="H322" i="24"/>
  <c r="H214" i="24"/>
  <c r="H35" i="24"/>
  <c r="H408" i="24"/>
  <c r="H419" i="24"/>
  <c r="H138" i="24"/>
  <c r="H445" i="24"/>
  <c r="H172" i="24"/>
  <c r="H389" i="24"/>
  <c r="H350" i="24"/>
  <c r="H6" i="24"/>
  <c r="H94" i="24"/>
  <c r="H357" i="24"/>
  <c r="H48" i="24"/>
  <c r="H414" i="24"/>
  <c r="H315" i="24"/>
  <c r="H116" i="24"/>
  <c r="H395" i="24"/>
  <c r="H342" i="24"/>
  <c r="H287" i="24"/>
  <c r="H493" i="24"/>
  <c r="H316" i="24"/>
  <c r="H87" i="24"/>
  <c r="H144" i="24"/>
  <c r="H356" i="24"/>
  <c r="H236" i="24"/>
  <c r="H415" i="24"/>
  <c r="H486" i="24"/>
  <c r="H235" i="24"/>
  <c r="H458" i="24"/>
  <c r="H253" i="24"/>
  <c r="H479" i="24"/>
  <c r="H371" i="24"/>
  <c r="H105" i="24"/>
  <c r="H249" i="24"/>
  <c r="H346" i="24"/>
  <c r="H409" i="24"/>
  <c r="H186" i="24"/>
  <c r="H55" i="24"/>
  <c r="H51" i="24"/>
  <c r="H101" i="24"/>
  <c r="H67" i="24"/>
  <c r="H26" i="24"/>
  <c r="H423" i="24"/>
  <c r="H19" i="24"/>
  <c r="H182" i="24"/>
  <c r="H219" i="24"/>
  <c r="H425" i="24"/>
  <c r="H358" i="24"/>
  <c r="H168" i="24"/>
  <c r="H74" i="24"/>
  <c r="H225" i="24"/>
  <c r="H215" i="24"/>
  <c r="H53" i="24"/>
  <c r="H7" i="24"/>
  <c r="H477" i="24"/>
  <c r="H125" i="24"/>
  <c r="H187" i="24"/>
  <c r="H326" i="24"/>
  <c r="H281" i="24"/>
  <c r="H205" i="24"/>
  <c r="H218" i="24"/>
  <c r="H289" i="24"/>
  <c r="H401" i="24"/>
  <c r="H189" i="24"/>
  <c r="H95" i="24"/>
  <c r="H420" i="24"/>
  <c r="H128" i="24"/>
  <c r="H361" i="24"/>
  <c r="H100" i="24"/>
  <c r="H175" i="24"/>
  <c r="H57" i="24"/>
  <c r="H402" i="24"/>
  <c r="H476" i="24"/>
  <c r="H482" i="24"/>
  <c r="H239" i="24"/>
  <c r="H431" i="24"/>
  <c r="H258" i="24"/>
  <c r="H62" i="24"/>
  <c r="H432" i="24"/>
  <c r="H447" i="24"/>
  <c r="H163" i="24"/>
  <c r="H327" i="24"/>
  <c r="H498" i="24"/>
  <c r="H360" i="24"/>
  <c r="H89" i="24"/>
  <c r="H293" i="24"/>
  <c r="H332" i="24"/>
  <c r="H481" i="24"/>
  <c r="H306" i="24"/>
  <c r="H180" i="24"/>
  <c r="H271" i="24"/>
  <c r="H52" i="24"/>
  <c r="H454" i="24"/>
  <c r="H192" i="24"/>
  <c r="H264" i="24"/>
  <c r="H427" i="24"/>
  <c r="H5" i="24"/>
  <c r="H110" i="24"/>
  <c r="H265" i="24"/>
  <c r="H199" i="24"/>
  <c r="H176" i="24"/>
  <c r="H282" i="24"/>
  <c r="H82" i="24"/>
  <c r="H65" i="24"/>
  <c r="H3" i="24"/>
  <c r="H38" i="24"/>
  <c r="H283" i="24"/>
  <c r="H86" i="24"/>
  <c r="H134" i="24"/>
  <c r="H93" i="24"/>
  <c r="H257" i="24"/>
  <c r="H183" i="24"/>
  <c r="H500" i="24"/>
  <c r="H174" i="24"/>
  <c r="H298" i="24"/>
  <c r="H434" i="24"/>
  <c r="H268" i="24"/>
  <c r="H47" i="24"/>
  <c r="H488" i="24"/>
  <c r="H68" i="24"/>
  <c r="H480" i="24"/>
  <c r="H121" i="24"/>
  <c r="H318" i="24"/>
  <c r="H403" i="24"/>
  <c r="H150" i="24"/>
  <c r="H37" i="24"/>
  <c r="H461" i="24"/>
  <c r="H166" i="24"/>
  <c r="H228" i="24"/>
  <c r="H429" i="24"/>
  <c r="H49" i="24"/>
  <c r="H233" i="24"/>
  <c r="H441" i="24"/>
  <c r="H317" i="24"/>
  <c r="H404" i="24"/>
  <c r="H40" i="24"/>
  <c r="H177" i="24"/>
  <c r="H467" i="24"/>
  <c r="H232" i="24"/>
  <c r="H104" i="24"/>
  <c r="H226" i="24"/>
  <c r="H335" i="24"/>
  <c r="H112" i="24"/>
  <c r="H184" i="24"/>
  <c r="H210" i="24"/>
  <c r="H246" i="24"/>
  <c r="H200" i="24"/>
  <c r="H301" i="24"/>
  <c r="H61" i="24"/>
  <c r="H473" i="24"/>
  <c r="H124" i="24"/>
  <c r="H240" i="24"/>
  <c r="H266" i="24"/>
  <c r="H147" i="24"/>
  <c r="H385" i="24"/>
  <c r="H70" i="24"/>
  <c r="H146" i="24"/>
  <c r="H421" i="24"/>
  <c r="H364" i="24"/>
  <c r="H329" i="24"/>
  <c r="H241" i="24"/>
  <c r="H9" i="24"/>
  <c r="H194" i="24"/>
  <c r="H135" i="24"/>
  <c r="H227" i="24"/>
  <c r="H64" i="24"/>
  <c r="H56" i="24"/>
  <c r="H102" i="24"/>
  <c r="H156" i="24"/>
  <c r="H71" i="24"/>
  <c r="H280" i="24"/>
  <c r="H8" i="24"/>
  <c r="H381" i="24"/>
  <c r="H171" i="24"/>
  <c r="H254" i="24"/>
  <c r="H133" i="24"/>
  <c r="H386" i="24"/>
  <c r="H159" i="24"/>
  <c r="H398" i="24"/>
  <c r="H355" i="24"/>
  <c r="H28" i="24"/>
  <c r="H261" i="24"/>
  <c r="H273" i="24"/>
  <c r="H154" i="24"/>
  <c r="H351" i="24"/>
  <c r="H160" i="24"/>
  <c r="H59" i="24"/>
  <c r="H119" i="24"/>
  <c r="H463" i="24"/>
  <c r="H54" i="24"/>
  <c r="H460" i="24"/>
  <c r="H131" i="24"/>
  <c r="H418" i="24"/>
  <c r="H304" i="24"/>
  <c r="H411" i="24"/>
  <c r="H397" i="24"/>
  <c r="H259" i="24"/>
  <c r="H311" i="24"/>
  <c r="H97" i="24"/>
  <c r="H115" i="24"/>
  <c r="H440" i="24"/>
  <c r="H483" i="24"/>
  <c r="H331" i="24"/>
  <c r="H472" i="24"/>
  <c r="H353" i="24"/>
  <c r="H497" i="24"/>
  <c r="H20" i="24"/>
  <c r="H491" i="24"/>
  <c r="H213" i="24"/>
  <c r="H333" i="24"/>
  <c r="H106" i="24"/>
  <c r="H155" i="24"/>
  <c r="H136" i="24"/>
  <c r="H352" i="24"/>
  <c r="H406" i="24"/>
  <c r="H426" i="24"/>
  <c r="H201" i="24"/>
  <c r="H130" i="24"/>
  <c r="H22" i="22"/>
  <c r="H274" i="22"/>
  <c r="H45" i="22"/>
  <c r="H368" i="22"/>
  <c r="H411" i="22"/>
  <c r="H262" i="22"/>
  <c r="H15" i="22"/>
  <c r="H263" i="22"/>
  <c r="H13" i="22"/>
  <c r="H193" i="22"/>
  <c r="H57" i="22"/>
  <c r="H303" i="22"/>
  <c r="H210" i="22"/>
  <c r="H311" i="22"/>
  <c r="H156" i="22"/>
  <c r="H179" i="22"/>
  <c r="H43" i="22"/>
  <c r="H257" i="22"/>
  <c r="H474" i="22"/>
  <c r="H261" i="22"/>
  <c r="H227" i="22"/>
  <c r="H400" i="22"/>
  <c r="H182" i="22"/>
  <c r="H379" i="22"/>
  <c r="H328" i="22"/>
  <c r="H52" i="22"/>
  <c r="H236" i="22"/>
  <c r="H429" i="22"/>
  <c r="H398" i="22"/>
  <c r="H357" i="22"/>
  <c r="H394" i="22"/>
  <c r="H427" i="22"/>
  <c r="H366" i="22"/>
  <c r="H237" i="22"/>
  <c r="H132" i="22"/>
  <c r="H404" i="22"/>
  <c r="H116" i="22"/>
  <c r="H399" i="22"/>
  <c r="H121" i="22"/>
  <c r="H228" i="22"/>
  <c r="H316" i="22"/>
  <c r="H46" i="22"/>
  <c r="H432" i="22"/>
  <c r="H61" i="22"/>
  <c r="H295" i="22"/>
  <c r="H150" i="22"/>
  <c r="H447" i="22"/>
  <c r="H167" i="22"/>
  <c r="H355" i="22"/>
  <c r="H416" i="22"/>
  <c r="H136" i="22"/>
  <c r="H148" i="22"/>
  <c r="H462" i="22"/>
  <c r="H133" i="22"/>
  <c r="H446" i="22"/>
  <c r="H289" i="22"/>
  <c r="H130" i="22"/>
  <c r="H367" i="22"/>
  <c r="H284" i="22"/>
  <c r="H471" i="22"/>
  <c r="H139" i="22"/>
  <c r="H346" i="22"/>
  <c r="H11" i="22"/>
  <c r="H249" i="22"/>
  <c r="H496" i="22"/>
  <c r="H391" i="22"/>
  <c r="H402" i="22"/>
  <c r="H229" i="22"/>
  <c r="H265" i="22"/>
  <c r="H477" i="22"/>
  <c r="H351" i="22"/>
  <c r="H291" i="22"/>
  <c r="H105" i="22"/>
  <c r="H470" i="22"/>
  <c r="H342" i="22"/>
  <c r="H104" i="22"/>
  <c r="H230" i="22"/>
  <c r="H92" i="22"/>
  <c r="H405" i="22"/>
  <c r="H231" i="22"/>
  <c r="H207" i="22"/>
  <c r="H415" i="22"/>
  <c r="H51" i="22"/>
  <c r="H195" i="22"/>
  <c r="H120" i="22"/>
  <c r="H27" i="22"/>
  <c r="H67" i="22"/>
  <c r="H302" i="22"/>
  <c r="H317" i="22"/>
  <c r="H119" i="22"/>
  <c r="H266" i="22"/>
  <c r="H457" i="22"/>
  <c r="H122" i="22"/>
  <c r="H273" i="22"/>
  <c r="H250" i="22"/>
  <c r="H472" i="22"/>
  <c r="H332" i="22"/>
  <c r="H390" i="22"/>
  <c r="H244" i="22"/>
  <c r="H114" i="22"/>
  <c r="H395" i="22"/>
  <c r="H214" i="22"/>
  <c r="H103" i="22"/>
  <c r="H60" i="22"/>
  <c r="H95" i="22"/>
  <c r="H372" i="22"/>
  <c r="H387" i="22"/>
  <c r="H173" i="22"/>
  <c r="H160" i="22"/>
  <c r="H166" i="22"/>
  <c r="H243" i="22"/>
  <c r="H23" i="22"/>
  <c r="H178" i="22"/>
  <c r="H259" i="22"/>
  <c r="H281" i="22"/>
  <c r="H47" i="22"/>
  <c r="H310" i="22"/>
  <c r="H54" i="22"/>
  <c r="H435" i="22"/>
  <c r="H278" i="22"/>
  <c r="H82" i="22"/>
  <c r="H101" i="22"/>
  <c r="H438" i="22"/>
  <c r="H255" i="22"/>
  <c r="H238" i="22"/>
  <c r="H42" i="22"/>
  <c r="H417" i="22"/>
  <c r="H314" i="22"/>
  <c r="H225" i="22"/>
  <c r="H30" i="22"/>
  <c r="H29" i="22"/>
  <c r="H363" i="22"/>
  <c r="H340" i="22"/>
  <c r="H96" i="22"/>
  <c r="H68" i="22"/>
  <c r="H211" i="22"/>
  <c r="H365" i="22"/>
  <c r="H72" i="22"/>
  <c r="H476" i="22"/>
  <c r="H485" i="22"/>
  <c r="H375" i="22"/>
  <c r="H12" i="22"/>
  <c r="H159" i="22"/>
  <c r="H118" i="22"/>
  <c r="H296" i="22"/>
  <c r="H129" i="22"/>
  <c r="H31" i="22"/>
  <c r="H191" i="22"/>
  <c r="H84" i="22"/>
  <c r="H336" i="22"/>
  <c r="H352" i="22"/>
  <c r="H36" i="22"/>
  <c r="H327" i="22"/>
  <c r="H349" i="22"/>
  <c r="H306" i="22"/>
  <c r="H192" i="22"/>
  <c r="H300" i="22"/>
  <c r="H171" i="22"/>
  <c r="H98" i="22"/>
  <c r="H465" i="22"/>
  <c r="H141" i="22"/>
  <c r="H481" i="22"/>
  <c r="H460" i="22"/>
  <c r="H362" i="22"/>
  <c r="H185" i="22"/>
  <c r="H479" i="22"/>
  <c r="H3" i="22"/>
  <c r="H94" i="22"/>
  <c r="H433" i="22"/>
  <c r="H498" i="22"/>
  <c r="H293" i="22"/>
  <c r="H70" i="22"/>
  <c r="H466" i="22"/>
  <c r="H467" i="22"/>
  <c r="H439" i="22"/>
  <c r="H343" i="22"/>
  <c r="H187" i="22"/>
  <c r="H318" i="22"/>
  <c r="H16" i="22"/>
  <c r="H494" i="22"/>
  <c r="H145" i="22"/>
  <c r="H181" i="22"/>
  <c r="H330" i="22"/>
  <c r="H469" i="22"/>
  <c r="H449" i="22"/>
  <c r="H331" i="22"/>
  <c r="H493" i="22"/>
  <c r="H183" i="22"/>
  <c r="H154" i="22"/>
  <c r="H322" i="22"/>
  <c r="H8" i="22"/>
  <c r="H356" i="22"/>
  <c r="H73" i="22"/>
  <c r="H287" i="22"/>
  <c r="H232" i="22"/>
  <c r="H279" i="22"/>
  <c r="H428" i="22"/>
  <c r="H184" i="22"/>
  <c r="H125" i="22"/>
  <c r="H41" i="22"/>
  <c r="H406" i="22"/>
  <c r="H34" i="22"/>
  <c r="H91" i="22"/>
  <c r="H50" i="22"/>
  <c r="H397" i="22"/>
  <c r="H106" i="22"/>
  <c r="H285" i="22"/>
  <c r="H418" i="22"/>
  <c r="H325" i="22"/>
  <c r="H14" i="22"/>
  <c r="H209" i="22"/>
  <c r="H137" i="22"/>
  <c r="H111" i="22"/>
  <c r="H380" i="22"/>
  <c r="H99" i="22"/>
  <c r="H409" i="22"/>
  <c r="H381" i="22"/>
  <c r="H298" i="22"/>
  <c r="H339" i="22"/>
  <c r="H18" i="22"/>
  <c r="H44" i="22"/>
  <c r="H128" i="22"/>
  <c r="H55" i="22"/>
  <c r="H286" i="22"/>
  <c r="H81" i="22"/>
  <c r="H448" i="22"/>
  <c r="H443" i="22"/>
  <c r="H407" i="22"/>
  <c r="H155" i="22"/>
  <c r="H177" i="22"/>
  <c r="H491" i="22"/>
  <c r="H234" i="22"/>
  <c r="H389" i="22"/>
  <c r="H305" i="22"/>
  <c r="H161" i="22"/>
  <c r="H455" i="22"/>
  <c r="H426" i="22"/>
  <c r="H239" i="22"/>
  <c r="H164" i="22"/>
  <c r="H2" i="22"/>
  <c r="H319" i="22"/>
  <c r="H313" i="22"/>
  <c r="H377" i="22"/>
  <c r="H256" i="22"/>
  <c r="H486" i="22"/>
  <c r="H33" i="22"/>
  <c r="H396" i="22"/>
  <c r="H329" i="22"/>
  <c r="H269" i="22"/>
  <c r="H419" i="22"/>
  <c r="H58" i="22"/>
  <c r="H212" i="22"/>
  <c r="H53" i="22"/>
  <c r="H424" i="22"/>
  <c r="H168" i="22"/>
  <c r="H189" i="22"/>
  <c r="H109" i="22"/>
  <c r="H385" i="22"/>
  <c r="H335" i="22"/>
  <c r="H176" i="22"/>
  <c r="H361" i="22"/>
  <c r="H480" i="22"/>
  <c r="H180" i="22"/>
  <c r="H74" i="22"/>
  <c r="H392" i="22"/>
  <c r="H347" i="22"/>
  <c r="H456" i="22"/>
  <c r="H188" i="22"/>
  <c r="H321" i="22"/>
  <c r="H202" i="22"/>
  <c r="H267" i="22"/>
  <c r="H358" i="22"/>
  <c r="H334" i="22"/>
  <c r="H401" i="22"/>
  <c r="H140" i="22"/>
  <c r="H37" i="22"/>
  <c r="H235" i="22"/>
  <c r="H97" i="22"/>
  <c r="H451" i="22"/>
  <c r="H123" i="22"/>
  <c r="H38" i="22"/>
  <c r="H436" i="22"/>
  <c r="H221" i="22"/>
  <c r="H201" i="22"/>
  <c r="H100" i="22"/>
  <c r="H75" i="22"/>
  <c r="H248" i="22"/>
  <c r="H371" i="22"/>
  <c r="H17" i="22"/>
  <c r="H307" i="22"/>
  <c r="H499" i="22"/>
  <c r="H260" i="22"/>
  <c r="H134" i="22"/>
  <c r="H245" i="22"/>
  <c r="H359" i="22"/>
  <c r="H276" i="22"/>
  <c r="H333" i="22"/>
  <c r="H35" i="22"/>
  <c r="H203" i="22"/>
  <c r="H253" i="22"/>
  <c r="H213" i="22"/>
  <c r="H199" i="22"/>
  <c r="H77" i="22"/>
  <c r="H500" i="22"/>
  <c r="H170" i="22"/>
  <c r="H270" i="22"/>
  <c r="H226" i="22"/>
  <c r="H85" i="22"/>
  <c r="H495" i="22"/>
  <c r="H206" i="22"/>
  <c r="H65" i="22"/>
  <c r="H437" i="22"/>
  <c r="H370" i="22"/>
  <c r="H149" i="22"/>
  <c r="H444" i="22"/>
  <c r="H422" i="22"/>
  <c r="H6" i="22"/>
  <c r="H413" i="22"/>
  <c r="H473" i="22"/>
  <c r="H24" i="22"/>
  <c r="H454" i="22"/>
  <c r="H190" i="22"/>
  <c r="H40" i="22"/>
  <c r="H143" i="22"/>
  <c r="H475" i="22"/>
  <c r="H271" i="22"/>
  <c r="H292" i="22"/>
  <c r="H20" i="22"/>
  <c r="H131" i="22"/>
  <c r="H341" i="22"/>
  <c r="H110" i="22"/>
  <c r="H445" i="22"/>
  <c r="H326" i="22"/>
  <c r="H501" i="22"/>
  <c r="H384" i="22"/>
  <c r="H434" i="22"/>
  <c r="H459" i="22"/>
  <c r="H283" i="22"/>
  <c r="H241" i="22"/>
  <c r="H324" i="22"/>
  <c r="H93" i="22"/>
  <c r="H89" i="22"/>
  <c r="H315" i="22"/>
  <c r="H102" i="22"/>
  <c r="H488" i="22"/>
  <c r="H373" i="22"/>
  <c r="H162" i="22"/>
  <c r="H344" i="22"/>
  <c r="H56" i="22"/>
  <c r="H247" i="22"/>
  <c r="H299" i="22"/>
  <c r="H78" i="22"/>
  <c r="H345" i="22"/>
  <c r="H431" i="22"/>
  <c r="H4" i="22"/>
  <c r="H408" i="22"/>
  <c r="H489" i="22"/>
  <c r="H304" i="22"/>
  <c r="H414" i="22"/>
  <c r="H88" i="22"/>
  <c r="H152" i="22"/>
  <c r="H135" i="22"/>
  <c r="H450" i="22"/>
  <c r="H254" i="22"/>
  <c r="H163" i="22"/>
  <c r="H63" i="22"/>
  <c r="H425" i="22"/>
  <c r="H420" i="22"/>
  <c r="H9" i="22"/>
  <c r="H142" i="22"/>
  <c r="H28" i="22"/>
  <c r="H463" i="22"/>
  <c r="H90" i="22"/>
  <c r="H246" i="22"/>
  <c r="H320" i="22"/>
  <c r="H478" i="22"/>
  <c r="H441" i="22"/>
  <c r="H482" i="22"/>
  <c r="H66" i="22"/>
  <c r="H353" i="22"/>
  <c r="H216" i="22"/>
  <c r="H32" i="22"/>
  <c r="H19" i="22"/>
  <c r="H364" i="22"/>
  <c r="H337" i="22"/>
  <c r="H378" i="22"/>
  <c r="H294" i="22"/>
  <c r="H87" i="22"/>
  <c r="H242" i="22"/>
  <c r="H113" i="22"/>
  <c r="H275" i="22"/>
  <c r="H301" i="22"/>
  <c r="H410" i="22"/>
  <c r="H308" i="22"/>
  <c r="H223" i="22"/>
  <c r="H423" i="22"/>
  <c r="H144" i="22"/>
  <c r="H430" i="22"/>
  <c r="H25" i="22"/>
  <c r="H62" i="22"/>
  <c r="H21" i="22"/>
  <c r="H174" i="22"/>
  <c r="H147" i="22"/>
  <c r="H107" i="22"/>
  <c r="H26" i="22"/>
  <c r="H64" i="22"/>
  <c r="H138" i="22"/>
  <c r="H354" i="22"/>
  <c r="H442" i="22"/>
  <c r="H412" i="22"/>
  <c r="H492" i="22"/>
  <c r="H215" i="22"/>
  <c r="H175" i="22"/>
  <c r="H71" i="22"/>
  <c r="H497" i="22"/>
  <c r="H5" i="22"/>
  <c r="H222" i="22"/>
  <c r="H165" i="22"/>
  <c r="H490" i="22"/>
  <c r="H112" i="22"/>
  <c r="H200" i="22"/>
  <c r="H86" i="22"/>
  <c r="H197" i="22"/>
  <c r="H39" i="22"/>
  <c r="H277" i="22"/>
  <c r="H288" i="22"/>
  <c r="H240" i="22"/>
  <c r="H127" i="22"/>
  <c r="H117" i="22"/>
  <c r="H464" i="22"/>
  <c r="H484" i="22"/>
  <c r="H421" i="22"/>
  <c r="H146" i="22"/>
  <c r="H157" i="22"/>
  <c r="H376" i="22"/>
  <c r="H280" i="22"/>
  <c r="H452" i="22"/>
  <c r="H108" i="22"/>
  <c r="H272" i="22"/>
  <c r="H282" i="22"/>
  <c r="H369" i="22"/>
  <c r="H348" i="22"/>
  <c r="H218" i="22"/>
  <c r="H374" i="22"/>
  <c r="H186" i="22"/>
  <c r="H194" i="22"/>
  <c r="H48" i="22"/>
  <c r="H338" i="22"/>
  <c r="H204" i="22"/>
  <c r="H312" i="22"/>
  <c r="H403" i="22"/>
  <c r="H69" i="22"/>
  <c r="H7" i="22"/>
  <c r="H172" i="22"/>
  <c r="H233" i="22"/>
  <c r="H126" i="22"/>
  <c r="H10" i="22"/>
  <c r="H350" i="22"/>
  <c r="H76" i="22"/>
  <c r="H220" i="22"/>
  <c r="H483" i="22"/>
  <c r="H208" i="22"/>
  <c r="H198" i="22"/>
  <c r="H252" i="22"/>
  <c r="H264" i="22"/>
  <c r="H453" i="22"/>
  <c r="H196" i="22"/>
  <c r="H205" i="22"/>
  <c r="H290" i="22"/>
  <c r="H487" i="22"/>
  <c r="H388" i="22"/>
  <c r="H59" i="22"/>
  <c r="H309" i="22"/>
  <c r="H360" i="22"/>
  <c r="H83" i="22"/>
  <c r="H251" i="22"/>
  <c r="H297" i="22"/>
  <c r="H461" i="22"/>
  <c r="H49" i="22"/>
  <c r="H219" i="22"/>
  <c r="H440" i="22"/>
  <c r="H323" i="22"/>
  <c r="H80" i="22"/>
  <c r="H151" i="22"/>
  <c r="H224" i="22"/>
  <c r="H386" i="22"/>
  <c r="H393" i="22"/>
  <c r="H268" i="22"/>
  <c r="H217" i="22"/>
  <c r="H169" i="22"/>
  <c r="H158" i="22"/>
  <c r="H124" i="22"/>
  <c r="H382" i="22"/>
  <c r="H258" i="22"/>
  <c r="H458" i="22"/>
  <c r="H153" i="22"/>
  <c r="H468" i="22"/>
  <c r="H383" i="22"/>
  <c r="H115" i="22"/>
  <c r="H79" i="22"/>
  <c r="G22" i="22"/>
  <c r="G274" i="22"/>
  <c r="G45" i="22"/>
  <c r="G368" i="22"/>
  <c r="G411" i="22"/>
  <c r="G262" i="22"/>
  <c r="G15" i="22"/>
  <c r="G263" i="22"/>
  <c r="G13" i="22"/>
  <c r="G193" i="22"/>
  <c r="G57" i="22"/>
  <c r="G303" i="22"/>
  <c r="G210" i="22"/>
  <c r="G311" i="22"/>
  <c r="G156" i="22"/>
  <c r="G179" i="22"/>
  <c r="G43" i="22"/>
  <c r="G257" i="22"/>
  <c r="G474" i="22"/>
  <c r="G261" i="22"/>
  <c r="G227" i="22"/>
  <c r="G400" i="22"/>
  <c r="G182" i="22"/>
  <c r="G379" i="22"/>
  <c r="G328" i="22"/>
  <c r="G52" i="22"/>
  <c r="G236" i="22"/>
  <c r="G429" i="22"/>
  <c r="G398" i="22"/>
  <c r="G357" i="22"/>
  <c r="G394" i="22"/>
  <c r="G427" i="22"/>
  <c r="G366" i="22"/>
  <c r="G237" i="22"/>
  <c r="G132" i="22"/>
  <c r="G404" i="22"/>
  <c r="G116" i="22"/>
  <c r="G399" i="22"/>
  <c r="G121" i="22"/>
  <c r="G228" i="22"/>
  <c r="G316" i="22"/>
  <c r="G46" i="22"/>
  <c r="G432" i="22"/>
  <c r="G61" i="22"/>
  <c r="G295" i="22"/>
  <c r="G150" i="22"/>
  <c r="G447" i="22"/>
  <c r="G167" i="22"/>
  <c r="G355" i="22"/>
  <c r="G416" i="22"/>
  <c r="G136" i="22"/>
  <c r="G148" i="22"/>
  <c r="G462" i="22"/>
  <c r="G133" i="22"/>
  <c r="G446" i="22"/>
  <c r="G289" i="22"/>
  <c r="G130" i="22"/>
  <c r="G367" i="22"/>
  <c r="G284" i="22"/>
  <c r="G471" i="22"/>
  <c r="G139" i="22"/>
  <c r="G346" i="22"/>
  <c r="G11" i="22"/>
  <c r="G249" i="22"/>
  <c r="G496" i="22"/>
  <c r="G391" i="22"/>
  <c r="G402" i="22"/>
  <c r="G229" i="22"/>
  <c r="G265" i="22"/>
  <c r="G477" i="22"/>
  <c r="G351" i="22"/>
  <c r="G291" i="22"/>
  <c r="G105" i="22"/>
  <c r="G470" i="22"/>
  <c r="G342" i="22"/>
  <c r="G104" i="22"/>
  <c r="G230" i="22"/>
  <c r="G92" i="22"/>
  <c r="G405" i="22"/>
  <c r="G231" i="22"/>
  <c r="G207" i="22"/>
  <c r="G415" i="22"/>
  <c r="G51" i="22"/>
  <c r="G195" i="22"/>
  <c r="G120" i="22"/>
  <c r="G27" i="22"/>
  <c r="G67" i="22"/>
  <c r="G302" i="22"/>
  <c r="G317" i="22"/>
  <c r="G119" i="22"/>
  <c r="G266" i="22"/>
  <c r="G457" i="22"/>
  <c r="G122" i="22"/>
  <c r="G273" i="22"/>
  <c r="G250" i="22"/>
  <c r="G472" i="22"/>
  <c r="G332" i="22"/>
  <c r="G390" i="22"/>
  <c r="G244" i="22"/>
  <c r="G114" i="22"/>
  <c r="G395" i="22"/>
  <c r="G214" i="22"/>
  <c r="G103" i="22"/>
  <c r="G60" i="22"/>
  <c r="G95" i="22"/>
  <c r="G372" i="22"/>
  <c r="G387" i="22"/>
  <c r="G173" i="22"/>
  <c r="G160" i="22"/>
  <c r="G166" i="22"/>
  <c r="G243" i="22"/>
  <c r="G23" i="22"/>
  <c r="G178" i="22"/>
  <c r="G259" i="22"/>
  <c r="G281" i="22"/>
  <c r="G47" i="22"/>
  <c r="G310" i="22"/>
  <c r="G54" i="22"/>
  <c r="G435" i="22"/>
  <c r="G278" i="22"/>
  <c r="G82" i="22"/>
  <c r="G101" i="22"/>
  <c r="G438" i="22"/>
  <c r="G255" i="22"/>
  <c r="G238" i="22"/>
  <c r="G42" i="22"/>
  <c r="G417" i="22"/>
  <c r="G314" i="22"/>
  <c r="G225" i="22"/>
  <c r="G30" i="22"/>
  <c r="G29" i="22"/>
  <c r="G363" i="22"/>
  <c r="G340" i="22"/>
  <c r="G96" i="22"/>
  <c r="G68" i="22"/>
  <c r="G211" i="22"/>
  <c r="G365" i="22"/>
  <c r="G72" i="22"/>
  <c r="G476" i="22"/>
  <c r="G485" i="22"/>
  <c r="G375" i="22"/>
  <c r="G12" i="22"/>
  <c r="G159" i="22"/>
  <c r="G118" i="22"/>
  <c r="G296" i="22"/>
  <c r="G129" i="22"/>
  <c r="G31" i="22"/>
  <c r="G191" i="22"/>
  <c r="G84" i="22"/>
  <c r="G336" i="22"/>
  <c r="G352" i="22"/>
  <c r="G36" i="22"/>
  <c r="G327" i="22"/>
  <c r="G349" i="22"/>
  <c r="G306" i="22"/>
  <c r="G192" i="22"/>
  <c r="G300" i="22"/>
  <c r="G171" i="22"/>
  <c r="G98" i="22"/>
  <c r="G465" i="22"/>
  <c r="G141" i="22"/>
  <c r="G481" i="22"/>
  <c r="G460" i="22"/>
  <c r="G362" i="22"/>
  <c r="G185" i="22"/>
  <c r="G479" i="22"/>
  <c r="G3" i="22"/>
  <c r="G94" i="22"/>
  <c r="G433" i="22"/>
  <c r="G498" i="22"/>
  <c r="G293" i="22"/>
  <c r="G70" i="22"/>
  <c r="G466" i="22"/>
  <c r="G467" i="22"/>
  <c r="G439" i="22"/>
  <c r="G343" i="22"/>
  <c r="G187" i="22"/>
  <c r="G318" i="22"/>
  <c r="G16" i="22"/>
  <c r="G494" i="22"/>
  <c r="G145" i="22"/>
  <c r="G181" i="22"/>
  <c r="G330" i="22"/>
  <c r="G469" i="22"/>
  <c r="G449" i="22"/>
  <c r="G331" i="22"/>
  <c r="G493" i="22"/>
  <c r="G183" i="22"/>
  <c r="G154" i="22"/>
  <c r="G322" i="22"/>
  <c r="G8" i="22"/>
  <c r="G356" i="22"/>
  <c r="G73" i="22"/>
  <c r="G287" i="22"/>
  <c r="G232" i="22"/>
  <c r="G279" i="22"/>
  <c r="G428" i="22"/>
  <c r="G184" i="22"/>
  <c r="G125" i="22"/>
  <c r="G41" i="22"/>
  <c r="G406" i="22"/>
  <c r="G34" i="22"/>
  <c r="G91" i="22"/>
  <c r="G50" i="22"/>
  <c r="G397" i="22"/>
  <c r="G106" i="22"/>
  <c r="G285" i="22"/>
  <c r="G418" i="22"/>
  <c r="G325" i="22"/>
  <c r="G14" i="22"/>
  <c r="G209" i="22"/>
  <c r="G137" i="22"/>
  <c r="G111" i="22"/>
  <c r="G380" i="22"/>
  <c r="G99" i="22"/>
  <c r="G409" i="22"/>
  <c r="G381" i="22"/>
  <c r="G298" i="22"/>
  <c r="G339" i="22"/>
  <c r="G18" i="22"/>
  <c r="G44" i="22"/>
  <c r="G128" i="22"/>
  <c r="G55" i="22"/>
  <c r="G286" i="22"/>
  <c r="G81" i="22"/>
  <c r="G448" i="22"/>
  <c r="G443" i="22"/>
  <c r="G407" i="22"/>
  <c r="G155" i="22"/>
  <c r="G177" i="22"/>
  <c r="G491" i="22"/>
  <c r="G234" i="22"/>
  <c r="G389" i="22"/>
  <c r="G305" i="22"/>
  <c r="G161" i="22"/>
  <c r="G455" i="22"/>
  <c r="G426" i="22"/>
  <c r="G239" i="22"/>
  <c r="G164" i="22"/>
  <c r="G2" i="22"/>
  <c r="G319" i="22"/>
  <c r="G313" i="22"/>
  <c r="G377" i="22"/>
  <c r="G256" i="22"/>
  <c r="G486" i="22"/>
  <c r="G33" i="22"/>
  <c r="G396" i="22"/>
  <c r="G329" i="22"/>
  <c r="G269" i="22"/>
  <c r="G419" i="22"/>
  <c r="G58" i="22"/>
  <c r="G212" i="22"/>
  <c r="G53" i="22"/>
  <c r="G424" i="22"/>
  <c r="G168" i="22"/>
  <c r="G189" i="22"/>
  <c r="G109" i="22"/>
  <c r="G385" i="22"/>
  <c r="G335" i="22"/>
  <c r="G176" i="22"/>
  <c r="G361" i="22"/>
  <c r="G480" i="22"/>
  <c r="G180" i="22"/>
  <c r="G74" i="22"/>
  <c r="G392" i="22"/>
  <c r="G347" i="22"/>
  <c r="G456" i="22"/>
  <c r="G188" i="22"/>
  <c r="G321" i="22"/>
  <c r="G202" i="22"/>
  <c r="G267" i="22"/>
  <c r="G358" i="22"/>
  <c r="G334" i="22"/>
  <c r="G401" i="22"/>
  <c r="G140" i="22"/>
  <c r="G37" i="22"/>
  <c r="G235" i="22"/>
  <c r="G97" i="22"/>
  <c r="G451" i="22"/>
  <c r="G123" i="22"/>
  <c r="G38" i="22"/>
  <c r="G436" i="22"/>
  <c r="G221" i="22"/>
  <c r="G201" i="22"/>
  <c r="G100" i="22"/>
  <c r="G75" i="22"/>
  <c r="G248" i="22"/>
  <c r="G371" i="22"/>
  <c r="G17" i="22"/>
  <c r="G307" i="22"/>
  <c r="G499" i="22"/>
  <c r="G260" i="22"/>
  <c r="G134" i="22"/>
  <c r="G245" i="22"/>
  <c r="G359" i="22"/>
  <c r="G276" i="22"/>
  <c r="G333" i="22"/>
  <c r="G35" i="22"/>
  <c r="G203" i="22"/>
  <c r="G253" i="22"/>
  <c r="G213" i="22"/>
  <c r="G199" i="22"/>
  <c r="G77" i="22"/>
  <c r="G500" i="22"/>
  <c r="G170" i="22"/>
  <c r="G270" i="22"/>
  <c r="G226" i="22"/>
  <c r="G85" i="22"/>
  <c r="G495" i="22"/>
  <c r="G206" i="22"/>
  <c r="G65" i="22"/>
  <c r="G437" i="22"/>
  <c r="G370" i="22"/>
  <c r="G149" i="22"/>
  <c r="G444" i="22"/>
  <c r="G422" i="22"/>
  <c r="G6" i="22"/>
  <c r="G413" i="22"/>
  <c r="G473" i="22"/>
  <c r="G24" i="22"/>
  <c r="G454" i="22"/>
  <c r="G190" i="22"/>
  <c r="G40" i="22"/>
  <c r="G143" i="22"/>
  <c r="G475" i="22"/>
  <c r="G271" i="22"/>
  <c r="G292" i="22"/>
  <c r="G20" i="22"/>
  <c r="G131" i="22"/>
  <c r="G341" i="22"/>
  <c r="G110" i="22"/>
  <c r="G445" i="22"/>
  <c r="G326" i="22"/>
  <c r="G501" i="22"/>
  <c r="G384" i="22"/>
  <c r="G434" i="22"/>
  <c r="G459" i="22"/>
  <c r="G283" i="22"/>
  <c r="G241" i="22"/>
  <c r="G324" i="22"/>
  <c r="G93" i="22"/>
  <c r="G89" i="22"/>
  <c r="G315" i="22"/>
  <c r="G102" i="22"/>
  <c r="G488" i="22"/>
  <c r="G373" i="22"/>
  <c r="G162" i="22"/>
  <c r="G344" i="22"/>
  <c r="G56" i="22"/>
  <c r="G247" i="22"/>
  <c r="G299" i="22"/>
  <c r="G78" i="22"/>
  <c r="G345" i="22"/>
  <c r="G431" i="22"/>
  <c r="G4" i="22"/>
  <c r="G408" i="22"/>
  <c r="G489" i="22"/>
  <c r="G304" i="22"/>
  <c r="G414" i="22"/>
  <c r="G88" i="22"/>
  <c r="G152" i="22"/>
  <c r="G135" i="22"/>
  <c r="G450" i="22"/>
  <c r="G254" i="22"/>
  <c r="G163" i="22"/>
  <c r="G63" i="22"/>
  <c r="G425" i="22"/>
  <c r="G420" i="22"/>
  <c r="G9" i="22"/>
  <c r="G142" i="22"/>
  <c r="G28" i="22"/>
  <c r="G463" i="22"/>
  <c r="G90" i="22"/>
  <c r="G246" i="22"/>
  <c r="G320" i="22"/>
  <c r="G478" i="22"/>
  <c r="G441" i="22"/>
  <c r="G482" i="22"/>
  <c r="G66" i="22"/>
  <c r="G353" i="22"/>
  <c r="G216" i="22"/>
  <c r="G32" i="22"/>
  <c r="G19" i="22"/>
  <c r="G364" i="22"/>
  <c r="G337" i="22"/>
  <c r="G378" i="22"/>
  <c r="G294" i="22"/>
  <c r="G87" i="22"/>
  <c r="G242" i="22"/>
  <c r="G113" i="22"/>
  <c r="G275" i="22"/>
  <c r="G301" i="22"/>
  <c r="G410" i="22"/>
  <c r="G308" i="22"/>
  <c r="G223" i="22"/>
  <c r="G423" i="22"/>
  <c r="G144" i="22"/>
  <c r="G430" i="22"/>
  <c r="G25" i="22"/>
  <c r="G62" i="22"/>
  <c r="G21" i="22"/>
  <c r="G174" i="22"/>
  <c r="G147" i="22"/>
  <c r="G107" i="22"/>
  <c r="G26" i="22"/>
  <c r="G64" i="22"/>
  <c r="G138" i="22"/>
  <c r="G354" i="22"/>
  <c r="G442" i="22"/>
  <c r="G412" i="22"/>
  <c r="G492" i="22"/>
  <c r="G215" i="22"/>
  <c r="G175" i="22"/>
  <c r="G71" i="22"/>
  <c r="G497" i="22"/>
  <c r="G5" i="22"/>
  <c r="G222" i="22"/>
  <c r="G165" i="22"/>
  <c r="G490" i="22"/>
  <c r="G112" i="22"/>
  <c r="G200" i="22"/>
  <c r="G86" i="22"/>
  <c r="G197" i="22"/>
  <c r="G39" i="22"/>
  <c r="G277" i="22"/>
  <c r="G288" i="22"/>
  <c r="G240" i="22"/>
  <c r="G127" i="22"/>
  <c r="G117" i="22"/>
  <c r="G464" i="22"/>
  <c r="G484" i="22"/>
  <c r="G421" i="22"/>
  <c r="G146" i="22"/>
  <c r="G157" i="22"/>
  <c r="G376" i="22"/>
  <c r="G280" i="22"/>
  <c r="G452" i="22"/>
  <c r="G108" i="22"/>
  <c r="G272" i="22"/>
  <c r="G282" i="22"/>
  <c r="G369" i="22"/>
  <c r="G348" i="22"/>
  <c r="G218" i="22"/>
  <c r="G374" i="22"/>
  <c r="G186" i="22"/>
  <c r="G194" i="22"/>
  <c r="G48" i="22"/>
  <c r="G338" i="22"/>
  <c r="G204" i="22"/>
  <c r="G312" i="22"/>
  <c r="G403" i="22"/>
  <c r="G69" i="22"/>
  <c r="G7" i="22"/>
  <c r="G172" i="22"/>
  <c r="G233" i="22"/>
  <c r="G126" i="22"/>
  <c r="G10" i="22"/>
  <c r="G350" i="22"/>
  <c r="G76" i="22"/>
  <c r="G220" i="22"/>
  <c r="G483" i="22"/>
  <c r="G208" i="22"/>
  <c r="G198" i="22"/>
  <c r="G252" i="22"/>
  <c r="G264" i="22"/>
  <c r="G453" i="22"/>
  <c r="G196" i="22"/>
  <c r="G205" i="22"/>
  <c r="G290" i="22"/>
  <c r="G487" i="22"/>
  <c r="G388" i="22"/>
  <c r="G59" i="22"/>
  <c r="G309" i="22"/>
  <c r="G360" i="22"/>
  <c r="G83" i="22"/>
  <c r="G251" i="22"/>
  <c r="G297" i="22"/>
  <c r="G461" i="22"/>
  <c r="G49" i="22"/>
  <c r="G219" i="22"/>
  <c r="G440" i="22"/>
  <c r="G323" i="22"/>
  <c r="G80" i="22"/>
  <c r="G151" i="22"/>
  <c r="G224" i="22"/>
  <c r="G386" i="22"/>
  <c r="G393" i="22"/>
  <c r="G268" i="22"/>
  <c r="G217" i="22"/>
  <c r="G169" i="22"/>
  <c r="G158" i="22"/>
  <c r="G124" i="22"/>
  <c r="G382" i="22"/>
  <c r="G258" i="22"/>
  <c r="G458" i="22"/>
  <c r="G153" i="22"/>
  <c r="G468" i="22"/>
  <c r="G383" i="22"/>
  <c r="G115" i="22"/>
  <c r="G79" i="22"/>
  <c r="E467" i="21"/>
  <c r="E137" i="21"/>
  <c r="E344" i="21"/>
  <c r="E12" i="21"/>
  <c r="E249" i="21"/>
  <c r="E61" i="21"/>
  <c r="E495" i="21"/>
  <c r="E390" i="21"/>
  <c r="E399" i="21"/>
  <c r="E230" i="21"/>
  <c r="E265" i="21"/>
  <c r="E472" i="21"/>
  <c r="E350" i="21"/>
  <c r="E293" i="21"/>
  <c r="E108" i="21"/>
  <c r="E466" i="21"/>
  <c r="E340" i="21"/>
  <c r="E107" i="21"/>
  <c r="E231" i="21"/>
  <c r="E95" i="21"/>
  <c r="E401" i="21"/>
  <c r="E232" i="21"/>
  <c r="E210" i="21"/>
  <c r="E434" i="21"/>
  <c r="E411" i="21"/>
  <c r="E51" i="21"/>
  <c r="E194" i="21"/>
  <c r="E123" i="21"/>
  <c r="E25" i="21"/>
  <c r="E66" i="21"/>
  <c r="E303" i="21"/>
  <c r="E316" i="21"/>
  <c r="E122" i="21"/>
  <c r="E367" i="21"/>
  <c r="E266" i="21"/>
  <c r="E452" i="21"/>
  <c r="E473" i="21"/>
  <c r="E124" i="21"/>
  <c r="E274" i="21"/>
  <c r="E395" i="21"/>
  <c r="E250" i="21"/>
  <c r="E468" i="21"/>
  <c r="E330" i="21"/>
  <c r="E389" i="21"/>
  <c r="E244" i="21"/>
  <c r="E118" i="21"/>
  <c r="E393" i="21"/>
  <c r="E217" i="21"/>
  <c r="E106" i="21"/>
  <c r="E59" i="21"/>
  <c r="E98" i="21"/>
  <c r="E370" i="21"/>
  <c r="E386" i="21"/>
  <c r="E398" i="21"/>
  <c r="E173" i="21"/>
  <c r="E160" i="21"/>
  <c r="E166" i="21"/>
  <c r="E243" i="21"/>
  <c r="E21" i="21"/>
  <c r="E178" i="21"/>
  <c r="E260" i="21"/>
  <c r="E283" i="21"/>
  <c r="E47" i="21"/>
  <c r="E310" i="21"/>
  <c r="E54" i="21"/>
  <c r="E430" i="21"/>
  <c r="E279" i="21"/>
  <c r="E82" i="21"/>
  <c r="E104" i="21"/>
  <c r="E433" i="21"/>
  <c r="E256" i="21"/>
  <c r="E237" i="21"/>
  <c r="E45" i="21"/>
  <c r="E412" i="21"/>
  <c r="E314" i="21"/>
  <c r="E228" i="21"/>
  <c r="E30" i="21"/>
  <c r="E28" i="21"/>
  <c r="E362" i="21"/>
  <c r="E239" i="21"/>
  <c r="E338" i="21"/>
  <c r="E99" i="21"/>
  <c r="E67" i="21"/>
  <c r="E213" i="21"/>
  <c r="E364" i="21"/>
  <c r="E71" i="21"/>
  <c r="E471" i="21"/>
  <c r="E483" i="21"/>
  <c r="E373" i="21"/>
  <c r="E13" i="21"/>
  <c r="E159" i="21"/>
  <c r="E121" i="21"/>
  <c r="E297" i="21"/>
  <c r="E131" i="21"/>
  <c r="E31" i="21"/>
  <c r="E191" i="21"/>
  <c r="E84" i="21"/>
  <c r="E334" i="21"/>
  <c r="E351" i="21"/>
  <c r="E38" i="21"/>
  <c r="E381" i="21"/>
  <c r="E326" i="21"/>
  <c r="E348" i="21"/>
  <c r="E306" i="21"/>
  <c r="E192" i="21"/>
  <c r="E301" i="21"/>
  <c r="E171" i="21"/>
  <c r="E101" i="21"/>
  <c r="E207" i="21"/>
  <c r="E460" i="21"/>
  <c r="E140" i="21"/>
  <c r="E478" i="21"/>
  <c r="E455" i="21"/>
  <c r="E361" i="21"/>
  <c r="E184" i="21"/>
  <c r="E476" i="21"/>
  <c r="E4" i="21"/>
  <c r="E97" i="21"/>
  <c r="E428" i="21"/>
  <c r="E497" i="21"/>
  <c r="E93" i="21"/>
  <c r="E295" i="21"/>
  <c r="E69" i="21"/>
  <c r="E461" i="21"/>
  <c r="E462" i="21"/>
  <c r="E435" i="21"/>
  <c r="E341" i="21"/>
  <c r="E187" i="21"/>
  <c r="E317" i="21"/>
  <c r="E15" i="21"/>
  <c r="E493" i="21"/>
  <c r="E145" i="21"/>
  <c r="E181" i="21"/>
  <c r="E328" i="21"/>
  <c r="E464" i="21"/>
  <c r="E444" i="21"/>
  <c r="E329" i="21"/>
  <c r="E492" i="21"/>
  <c r="E182" i="21"/>
  <c r="E155" i="21"/>
  <c r="E321" i="21"/>
  <c r="E9" i="21"/>
  <c r="E354" i="21"/>
  <c r="E72" i="21"/>
  <c r="E290" i="21"/>
  <c r="E233" i="21"/>
  <c r="E280" i="21"/>
  <c r="E149" i="21"/>
  <c r="E423" i="21"/>
  <c r="E183" i="21"/>
  <c r="E127" i="21"/>
  <c r="E44" i="21"/>
  <c r="E402" i="21"/>
  <c r="E35" i="21"/>
  <c r="E94" i="21"/>
  <c r="E422" i="21"/>
  <c r="E50" i="21"/>
  <c r="E396" i="21"/>
  <c r="E109" i="21"/>
  <c r="E287" i="21"/>
  <c r="E413" i="21"/>
  <c r="E324" i="21"/>
  <c r="E14" i="21"/>
  <c r="E114" i="21"/>
  <c r="E43" i="21"/>
  <c r="E212" i="21"/>
  <c r="E87" i="21"/>
  <c r="E135" i="21"/>
  <c r="E115" i="21"/>
  <c r="E378" i="21"/>
  <c r="E102" i="21"/>
  <c r="E405" i="21"/>
  <c r="E201" i="21"/>
  <c r="E379" i="21"/>
  <c r="E299" i="21"/>
  <c r="E337" i="21"/>
  <c r="E17" i="21"/>
  <c r="E46" i="21"/>
  <c r="E130" i="21"/>
  <c r="E55" i="21"/>
  <c r="E288" i="21"/>
  <c r="E81" i="21"/>
  <c r="E443" i="21"/>
  <c r="E440" i="21"/>
  <c r="E403" i="21"/>
  <c r="E156" i="21"/>
  <c r="E177" i="21"/>
  <c r="E490" i="21"/>
  <c r="E235" i="21"/>
  <c r="E388" i="21"/>
  <c r="E305" i="21"/>
  <c r="E161" i="21"/>
  <c r="E450" i="21"/>
  <c r="E421" i="21"/>
  <c r="E238" i="21"/>
  <c r="E164" i="21"/>
  <c r="E2" i="21"/>
  <c r="E318" i="21"/>
  <c r="E313" i="21"/>
  <c r="E375" i="21"/>
  <c r="E257" i="21"/>
  <c r="E484" i="21"/>
  <c r="E34" i="21"/>
  <c r="E394" i="21"/>
  <c r="E327" i="21"/>
  <c r="E269" i="21"/>
  <c r="E414" i="21"/>
  <c r="E465" i="21"/>
  <c r="E52" i="21"/>
  <c r="E57" i="21"/>
  <c r="E215" i="21"/>
  <c r="E53" i="21"/>
  <c r="E419" i="21"/>
  <c r="E167" i="21"/>
  <c r="E189" i="21"/>
  <c r="E112" i="21"/>
  <c r="E384" i="21"/>
  <c r="E333" i="21"/>
  <c r="E176" i="21"/>
  <c r="E360" i="21"/>
  <c r="E356" i="21"/>
  <c r="E477" i="21"/>
  <c r="E180" i="21"/>
  <c r="E139" i="21"/>
  <c r="E73" i="21"/>
  <c r="E391" i="21"/>
  <c r="E345" i="21"/>
  <c r="E281" i="21"/>
  <c r="E451" i="21"/>
  <c r="E188" i="21"/>
  <c r="E320" i="21"/>
  <c r="E203" i="21"/>
  <c r="E267" i="21"/>
  <c r="E77" i="21"/>
  <c r="E357" i="21"/>
  <c r="E332" i="21"/>
  <c r="E397" i="21"/>
  <c r="E138" i="21"/>
  <c r="E39" i="21"/>
  <c r="E236" i="21"/>
  <c r="E100" i="21"/>
  <c r="E355" i="21"/>
  <c r="E489" i="21"/>
  <c r="E446" i="21"/>
  <c r="E125" i="21"/>
  <c r="E85" i="21"/>
  <c r="E40" i="21"/>
  <c r="E431" i="21"/>
  <c r="E224" i="21"/>
  <c r="E200" i="21"/>
  <c r="E277" i="21"/>
  <c r="E103" i="21"/>
  <c r="E74" i="21"/>
  <c r="E248" i="21"/>
  <c r="E369" i="21"/>
  <c r="E16" i="21"/>
  <c r="E347" i="21"/>
  <c r="E33" i="21"/>
  <c r="E307" i="21"/>
  <c r="E498" i="21"/>
  <c r="E261" i="21"/>
  <c r="E133" i="21"/>
  <c r="E245" i="21"/>
  <c r="E358" i="21"/>
  <c r="E276" i="21"/>
  <c r="E331" i="21"/>
  <c r="E36" i="21"/>
  <c r="E204" i="21"/>
  <c r="E253" i="21"/>
  <c r="E216" i="21"/>
  <c r="E271" i="21"/>
  <c r="E185" i="21"/>
  <c r="E198" i="21"/>
  <c r="E76" i="21"/>
  <c r="E499" i="21"/>
  <c r="E170" i="21"/>
  <c r="E270" i="21"/>
  <c r="E229" i="21"/>
  <c r="E86" i="21"/>
  <c r="E494" i="21"/>
  <c r="E209" i="21"/>
  <c r="E64" i="21"/>
  <c r="E432" i="21"/>
  <c r="E368" i="21"/>
  <c r="E150" i="21"/>
  <c r="E441" i="21"/>
  <c r="E417" i="21"/>
  <c r="E7" i="21"/>
  <c r="E29" i="21"/>
  <c r="E408" i="21"/>
  <c r="E469" i="21"/>
  <c r="E3" i="21"/>
  <c r="E22" i="21"/>
  <c r="E449" i="21"/>
  <c r="E190" i="21"/>
  <c r="E42" i="21"/>
  <c r="E143" i="21"/>
  <c r="E470" i="21"/>
  <c r="E272" i="21"/>
  <c r="E294" i="21"/>
  <c r="E19" i="21"/>
  <c r="E132" i="21"/>
  <c r="E339" i="21"/>
  <c r="E113" i="21"/>
  <c r="E442" i="21"/>
  <c r="E325" i="21"/>
  <c r="E474" i="21"/>
  <c r="E500" i="21"/>
  <c r="E383" i="21"/>
  <c r="E429" i="21"/>
  <c r="E454" i="21"/>
  <c r="E285" i="21"/>
  <c r="E241" i="21"/>
  <c r="E323" i="21"/>
  <c r="E96" i="21"/>
  <c r="E91" i="21"/>
  <c r="E458" i="21"/>
  <c r="E315" i="21"/>
  <c r="E105" i="21"/>
  <c r="E486" i="21"/>
  <c r="E371" i="21"/>
  <c r="E162" i="21"/>
  <c r="E342" i="21"/>
  <c r="E377" i="21"/>
  <c r="E56" i="21"/>
  <c r="E247" i="21"/>
  <c r="E300" i="21"/>
  <c r="E78" i="21"/>
  <c r="E343" i="21"/>
  <c r="E427" i="21"/>
  <c r="E5" i="21"/>
  <c r="E404" i="21"/>
  <c r="E438" i="21"/>
  <c r="E479" i="21"/>
  <c r="E487" i="21"/>
  <c r="E304" i="21"/>
  <c r="E410" i="21"/>
  <c r="E90" i="21"/>
  <c r="E153" i="21"/>
  <c r="E134" i="21"/>
  <c r="E445" i="21"/>
  <c r="E254" i="21"/>
  <c r="E163" i="21"/>
  <c r="E262" i="21"/>
  <c r="E62" i="21"/>
  <c r="E420" i="21"/>
  <c r="E415" i="21"/>
  <c r="E10" i="21"/>
  <c r="E141" i="21"/>
  <c r="E26" i="21"/>
  <c r="E457" i="21"/>
  <c r="E92" i="21"/>
  <c r="E246" i="21"/>
  <c r="E319" i="21"/>
  <c r="E475" i="21"/>
  <c r="E437" i="21"/>
  <c r="E480" i="21"/>
  <c r="E65" i="21"/>
  <c r="E352" i="21"/>
  <c r="E219" i="21"/>
  <c r="E32" i="21"/>
  <c r="E311" i="21"/>
  <c r="E365" i="21"/>
  <c r="E501" i="21"/>
  <c r="E409" i="21"/>
  <c r="E18" i="21"/>
  <c r="E286" i="21"/>
  <c r="E426" i="21"/>
  <c r="E363" i="21"/>
  <c r="E255" i="21"/>
  <c r="E335" i="21"/>
  <c r="E376" i="21"/>
  <c r="E296" i="21"/>
  <c r="E89" i="21"/>
  <c r="E242" i="21"/>
  <c r="E117" i="21"/>
  <c r="E275" i="21"/>
  <c r="E302" i="21"/>
  <c r="E406" i="21"/>
  <c r="E308" i="21"/>
  <c r="E226" i="21"/>
  <c r="E264" i="21"/>
  <c r="E418" i="21"/>
  <c r="E144" i="21"/>
  <c r="E425" i="21"/>
  <c r="E23" i="21"/>
  <c r="E60" i="21"/>
  <c r="E20" i="21"/>
  <c r="E174" i="21"/>
  <c r="E147" i="21"/>
  <c r="E110" i="21"/>
  <c r="E24" i="21"/>
  <c r="E63" i="21"/>
  <c r="E148" i="21"/>
  <c r="E136" i="21"/>
  <c r="E353" i="21"/>
  <c r="E439" i="21"/>
  <c r="E407" i="21"/>
  <c r="E491" i="21"/>
  <c r="E169" i="21"/>
  <c r="E218" i="21"/>
  <c r="E175" i="21"/>
  <c r="E70" i="21"/>
  <c r="E37" i="21"/>
  <c r="E496" i="21"/>
  <c r="E6" i="21"/>
  <c r="E214" i="21"/>
  <c r="E225" i="21"/>
  <c r="E165" i="21"/>
  <c r="E488" i="21"/>
  <c r="E116" i="21"/>
  <c r="E199" i="21"/>
  <c r="E88" i="21"/>
  <c r="E196" i="21"/>
  <c r="E41" i="21"/>
  <c r="E278" i="21"/>
  <c r="E259" i="21"/>
  <c r="E291" i="21"/>
  <c r="E179" i="21"/>
  <c r="E240" i="21"/>
  <c r="E129" i="21"/>
  <c r="E120" i="21"/>
  <c r="E459" i="21"/>
  <c r="E482" i="21"/>
  <c r="E416" i="21"/>
  <c r="E146" i="21"/>
  <c r="E157" i="21"/>
  <c r="E374" i="21"/>
  <c r="E282" i="21"/>
  <c r="E447" i="21"/>
  <c r="E111" i="21"/>
  <c r="E273" i="21"/>
  <c r="E284" i="21"/>
  <c r="E366" i="21"/>
  <c r="E346" i="21"/>
  <c r="E221" i="21"/>
  <c r="E372" i="21"/>
  <c r="E186" i="21"/>
  <c r="E193" i="21"/>
  <c r="E48" i="21"/>
  <c r="E336" i="21"/>
  <c r="E205" i="21"/>
  <c r="E312" i="21"/>
  <c r="E400" i="21"/>
  <c r="E206" i="21"/>
  <c r="E68" i="21"/>
  <c r="E8" i="21"/>
  <c r="E172" i="21"/>
  <c r="E234" i="21"/>
  <c r="E27" i="21"/>
  <c r="E128" i="21"/>
  <c r="E11" i="21"/>
  <c r="E142" i="21"/>
  <c r="E349" i="21"/>
  <c r="E75" i="21"/>
  <c r="E223" i="21"/>
  <c r="E481" i="21"/>
  <c r="E211" i="21"/>
  <c r="E197" i="21"/>
  <c r="E252" i="21"/>
  <c r="E263" i="21"/>
  <c r="E448" i="21"/>
  <c r="E195" i="21"/>
  <c r="E208" i="21"/>
  <c r="E292" i="21"/>
  <c r="E485" i="21"/>
  <c r="E387" i="21"/>
  <c r="E58" i="21"/>
  <c r="E309" i="21"/>
  <c r="E359" i="21"/>
  <c r="E83" i="21"/>
  <c r="E251" i="21"/>
  <c r="E298" i="21"/>
  <c r="E456" i="21"/>
  <c r="E49" i="21"/>
  <c r="E222" i="21"/>
  <c r="E436" i="21"/>
  <c r="E322" i="21"/>
  <c r="E289" i="21"/>
  <c r="E80" i="21"/>
  <c r="E424" i="21"/>
  <c r="E152" i="21"/>
  <c r="E227" i="21"/>
  <c r="E385" i="21"/>
  <c r="E392" i="21"/>
  <c r="E268" i="21"/>
  <c r="E220" i="21"/>
  <c r="E168" i="21"/>
  <c r="E158" i="21"/>
  <c r="E202" i="21"/>
  <c r="E126" i="21"/>
  <c r="E380" i="21"/>
  <c r="E151" i="21"/>
  <c r="E258" i="21"/>
  <c r="E453" i="21"/>
  <c r="E154" i="21"/>
  <c r="E463" i="21"/>
  <c r="E382" i="21"/>
  <c r="E119" i="21"/>
  <c r="E79" i="21"/>
  <c r="G501" i="16"/>
  <c r="G500" i="16"/>
  <c r="G499" i="16"/>
  <c r="G498" i="16"/>
  <c r="G497" i="16"/>
  <c r="G496" i="16"/>
  <c r="G495" i="16"/>
  <c r="G494" i="16"/>
  <c r="G493" i="16"/>
  <c r="G492" i="16"/>
  <c r="G491" i="16"/>
  <c r="G490" i="16"/>
  <c r="G489" i="16"/>
  <c r="G488" i="16"/>
  <c r="G487" i="16"/>
  <c r="G486" i="16"/>
  <c r="G485" i="16"/>
  <c r="G484" i="16"/>
  <c r="G483" i="16"/>
  <c r="G482" i="16"/>
  <c r="G481" i="16"/>
  <c r="G480" i="16"/>
  <c r="G479" i="16"/>
  <c r="G478" i="16"/>
  <c r="G477" i="16"/>
  <c r="G476" i="16"/>
  <c r="G475" i="16"/>
  <c r="G474" i="16"/>
  <c r="G473" i="16"/>
  <c r="G472" i="16"/>
  <c r="G471" i="16"/>
  <c r="G470" i="16"/>
  <c r="G469" i="16"/>
  <c r="G468" i="16"/>
  <c r="G467" i="16"/>
  <c r="G466" i="16"/>
  <c r="G465" i="16"/>
  <c r="G464" i="16"/>
  <c r="G463" i="16"/>
  <c r="G462" i="16"/>
  <c r="G461" i="16"/>
  <c r="G460" i="16"/>
  <c r="G459" i="16"/>
  <c r="G458" i="16"/>
  <c r="G457" i="16"/>
  <c r="G456" i="16"/>
  <c r="G455" i="16"/>
  <c r="G454" i="16"/>
  <c r="G453" i="16"/>
  <c r="G452" i="16"/>
  <c r="G451" i="16"/>
  <c r="G450" i="16"/>
  <c r="G449" i="16"/>
  <c r="G448" i="16"/>
  <c r="G447" i="16"/>
  <c r="G446" i="16"/>
  <c r="G445" i="16"/>
  <c r="G444" i="16"/>
  <c r="G443" i="16"/>
  <c r="G442" i="16"/>
  <c r="G441" i="16"/>
  <c r="G440" i="16"/>
  <c r="G439" i="16"/>
  <c r="G438" i="16"/>
  <c r="G437" i="16"/>
  <c r="G436" i="16"/>
  <c r="G435" i="16"/>
  <c r="G434" i="16"/>
  <c r="G433" i="16"/>
  <c r="G432" i="16"/>
  <c r="G431" i="16"/>
  <c r="G430" i="16"/>
  <c r="G429" i="16"/>
  <c r="G428" i="16"/>
  <c r="G427" i="16"/>
  <c r="G426" i="16"/>
  <c r="G425" i="16"/>
  <c r="G424" i="16"/>
  <c r="G423" i="16"/>
  <c r="G422" i="16"/>
  <c r="G421" i="16"/>
  <c r="G420" i="16"/>
  <c r="G419" i="16"/>
  <c r="G418" i="16"/>
  <c r="G417" i="16"/>
  <c r="G416" i="16"/>
  <c r="G415" i="16"/>
  <c r="G414" i="16"/>
  <c r="G413" i="16"/>
  <c r="G412" i="16"/>
  <c r="G411" i="16"/>
  <c r="G410" i="16"/>
  <c r="G409" i="16"/>
  <c r="G408" i="16"/>
  <c r="G407" i="16"/>
  <c r="G406" i="16"/>
  <c r="G405" i="16"/>
  <c r="G404" i="16"/>
  <c r="G403" i="16"/>
  <c r="G402" i="16"/>
  <c r="G401" i="16"/>
  <c r="G400" i="16"/>
  <c r="G399" i="16"/>
  <c r="G398" i="16"/>
  <c r="G397" i="16"/>
  <c r="G396" i="16"/>
  <c r="G395" i="16"/>
  <c r="G394" i="16"/>
  <c r="G393" i="16"/>
  <c r="G392" i="16"/>
  <c r="G391" i="16"/>
  <c r="G390" i="16"/>
  <c r="G389" i="16"/>
  <c r="G388" i="16"/>
  <c r="G387" i="16"/>
  <c r="G386" i="16"/>
  <c r="G385" i="16"/>
  <c r="G384" i="16"/>
  <c r="G383" i="16"/>
  <c r="G382" i="16"/>
  <c r="G381" i="16"/>
  <c r="G380" i="16"/>
  <c r="G379" i="16"/>
  <c r="G378" i="16"/>
  <c r="G377" i="16"/>
  <c r="G376" i="16"/>
  <c r="G375" i="16"/>
  <c r="G374" i="16"/>
  <c r="G373" i="16"/>
  <c r="G372" i="16"/>
  <c r="G371" i="16"/>
  <c r="G370" i="16"/>
  <c r="G369" i="16"/>
  <c r="G368" i="16"/>
  <c r="G367" i="16"/>
  <c r="G366" i="16"/>
  <c r="G365" i="16"/>
  <c r="G364" i="16"/>
  <c r="G363" i="16"/>
  <c r="G362" i="16"/>
  <c r="G361" i="16"/>
  <c r="G360" i="16"/>
  <c r="G359" i="16"/>
  <c r="G358" i="16"/>
  <c r="G357" i="16"/>
  <c r="G356" i="16"/>
  <c r="G355" i="16"/>
  <c r="G354" i="16"/>
  <c r="G353" i="16"/>
  <c r="G352" i="16"/>
  <c r="G351" i="16"/>
  <c r="G350" i="16"/>
  <c r="G349" i="16"/>
  <c r="G348" i="16"/>
  <c r="G347" i="16"/>
  <c r="G346" i="16"/>
  <c r="G345" i="16"/>
  <c r="G344" i="16"/>
  <c r="G343" i="16"/>
  <c r="G342" i="16"/>
  <c r="G341" i="16"/>
  <c r="G340" i="16"/>
  <c r="G339" i="16"/>
  <c r="G338" i="16"/>
  <c r="G337" i="16"/>
  <c r="G336" i="16"/>
  <c r="G335" i="16"/>
  <c r="G334" i="16"/>
  <c r="G333" i="16"/>
  <c r="G332" i="16"/>
  <c r="G331" i="16"/>
  <c r="G330" i="16"/>
  <c r="G329" i="16"/>
  <c r="G328" i="16"/>
  <c r="G327" i="16"/>
  <c r="G326" i="16"/>
  <c r="G325" i="16"/>
  <c r="G324" i="16"/>
  <c r="G323" i="16"/>
  <c r="G322" i="16"/>
  <c r="G321" i="16"/>
  <c r="G320" i="16"/>
  <c r="G319" i="16"/>
  <c r="G318" i="16"/>
  <c r="G317" i="16"/>
  <c r="G316" i="16"/>
  <c r="G315" i="16"/>
  <c r="G314" i="16"/>
  <c r="G313" i="16"/>
  <c r="G312" i="16"/>
  <c r="G311" i="16"/>
  <c r="G310" i="16"/>
  <c r="G309" i="16"/>
  <c r="G308" i="16"/>
  <c r="G307" i="16"/>
  <c r="G306" i="16"/>
  <c r="G305" i="16"/>
  <c r="G304" i="16"/>
  <c r="G303" i="16"/>
  <c r="G302" i="16"/>
  <c r="G301" i="16"/>
  <c r="G300" i="16"/>
  <c r="G299" i="16"/>
  <c r="G298" i="16"/>
  <c r="G297" i="16"/>
  <c r="G296" i="16"/>
  <c r="G295" i="16"/>
  <c r="G294" i="16"/>
  <c r="G293" i="16"/>
  <c r="G292" i="16"/>
  <c r="G291" i="16"/>
  <c r="G290" i="16"/>
  <c r="G289" i="16"/>
  <c r="G288" i="16"/>
  <c r="G287" i="16"/>
  <c r="G286" i="16"/>
  <c r="G285" i="16"/>
  <c r="G284" i="16"/>
  <c r="G283" i="16"/>
  <c r="G282" i="16"/>
  <c r="G281" i="16"/>
  <c r="G280" i="16"/>
  <c r="G279" i="16"/>
  <c r="G278" i="16"/>
  <c r="G277" i="16"/>
  <c r="G276" i="16"/>
  <c r="G275" i="16"/>
  <c r="G274" i="16"/>
  <c r="G273" i="16"/>
  <c r="G272" i="16"/>
  <c r="G271" i="16"/>
  <c r="G270" i="16"/>
  <c r="G269" i="16"/>
  <c r="G268" i="16"/>
  <c r="G267" i="16"/>
  <c r="G266" i="16"/>
  <c r="G265" i="16"/>
  <c r="G264" i="16"/>
  <c r="G263" i="16"/>
  <c r="G262" i="16"/>
  <c r="G261" i="16"/>
  <c r="G260" i="16"/>
  <c r="G259" i="16"/>
  <c r="G258" i="16"/>
  <c r="G257" i="16"/>
  <c r="G256" i="16"/>
  <c r="G255" i="16"/>
  <c r="G254" i="16"/>
  <c r="G253" i="16"/>
  <c r="G252" i="16"/>
  <c r="G251" i="16"/>
  <c r="G250" i="16"/>
  <c r="G249" i="16"/>
  <c r="G248" i="16"/>
  <c r="G247" i="16"/>
  <c r="G246" i="16"/>
  <c r="G245" i="16"/>
  <c r="G244" i="16"/>
  <c r="G243" i="16"/>
  <c r="G242" i="16"/>
  <c r="G241" i="16"/>
  <c r="G240" i="16"/>
  <c r="G239" i="16"/>
  <c r="G238" i="16"/>
  <c r="G237" i="16"/>
  <c r="G236" i="16"/>
  <c r="G235" i="16"/>
  <c r="G234" i="16"/>
  <c r="G233" i="16"/>
  <c r="G232" i="16"/>
  <c r="G231" i="16"/>
  <c r="G230" i="16"/>
  <c r="G229" i="16"/>
  <c r="G228" i="16"/>
  <c r="G227" i="16"/>
  <c r="G226" i="16"/>
  <c r="G225" i="16"/>
  <c r="G224" i="16"/>
  <c r="G223" i="16"/>
  <c r="G222" i="16"/>
  <c r="G221" i="16"/>
  <c r="G220" i="16"/>
  <c r="G219" i="16"/>
  <c r="G218" i="16"/>
  <c r="G217" i="16"/>
  <c r="G216" i="16"/>
  <c r="G215" i="16"/>
  <c r="G214" i="16"/>
  <c r="G213" i="16"/>
  <c r="G212" i="16"/>
  <c r="G211" i="16"/>
  <c r="G210" i="16"/>
  <c r="G209" i="16"/>
  <c r="G208" i="16"/>
  <c r="G207" i="16"/>
  <c r="G206" i="16"/>
  <c r="G205" i="16"/>
  <c r="G204" i="16"/>
  <c r="G203" i="16"/>
  <c r="G202" i="16"/>
  <c r="G201" i="16"/>
  <c r="G200" i="16"/>
  <c r="G199" i="16"/>
  <c r="G198" i="16"/>
  <c r="G197" i="16"/>
  <c r="G196" i="16"/>
  <c r="G195" i="16"/>
  <c r="G194" i="16"/>
  <c r="G193" i="16"/>
  <c r="G192" i="16"/>
  <c r="G191" i="16"/>
  <c r="G190" i="16"/>
  <c r="G189" i="16"/>
  <c r="G188" i="16"/>
  <c r="G187" i="16"/>
  <c r="G186" i="16"/>
  <c r="G185" i="16"/>
  <c r="G184" i="16"/>
  <c r="G183" i="16"/>
  <c r="G182" i="16"/>
  <c r="G181" i="16"/>
  <c r="G180" i="16"/>
  <c r="G179" i="16"/>
  <c r="G178" i="16"/>
  <c r="G177" i="16"/>
  <c r="G176" i="16"/>
  <c r="G175" i="16"/>
  <c r="G174" i="16"/>
  <c r="G173" i="16"/>
  <c r="G172" i="16"/>
  <c r="G171" i="16"/>
  <c r="G170" i="16"/>
  <c r="G169" i="16"/>
  <c r="G168" i="16"/>
  <c r="G167" i="16"/>
  <c r="G166" i="16"/>
  <c r="G165" i="16"/>
  <c r="G164" i="16"/>
  <c r="G163" i="16"/>
  <c r="G162" i="16"/>
  <c r="G161" i="16"/>
  <c r="G160" i="16"/>
  <c r="G159" i="16"/>
  <c r="G158" i="16"/>
  <c r="G157" i="16"/>
  <c r="G156" i="16"/>
  <c r="G155" i="16"/>
  <c r="G154" i="16"/>
  <c r="G153" i="16"/>
  <c r="G152" i="16"/>
  <c r="G151" i="16"/>
  <c r="G150" i="16"/>
  <c r="G149" i="16"/>
  <c r="G148" i="16"/>
  <c r="G147" i="16"/>
  <c r="G146" i="16"/>
  <c r="G145" i="16"/>
  <c r="G144" i="16"/>
  <c r="G143" i="16"/>
  <c r="G142" i="16"/>
  <c r="G141" i="16"/>
  <c r="G140" i="16"/>
  <c r="G139" i="16"/>
  <c r="G138" i="16"/>
  <c r="G137" i="16"/>
  <c r="G136" i="16"/>
  <c r="G135" i="16"/>
  <c r="G134" i="16"/>
  <c r="G133" i="16"/>
  <c r="G132" i="16"/>
  <c r="G131" i="16"/>
  <c r="G130" i="16"/>
  <c r="G129" i="16"/>
  <c r="G128" i="16"/>
  <c r="G127" i="16"/>
  <c r="G126" i="16"/>
  <c r="G125" i="16"/>
  <c r="G124" i="16"/>
  <c r="G123" i="16"/>
  <c r="G122" i="16"/>
  <c r="G121" i="16"/>
  <c r="G120" i="16"/>
  <c r="G119" i="16"/>
  <c r="G118" i="16"/>
  <c r="G117" i="16"/>
  <c r="G116" i="16"/>
  <c r="G115" i="16"/>
  <c r="G114" i="16"/>
  <c r="G113" i="16"/>
  <c r="G112" i="16"/>
  <c r="G111" i="16"/>
  <c r="G110" i="16"/>
  <c r="G109" i="16"/>
  <c r="G108" i="16"/>
  <c r="G107" i="16"/>
  <c r="G106" i="16"/>
  <c r="G105" i="16"/>
  <c r="G104" i="16"/>
  <c r="G103" i="16"/>
  <c r="G102" i="16"/>
  <c r="G101" i="16"/>
  <c r="G100" i="16"/>
  <c r="G99" i="16"/>
  <c r="G98" i="16"/>
  <c r="G97" i="16"/>
  <c r="G96" i="16"/>
  <c r="G95" i="16"/>
  <c r="G94" i="16"/>
  <c r="G93" i="16"/>
  <c r="G92" i="16"/>
  <c r="G91" i="16"/>
  <c r="G90" i="16"/>
  <c r="G89" i="16"/>
  <c r="G88" i="16"/>
  <c r="G87" i="16"/>
  <c r="G86" i="16"/>
  <c r="G85" i="16"/>
  <c r="G84" i="16"/>
  <c r="G83" i="16"/>
  <c r="G82" i="16"/>
  <c r="G81" i="16"/>
  <c r="G80" i="16"/>
  <c r="G79" i="16"/>
  <c r="G78" i="16"/>
  <c r="G77" i="16"/>
  <c r="G76" i="16"/>
  <c r="G75" i="16"/>
  <c r="G74" i="16"/>
  <c r="G73" i="16"/>
  <c r="G72" i="16"/>
  <c r="G71" i="16"/>
  <c r="G70" i="16"/>
  <c r="G69" i="16"/>
  <c r="G68" i="16"/>
  <c r="G67" i="16"/>
  <c r="G66" i="16"/>
  <c r="G65" i="16"/>
  <c r="G64" i="16"/>
  <c r="G63" i="16"/>
  <c r="G62" i="16"/>
  <c r="G61" i="16"/>
  <c r="G60" i="16"/>
  <c r="G59" i="16"/>
  <c r="G58" i="16"/>
  <c r="G57" i="16"/>
  <c r="G56" i="16"/>
  <c r="G55" i="16"/>
  <c r="G54" i="16"/>
  <c r="G53" i="16"/>
  <c r="G52" i="16"/>
  <c r="G51" i="16"/>
  <c r="G50" i="16"/>
  <c r="G49" i="16"/>
  <c r="G48" i="16"/>
  <c r="G47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G34" i="16"/>
  <c r="G33" i="16"/>
  <c r="G32" i="16"/>
  <c r="G31" i="16"/>
  <c r="G30" i="16"/>
  <c r="G29" i="16"/>
  <c r="G28" i="16"/>
  <c r="G27" i="16"/>
  <c r="G26" i="16"/>
  <c r="G25" i="16"/>
  <c r="G24" i="16"/>
  <c r="G23" i="16"/>
  <c r="G22" i="16"/>
  <c r="G21" i="16"/>
  <c r="G20" i="16"/>
  <c r="G19" i="16"/>
  <c r="G18" i="16"/>
  <c r="G17" i="16"/>
  <c r="G16" i="16"/>
  <c r="G15" i="16"/>
  <c r="G14" i="16"/>
  <c r="G13" i="16"/>
  <c r="G12" i="16"/>
  <c r="G11" i="16"/>
  <c r="G10" i="16"/>
  <c r="G9" i="16"/>
  <c r="G8" i="16"/>
  <c r="G7" i="16"/>
  <c r="G6" i="16"/>
  <c r="G5" i="16"/>
  <c r="G4" i="16"/>
  <c r="G3" i="16"/>
  <c r="G2" i="16"/>
  <c r="M501" i="13"/>
  <c r="M500" i="13"/>
  <c r="M499" i="13"/>
  <c r="M498" i="13"/>
  <c r="M497" i="13"/>
  <c r="M496" i="13"/>
  <c r="M495" i="13"/>
  <c r="M494" i="13"/>
  <c r="M493" i="13"/>
  <c r="M492" i="13"/>
  <c r="M491" i="13"/>
  <c r="M490" i="13"/>
  <c r="M489" i="13"/>
  <c r="M488" i="13"/>
  <c r="M487" i="13"/>
  <c r="M486" i="13"/>
  <c r="M485" i="13"/>
  <c r="M484" i="13"/>
  <c r="M483" i="13"/>
  <c r="M482" i="13"/>
  <c r="M481" i="13"/>
  <c r="M480" i="13"/>
  <c r="M479" i="13"/>
  <c r="M478" i="13"/>
  <c r="M477" i="13"/>
  <c r="M476" i="13"/>
  <c r="M475" i="13"/>
  <c r="M474" i="13"/>
  <c r="M473" i="13"/>
  <c r="M472" i="13"/>
  <c r="M471" i="13"/>
  <c r="M470" i="13"/>
  <c r="M469" i="13"/>
  <c r="M468" i="13"/>
  <c r="M467" i="13"/>
  <c r="M466" i="13"/>
  <c r="M465" i="13"/>
  <c r="M464" i="13"/>
  <c r="M463" i="13"/>
  <c r="M462" i="13"/>
  <c r="M461" i="13"/>
  <c r="M460" i="13"/>
  <c r="M459" i="13"/>
  <c r="M458" i="13"/>
  <c r="M457" i="13"/>
  <c r="M456" i="13"/>
  <c r="M455" i="13"/>
  <c r="M454" i="13"/>
  <c r="M453" i="13"/>
  <c r="M452" i="13"/>
  <c r="M451" i="13"/>
  <c r="M450" i="13"/>
  <c r="M449" i="13"/>
  <c r="M448" i="13"/>
  <c r="M447" i="13"/>
  <c r="M446" i="13"/>
  <c r="M445" i="13"/>
  <c r="M444" i="13"/>
  <c r="M443" i="13"/>
  <c r="M442" i="13"/>
  <c r="M441" i="13"/>
  <c r="M440" i="13"/>
  <c r="M439" i="13"/>
  <c r="M438" i="13"/>
  <c r="M437" i="13"/>
  <c r="M436" i="13"/>
  <c r="M435" i="13"/>
  <c r="M434" i="13"/>
  <c r="M433" i="13"/>
  <c r="M432" i="13"/>
  <c r="M431" i="13"/>
  <c r="M430" i="13"/>
  <c r="M429" i="13"/>
  <c r="M428" i="13"/>
  <c r="M427" i="13"/>
  <c r="M426" i="13"/>
  <c r="M425" i="13"/>
  <c r="M424" i="13"/>
  <c r="M423" i="13"/>
  <c r="M422" i="13"/>
  <c r="M421" i="13"/>
  <c r="M420" i="13"/>
  <c r="M419" i="13"/>
  <c r="M418" i="13"/>
  <c r="M417" i="13"/>
  <c r="M416" i="13"/>
  <c r="M415" i="13"/>
  <c r="M414" i="13"/>
  <c r="M413" i="13"/>
  <c r="M412" i="13"/>
  <c r="M411" i="13"/>
  <c r="M410" i="13"/>
  <c r="M409" i="13"/>
  <c r="M408" i="13"/>
  <c r="M407" i="13"/>
  <c r="M406" i="13"/>
  <c r="M405" i="13"/>
  <c r="M404" i="13"/>
  <c r="M403" i="13"/>
  <c r="M402" i="13"/>
  <c r="M401" i="13"/>
  <c r="M400" i="13"/>
  <c r="M399" i="13"/>
  <c r="M398" i="13"/>
  <c r="M397" i="13"/>
  <c r="M396" i="13"/>
  <c r="M395" i="13"/>
  <c r="M394" i="13"/>
  <c r="M393" i="13"/>
  <c r="M392" i="13"/>
  <c r="M391" i="13"/>
  <c r="M390" i="13"/>
  <c r="M389" i="13"/>
  <c r="M388" i="13"/>
  <c r="M387" i="13"/>
  <c r="M386" i="13"/>
  <c r="M385" i="13"/>
  <c r="M384" i="13"/>
  <c r="M383" i="13"/>
  <c r="M382" i="13"/>
  <c r="M381" i="13"/>
  <c r="M380" i="13"/>
  <c r="M379" i="13"/>
  <c r="M378" i="13"/>
  <c r="M377" i="13"/>
  <c r="M376" i="13"/>
  <c r="M375" i="13"/>
  <c r="M374" i="13"/>
  <c r="M373" i="13"/>
  <c r="M372" i="13"/>
  <c r="M371" i="13"/>
  <c r="M370" i="13"/>
  <c r="M369" i="13"/>
  <c r="M368" i="13"/>
  <c r="M367" i="13"/>
  <c r="M366" i="13"/>
  <c r="M365" i="13"/>
  <c r="M364" i="13"/>
  <c r="M363" i="13"/>
  <c r="M362" i="13"/>
  <c r="M361" i="13"/>
  <c r="M360" i="13"/>
  <c r="M359" i="13"/>
  <c r="M358" i="13"/>
  <c r="M357" i="13"/>
  <c r="M356" i="13"/>
  <c r="M355" i="13"/>
  <c r="M354" i="13"/>
  <c r="M353" i="13"/>
  <c r="M352" i="13"/>
  <c r="M351" i="13"/>
  <c r="M350" i="13"/>
  <c r="M349" i="13"/>
  <c r="M348" i="13"/>
  <c r="M347" i="13"/>
  <c r="M346" i="13"/>
  <c r="M345" i="13"/>
  <c r="M344" i="13"/>
  <c r="M343" i="13"/>
  <c r="M342" i="13"/>
  <c r="M341" i="13"/>
  <c r="M340" i="13"/>
  <c r="M339" i="13"/>
  <c r="M338" i="13"/>
  <c r="M337" i="13"/>
  <c r="M336" i="13"/>
  <c r="M335" i="13"/>
  <c r="M334" i="13"/>
  <c r="M333" i="13"/>
  <c r="M332" i="13"/>
  <c r="M331" i="13"/>
  <c r="M330" i="13"/>
  <c r="M329" i="13"/>
  <c r="M328" i="13"/>
  <c r="M327" i="13"/>
  <c r="M326" i="13"/>
  <c r="M325" i="13"/>
  <c r="M324" i="13"/>
  <c r="M323" i="13"/>
  <c r="M322" i="13"/>
  <c r="M321" i="13"/>
  <c r="M320" i="13"/>
  <c r="M319" i="13"/>
  <c r="M318" i="13"/>
  <c r="M317" i="13"/>
  <c r="M316" i="13"/>
  <c r="M315" i="13"/>
  <c r="M314" i="13"/>
  <c r="M313" i="13"/>
  <c r="M312" i="13"/>
  <c r="M311" i="13"/>
  <c r="M310" i="13"/>
  <c r="M309" i="13"/>
  <c r="M308" i="13"/>
  <c r="M307" i="13"/>
  <c r="M306" i="13"/>
  <c r="M305" i="13"/>
  <c r="M304" i="13"/>
  <c r="M303" i="13"/>
  <c r="M302" i="13"/>
  <c r="M301" i="13"/>
  <c r="M300" i="13"/>
  <c r="M299" i="13"/>
  <c r="M298" i="13"/>
  <c r="M297" i="13"/>
  <c r="M296" i="13"/>
  <c r="M295" i="13"/>
  <c r="M294" i="13"/>
  <c r="M293" i="13"/>
  <c r="M292" i="13"/>
  <c r="M291" i="13"/>
  <c r="M290" i="13"/>
  <c r="M289" i="13"/>
  <c r="M288" i="13"/>
  <c r="M287" i="13"/>
  <c r="M286" i="13"/>
  <c r="M285" i="13"/>
  <c r="M284" i="13"/>
  <c r="M283" i="13"/>
  <c r="M282" i="13"/>
  <c r="M281" i="13"/>
  <c r="M280" i="13"/>
  <c r="M279" i="13"/>
  <c r="M278" i="13"/>
  <c r="M277" i="13"/>
  <c r="M276" i="13"/>
  <c r="M275" i="13"/>
  <c r="M274" i="13"/>
  <c r="M273" i="13"/>
  <c r="M272" i="13"/>
  <c r="M271" i="13"/>
  <c r="M270" i="13"/>
  <c r="M269" i="13"/>
  <c r="M268" i="13"/>
  <c r="M267" i="13"/>
  <c r="M266" i="13"/>
  <c r="M265" i="13"/>
  <c r="M264" i="13"/>
  <c r="M263" i="13"/>
  <c r="M262" i="13"/>
  <c r="M261" i="13"/>
  <c r="M260" i="13"/>
  <c r="M259" i="13"/>
  <c r="M258" i="13"/>
  <c r="M257" i="13"/>
  <c r="M256" i="13"/>
  <c r="M255" i="13"/>
  <c r="M254" i="13"/>
  <c r="M253" i="13"/>
  <c r="M252" i="13"/>
  <c r="M251" i="13"/>
  <c r="M250" i="13"/>
  <c r="M249" i="13"/>
  <c r="M248" i="13"/>
  <c r="M247" i="13"/>
  <c r="M246" i="13"/>
  <c r="M245" i="13"/>
  <c r="M244" i="13"/>
  <c r="M243" i="13"/>
  <c r="M242" i="13"/>
  <c r="M241" i="13"/>
  <c r="M240" i="13"/>
  <c r="M239" i="13"/>
  <c r="M238" i="13"/>
  <c r="M237" i="13"/>
  <c r="M236" i="13"/>
  <c r="M235" i="13"/>
  <c r="M234" i="13"/>
  <c r="M233" i="13"/>
  <c r="M232" i="13"/>
  <c r="M231" i="13"/>
  <c r="M230" i="13"/>
  <c r="M229" i="13"/>
  <c r="M228" i="13"/>
  <c r="M227" i="13"/>
  <c r="M226" i="13"/>
  <c r="M225" i="13"/>
  <c r="M224" i="13"/>
  <c r="M223" i="13"/>
  <c r="M222" i="13"/>
  <c r="M221" i="13"/>
  <c r="M220" i="13"/>
  <c r="M219" i="13"/>
  <c r="M218" i="13"/>
  <c r="M217" i="13"/>
  <c r="M216" i="13"/>
  <c r="M215" i="13"/>
  <c r="M214" i="13"/>
  <c r="M213" i="13"/>
  <c r="M212" i="13"/>
  <c r="M211" i="13"/>
  <c r="M210" i="13"/>
  <c r="M209" i="13"/>
  <c r="M208" i="13"/>
  <c r="M207" i="13"/>
  <c r="M206" i="13"/>
  <c r="M205" i="13"/>
  <c r="M204" i="13"/>
  <c r="M203" i="13"/>
  <c r="M202" i="13"/>
  <c r="M201" i="13"/>
  <c r="M200" i="13"/>
  <c r="M199" i="13"/>
  <c r="M198" i="13"/>
  <c r="M197" i="13"/>
  <c r="M196" i="13"/>
  <c r="M195" i="13"/>
  <c r="M194" i="13"/>
  <c r="M193" i="13"/>
  <c r="M192" i="13"/>
  <c r="M191" i="13"/>
  <c r="M190" i="13"/>
  <c r="M189" i="13"/>
  <c r="M188" i="13"/>
  <c r="M187" i="13"/>
  <c r="M186" i="13"/>
  <c r="M185" i="13"/>
  <c r="M184" i="13"/>
  <c r="M183" i="13"/>
  <c r="M182" i="13"/>
  <c r="M181" i="13"/>
  <c r="M180" i="13"/>
  <c r="M179" i="13"/>
  <c r="M178" i="13"/>
  <c r="M177" i="13"/>
  <c r="M176" i="13"/>
  <c r="M175" i="13"/>
  <c r="M174" i="13"/>
  <c r="M173" i="13"/>
  <c r="M172" i="13"/>
  <c r="M171" i="13"/>
  <c r="M170" i="13"/>
  <c r="M169" i="13"/>
  <c r="M168" i="13"/>
  <c r="M167" i="13"/>
  <c r="M166" i="13"/>
  <c r="M165" i="13"/>
  <c r="M164" i="13"/>
  <c r="M163" i="13"/>
  <c r="M162" i="13"/>
  <c r="M161" i="13"/>
  <c r="M160" i="13"/>
  <c r="M159" i="13"/>
  <c r="M158" i="13"/>
  <c r="M157" i="13"/>
  <c r="M156" i="13"/>
  <c r="M155" i="13"/>
  <c r="M154" i="13"/>
  <c r="M153" i="13"/>
  <c r="M152" i="13"/>
  <c r="M151" i="13"/>
  <c r="M150" i="13"/>
  <c r="M149" i="13"/>
  <c r="M148" i="13"/>
  <c r="M147" i="13"/>
  <c r="M146" i="13"/>
  <c r="M145" i="13"/>
  <c r="M144" i="13"/>
  <c r="M143" i="13"/>
  <c r="M142" i="13"/>
  <c r="M141" i="13"/>
  <c r="M140" i="13"/>
  <c r="M139" i="13"/>
  <c r="M138" i="13"/>
  <c r="M137" i="13"/>
  <c r="M136" i="13"/>
  <c r="M135" i="13"/>
  <c r="M134" i="13"/>
  <c r="M133" i="13"/>
  <c r="M132" i="13"/>
  <c r="M131" i="13"/>
  <c r="M130" i="13"/>
  <c r="M129" i="13"/>
  <c r="M128" i="13"/>
  <c r="M127" i="13"/>
  <c r="M126" i="13"/>
  <c r="M125" i="13"/>
  <c r="M124" i="13"/>
  <c r="M123" i="13"/>
  <c r="M122" i="13"/>
  <c r="M121" i="13"/>
  <c r="M120" i="13"/>
  <c r="M119" i="13"/>
  <c r="M118" i="13"/>
  <c r="M117" i="13"/>
  <c r="M116" i="13"/>
  <c r="M115" i="13"/>
  <c r="M114" i="13"/>
  <c r="M113" i="13"/>
  <c r="M112" i="13"/>
  <c r="M111" i="13"/>
  <c r="M110" i="13"/>
  <c r="M109" i="13"/>
  <c r="M108" i="13"/>
  <c r="M107" i="13"/>
  <c r="M106" i="13"/>
  <c r="M105" i="13"/>
  <c r="M104" i="13"/>
  <c r="M103" i="13"/>
  <c r="M102" i="13"/>
  <c r="M101" i="13"/>
  <c r="M100" i="13"/>
  <c r="M99" i="13"/>
  <c r="M98" i="13"/>
  <c r="M97" i="13"/>
  <c r="M96" i="13"/>
  <c r="M95" i="13"/>
  <c r="M94" i="13"/>
  <c r="M93" i="13"/>
  <c r="M92" i="13"/>
  <c r="M91" i="13"/>
  <c r="M90" i="13"/>
  <c r="M89" i="13"/>
  <c r="M88" i="13"/>
  <c r="M87" i="13"/>
  <c r="M86" i="13"/>
  <c r="M85" i="13"/>
  <c r="M84" i="13"/>
  <c r="M83" i="13"/>
  <c r="M82" i="13"/>
  <c r="M81" i="13"/>
  <c r="M80" i="13"/>
  <c r="M79" i="13"/>
  <c r="M78" i="13"/>
  <c r="M77" i="13"/>
  <c r="M76" i="13"/>
  <c r="M75" i="13"/>
  <c r="M74" i="13"/>
  <c r="M73" i="13"/>
  <c r="M72" i="13"/>
  <c r="M71" i="13"/>
  <c r="M70" i="13"/>
  <c r="M69" i="13"/>
  <c r="M68" i="13"/>
  <c r="M67" i="13"/>
  <c r="M66" i="13"/>
  <c r="M65" i="13"/>
  <c r="M64" i="13"/>
  <c r="M63" i="13"/>
  <c r="M62" i="13"/>
  <c r="M61" i="13"/>
  <c r="M60" i="13"/>
  <c r="M59" i="13"/>
  <c r="M58" i="13"/>
  <c r="M57" i="13"/>
  <c r="M56" i="13"/>
  <c r="M55" i="13"/>
  <c r="M54" i="13"/>
  <c r="M53" i="13"/>
  <c r="M52" i="13"/>
  <c r="M51" i="13"/>
  <c r="M50" i="13"/>
  <c r="M49" i="13"/>
  <c r="M48" i="13"/>
  <c r="M47" i="13"/>
  <c r="M46" i="13"/>
  <c r="M45" i="13"/>
  <c r="M44" i="13"/>
  <c r="M43" i="13"/>
  <c r="M42" i="13"/>
  <c r="M41" i="13"/>
  <c r="M40" i="13"/>
  <c r="M39" i="13"/>
  <c r="M38" i="13"/>
  <c r="M37" i="13"/>
  <c r="M36" i="13"/>
  <c r="M35" i="13"/>
  <c r="M34" i="13"/>
  <c r="M33" i="13"/>
  <c r="M32" i="13"/>
  <c r="M31" i="13"/>
  <c r="M30" i="13"/>
  <c r="M29" i="13"/>
  <c r="M28" i="13"/>
  <c r="M27" i="13"/>
  <c r="M26" i="13"/>
  <c r="M25" i="13"/>
  <c r="M24" i="13"/>
  <c r="M23" i="13"/>
  <c r="M22" i="13"/>
  <c r="M21" i="13"/>
  <c r="M20" i="13"/>
  <c r="M19" i="13"/>
  <c r="M18" i="13"/>
  <c r="M17" i="13"/>
  <c r="M16" i="13"/>
  <c r="M15" i="13"/>
  <c r="M14" i="13"/>
  <c r="M13" i="13"/>
  <c r="M12" i="13"/>
  <c r="M11" i="13"/>
  <c r="M10" i="13"/>
  <c r="M9" i="13"/>
  <c r="M8" i="13"/>
  <c r="M7" i="13"/>
  <c r="M6" i="13"/>
  <c r="M5" i="13"/>
  <c r="M4" i="13"/>
  <c r="M3" i="13"/>
  <c r="M2" i="13"/>
  <c r="L501" i="13"/>
  <c r="L500" i="13"/>
  <c r="L499" i="13"/>
  <c r="L498" i="13"/>
  <c r="L497" i="13"/>
  <c r="L496" i="13"/>
  <c r="L495" i="13"/>
  <c r="L494" i="13"/>
  <c r="L493" i="13"/>
  <c r="L492" i="13"/>
  <c r="L491" i="13"/>
  <c r="L490" i="13"/>
  <c r="L489" i="13"/>
  <c r="L488" i="13"/>
  <c r="L487" i="13"/>
  <c r="L486" i="13"/>
  <c r="L485" i="13"/>
  <c r="L484" i="13"/>
  <c r="L483" i="13"/>
  <c r="L482" i="13"/>
  <c r="L481" i="13"/>
  <c r="L480" i="13"/>
  <c r="L479" i="13"/>
  <c r="L478" i="13"/>
  <c r="L477" i="13"/>
  <c r="L476" i="13"/>
  <c r="L475" i="13"/>
  <c r="L474" i="13"/>
  <c r="L473" i="13"/>
  <c r="L472" i="13"/>
  <c r="L471" i="13"/>
  <c r="L470" i="13"/>
  <c r="L469" i="13"/>
  <c r="L468" i="13"/>
  <c r="L467" i="13"/>
  <c r="L466" i="13"/>
  <c r="L465" i="13"/>
  <c r="L464" i="13"/>
  <c r="L463" i="13"/>
  <c r="L462" i="13"/>
  <c r="L461" i="13"/>
  <c r="L460" i="13"/>
  <c r="L459" i="13"/>
  <c r="L458" i="13"/>
  <c r="L457" i="13"/>
  <c r="L456" i="13"/>
  <c r="L455" i="13"/>
  <c r="L454" i="13"/>
  <c r="L453" i="13"/>
  <c r="L452" i="13"/>
  <c r="L451" i="13"/>
  <c r="L450" i="13"/>
  <c r="L449" i="13"/>
  <c r="L448" i="13"/>
  <c r="L447" i="13"/>
  <c r="L446" i="13"/>
  <c r="L445" i="13"/>
  <c r="L444" i="13"/>
  <c r="L443" i="13"/>
  <c r="L442" i="13"/>
  <c r="L441" i="13"/>
  <c r="L440" i="13"/>
  <c r="L439" i="13"/>
  <c r="L438" i="13"/>
  <c r="L437" i="13"/>
  <c r="L436" i="13"/>
  <c r="L435" i="13"/>
  <c r="L434" i="13"/>
  <c r="L433" i="13"/>
  <c r="L432" i="13"/>
  <c r="L431" i="13"/>
  <c r="L430" i="13"/>
  <c r="L429" i="13"/>
  <c r="L428" i="13"/>
  <c r="L427" i="13"/>
  <c r="L426" i="13"/>
  <c r="L425" i="13"/>
  <c r="L424" i="13"/>
  <c r="L423" i="13"/>
  <c r="L422" i="13"/>
  <c r="L421" i="13"/>
  <c r="L420" i="13"/>
  <c r="L419" i="13"/>
  <c r="L418" i="13"/>
  <c r="L417" i="13"/>
  <c r="L416" i="13"/>
  <c r="L415" i="13"/>
  <c r="L414" i="13"/>
  <c r="L413" i="13"/>
  <c r="L412" i="13"/>
  <c r="L411" i="13"/>
  <c r="L410" i="13"/>
  <c r="L409" i="13"/>
  <c r="L408" i="13"/>
  <c r="L407" i="13"/>
  <c r="L406" i="13"/>
  <c r="L405" i="13"/>
  <c r="L404" i="13"/>
  <c r="L403" i="13"/>
  <c r="L402" i="13"/>
  <c r="L401" i="13"/>
  <c r="L400" i="13"/>
  <c r="L399" i="13"/>
  <c r="L398" i="13"/>
  <c r="L397" i="13"/>
  <c r="L396" i="13"/>
  <c r="L395" i="13"/>
  <c r="L394" i="13"/>
  <c r="L393" i="13"/>
  <c r="L392" i="13"/>
  <c r="L391" i="13"/>
  <c r="L390" i="13"/>
  <c r="L389" i="13"/>
  <c r="L388" i="13"/>
  <c r="L387" i="13"/>
  <c r="L386" i="13"/>
  <c r="L385" i="13"/>
  <c r="L384" i="13"/>
  <c r="L383" i="13"/>
  <c r="L382" i="13"/>
  <c r="L381" i="13"/>
  <c r="L380" i="13"/>
  <c r="L379" i="13"/>
  <c r="L378" i="13"/>
  <c r="L377" i="13"/>
  <c r="L376" i="13"/>
  <c r="L375" i="13"/>
  <c r="L374" i="13"/>
  <c r="L373" i="13"/>
  <c r="L372" i="13"/>
  <c r="L371" i="13"/>
  <c r="L370" i="13"/>
  <c r="L369" i="13"/>
  <c r="L368" i="13"/>
  <c r="L367" i="13"/>
  <c r="L366" i="13"/>
  <c r="L365" i="13"/>
  <c r="L364" i="13"/>
  <c r="L363" i="13"/>
  <c r="L362" i="13"/>
  <c r="L361" i="13"/>
  <c r="L360" i="13"/>
  <c r="L359" i="13"/>
  <c r="L358" i="13"/>
  <c r="L357" i="13"/>
  <c r="L356" i="13"/>
  <c r="L355" i="13"/>
  <c r="L354" i="13"/>
  <c r="L353" i="13"/>
  <c r="L352" i="13"/>
  <c r="L351" i="13"/>
  <c r="L350" i="13"/>
  <c r="L349" i="13"/>
  <c r="L348" i="13"/>
  <c r="L347" i="13"/>
  <c r="L346" i="13"/>
  <c r="L345" i="13"/>
  <c r="L344" i="13"/>
  <c r="L343" i="13"/>
  <c r="L342" i="13"/>
  <c r="L341" i="13"/>
  <c r="L340" i="13"/>
  <c r="L339" i="13"/>
  <c r="L338" i="13"/>
  <c r="L337" i="13"/>
  <c r="L336" i="13"/>
  <c r="L335" i="13"/>
  <c r="L334" i="13"/>
  <c r="L333" i="13"/>
  <c r="L332" i="13"/>
  <c r="L331" i="13"/>
  <c r="L330" i="13"/>
  <c r="L329" i="13"/>
  <c r="L328" i="13"/>
  <c r="L327" i="13"/>
  <c r="L326" i="13"/>
  <c r="L325" i="13"/>
  <c r="L324" i="13"/>
  <c r="L323" i="13"/>
  <c r="L322" i="13"/>
  <c r="L321" i="13"/>
  <c r="L320" i="13"/>
  <c r="L319" i="13"/>
  <c r="L318" i="13"/>
  <c r="L317" i="13"/>
  <c r="L316" i="13"/>
  <c r="L315" i="13"/>
  <c r="L314" i="13"/>
  <c r="L313" i="13"/>
  <c r="L312" i="13"/>
  <c r="L311" i="13"/>
  <c r="L310" i="13"/>
  <c r="L309" i="13"/>
  <c r="L308" i="13"/>
  <c r="L307" i="13"/>
  <c r="L306" i="13"/>
  <c r="L305" i="13"/>
  <c r="L304" i="13"/>
  <c r="L303" i="13"/>
  <c r="L302" i="13"/>
  <c r="L301" i="13"/>
  <c r="L300" i="13"/>
  <c r="L299" i="13"/>
  <c r="L298" i="13"/>
  <c r="L297" i="13"/>
  <c r="L296" i="13"/>
  <c r="L295" i="13"/>
  <c r="L294" i="13"/>
  <c r="L293" i="13"/>
  <c r="L292" i="13"/>
  <c r="L291" i="13"/>
  <c r="L290" i="13"/>
  <c r="L289" i="13"/>
  <c r="L288" i="13"/>
  <c r="L287" i="13"/>
  <c r="L286" i="13"/>
  <c r="L285" i="13"/>
  <c r="L284" i="13"/>
  <c r="L283" i="13"/>
  <c r="L282" i="13"/>
  <c r="L281" i="13"/>
  <c r="L280" i="13"/>
  <c r="L279" i="13"/>
  <c r="L278" i="13"/>
  <c r="L277" i="13"/>
  <c r="L276" i="13"/>
  <c r="L275" i="13"/>
  <c r="L274" i="13"/>
  <c r="L273" i="13"/>
  <c r="L272" i="13"/>
  <c r="L271" i="13"/>
  <c r="L270" i="13"/>
  <c r="L269" i="13"/>
  <c r="L268" i="13"/>
  <c r="L267" i="13"/>
  <c r="L266" i="13"/>
  <c r="L265" i="13"/>
  <c r="L264" i="13"/>
  <c r="L263" i="13"/>
  <c r="L262" i="13"/>
  <c r="L261" i="13"/>
  <c r="L260" i="13"/>
  <c r="L259" i="13"/>
  <c r="L258" i="13"/>
  <c r="L257" i="13"/>
  <c r="L256" i="13"/>
  <c r="L255" i="13"/>
  <c r="L254" i="13"/>
  <c r="L253" i="13"/>
  <c r="L252" i="13"/>
  <c r="L251" i="13"/>
  <c r="L250" i="13"/>
  <c r="L249" i="13"/>
  <c r="L248" i="13"/>
  <c r="L247" i="13"/>
  <c r="L246" i="13"/>
  <c r="L245" i="13"/>
  <c r="L244" i="13"/>
  <c r="L243" i="13"/>
  <c r="L242" i="13"/>
  <c r="L241" i="13"/>
  <c r="L240" i="13"/>
  <c r="L239" i="13"/>
  <c r="L238" i="13"/>
  <c r="L237" i="13"/>
  <c r="L236" i="13"/>
  <c r="L235" i="13"/>
  <c r="L234" i="13"/>
  <c r="L233" i="13"/>
  <c r="L232" i="13"/>
  <c r="L231" i="13"/>
  <c r="L230" i="13"/>
  <c r="L229" i="13"/>
  <c r="L228" i="13"/>
  <c r="L227" i="13"/>
  <c r="L226" i="13"/>
  <c r="L225" i="13"/>
  <c r="L224" i="13"/>
  <c r="L223" i="13"/>
  <c r="L222" i="13"/>
  <c r="L221" i="13"/>
  <c r="L220" i="13"/>
  <c r="L219" i="13"/>
  <c r="L218" i="13"/>
  <c r="L217" i="13"/>
  <c r="L216" i="13"/>
  <c r="L215" i="13"/>
  <c r="L214" i="13"/>
  <c r="L213" i="13"/>
  <c r="L212" i="13"/>
  <c r="L211" i="13"/>
  <c r="L210" i="13"/>
  <c r="L209" i="13"/>
  <c r="L208" i="13"/>
  <c r="L207" i="13"/>
  <c r="L206" i="13"/>
  <c r="L205" i="13"/>
  <c r="L204" i="13"/>
  <c r="L203" i="13"/>
  <c r="L202" i="13"/>
  <c r="L201" i="13"/>
  <c r="L200" i="13"/>
  <c r="L199" i="13"/>
  <c r="L198" i="13"/>
  <c r="L197" i="13"/>
  <c r="L196" i="13"/>
  <c r="L195" i="13"/>
  <c r="L194" i="13"/>
  <c r="L193" i="13"/>
  <c r="L192" i="13"/>
  <c r="L191" i="13"/>
  <c r="L190" i="13"/>
  <c r="L189" i="13"/>
  <c r="L188" i="13"/>
  <c r="L187" i="13"/>
  <c r="L186" i="13"/>
  <c r="L185" i="13"/>
  <c r="L184" i="13"/>
  <c r="L183" i="13"/>
  <c r="L182" i="13"/>
  <c r="L181" i="13"/>
  <c r="L180" i="13"/>
  <c r="L179" i="13"/>
  <c r="L178" i="13"/>
  <c r="L177" i="13"/>
  <c r="L176" i="13"/>
  <c r="L175" i="13"/>
  <c r="L174" i="13"/>
  <c r="L173" i="13"/>
  <c r="L172" i="13"/>
  <c r="L171" i="13"/>
  <c r="L170" i="13"/>
  <c r="L169" i="13"/>
  <c r="L168" i="13"/>
  <c r="L167" i="13"/>
  <c r="L166" i="13"/>
  <c r="L165" i="13"/>
  <c r="L164" i="13"/>
  <c r="L163" i="13"/>
  <c r="L162" i="13"/>
  <c r="L161" i="13"/>
  <c r="L160" i="13"/>
  <c r="L159" i="13"/>
  <c r="L158" i="13"/>
  <c r="L157" i="13"/>
  <c r="L156" i="13"/>
  <c r="L155" i="13"/>
  <c r="L154" i="13"/>
  <c r="L153" i="13"/>
  <c r="L152" i="13"/>
  <c r="L151" i="13"/>
  <c r="L150" i="13"/>
  <c r="L149" i="13"/>
  <c r="L148" i="13"/>
  <c r="L147" i="13"/>
  <c r="L146" i="13"/>
  <c r="L145" i="13"/>
  <c r="L144" i="13"/>
  <c r="L143" i="13"/>
  <c r="L142" i="13"/>
  <c r="L141" i="13"/>
  <c r="L140" i="13"/>
  <c r="L139" i="13"/>
  <c r="L138" i="13"/>
  <c r="L137" i="13"/>
  <c r="L136" i="13"/>
  <c r="L135" i="13"/>
  <c r="L134" i="13"/>
  <c r="L133" i="13"/>
  <c r="L132" i="13"/>
  <c r="L131" i="13"/>
  <c r="L130" i="13"/>
  <c r="L129" i="13"/>
  <c r="L128" i="13"/>
  <c r="L127" i="13"/>
  <c r="L126" i="13"/>
  <c r="L125" i="13"/>
  <c r="L124" i="13"/>
  <c r="L123" i="13"/>
  <c r="L122" i="13"/>
  <c r="L121" i="13"/>
  <c r="L120" i="13"/>
  <c r="L119" i="13"/>
  <c r="L118" i="13"/>
  <c r="L117" i="13"/>
  <c r="L116" i="13"/>
  <c r="L115" i="13"/>
  <c r="L114" i="13"/>
  <c r="L113" i="13"/>
  <c r="L112" i="13"/>
  <c r="L111" i="13"/>
  <c r="L110" i="13"/>
  <c r="L109" i="13"/>
  <c r="L108" i="13"/>
  <c r="L107" i="13"/>
  <c r="L106" i="13"/>
  <c r="L105" i="13"/>
  <c r="L104" i="13"/>
  <c r="L103" i="13"/>
  <c r="L102" i="13"/>
  <c r="L101" i="13"/>
  <c r="L100" i="13"/>
  <c r="L99" i="13"/>
  <c r="L98" i="13"/>
  <c r="L97" i="13"/>
  <c r="L96" i="13"/>
  <c r="L95" i="13"/>
  <c r="L94" i="13"/>
  <c r="L93" i="13"/>
  <c r="L92" i="13"/>
  <c r="L91" i="13"/>
  <c r="L90" i="13"/>
  <c r="L89" i="13"/>
  <c r="L88" i="13"/>
  <c r="L87" i="13"/>
  <c r="L86" i="13"/>
  <c r="L85" i="13"/>
  <c r="L84" i="13"/>
  <c r="L83" i="13"/>
  <c r="L82" i="13"/>
  <c r="L81" i="13"/>
  <c r="L80" i="13"/>
  <c r="L79" i="13"/>
  <c r="L78" i="13"/>
  <c r="L77" i="13"/>
  <c r="L76" i="13"/>
  <c r="L75" i="13"/>
  <c r="L74" i="13"/>
  <c r="L73" i="13"/>
  <c r="L72" i="13"/>
  <c r="L71" i="13"/>
  <c r="L70" i="13"/>
  <c r="L69" i="13"/>
  <c r="L68" i="13"/>
  <c r="L67" i="13"/>
  <c r="L66" i="13"/>
  <c r="L65" i="13"/>
  <c r="L64" i="13"/>
  <c r="L63" i="13"/>
  <c r="L62" i="13"/>
  <c r="L61" i="13"/>
  <c r="L60" i="13"/>
  <c r="L59" i="13"/>
  <c r="L58" i="13"/>
  <c r="L57" i="13"/>
  <c r="L56" i="13"/>
  <c r="L55" i="13"/>
  <c r="L54" i="13"/>
  <c r="L53" i="13"/>
  <c r="L52" i="13"/>
  <c r="L51" i="13"/>
  <c r="L50" i="13"/>
  <c r="L49" i="13"/>
  <c r="L48" i="13"/>
  <c r="L47" i="13"/>
  <c r="L46" i="13"/>
  <c r="L45" i="13"/>
  <c r="L44" i="13"/>
  <c r="L43" i="13"/>
  <c r="L42" i="13"/>
  <c r="L41" i="13"/>
  <c r="L40" i="13"/>
  <c r="L39" i="13"/>
  <c r="L38" i="13"/>
  <c r="L37" i="13"/>
  <c r="L36" i="13"/>
  <c r="L35" i="13"/>
  <c r="L34" i="13"/>
  <c r="L33" i="13"/>
  <c r="L32" i="13"/>
  <c r="L31" i="13"/>
  <c r="L30" i="13"/>
  <c r="L29" i="13"/>
  <c r="L28" i="13"/>
  <c r="L27" i="13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L4" i="13"/>
  <c r="L3" i="13"/>
  <c r="L2" i="13"/>
  <c r="B501" i="13"/>
  <c r="B500" i="13"/>
  <c r="B499" i="13"/>
  <c r="B498" i="13"/>
  <c r="B497" i="13"/>
  <c r="B496" i="13"/>
  <c r="B495" i="13"/>
  <c r="B494" i="13"/>
  <c r="B493" i="13"/>
  <c r="B492" i="13"/>
  <c r="B491" i="13"/>
  <c r="B490" i="13"/>
  <c r="B489" i="13"/>
  <c r="B488" i="13"/>
  <c r="B487" i="13"/>
  <c r="B486" i="13"/>
  <c r="B485" i="13"/>
  <c r="B484" i="13"/>
  <c r="B483" i="13"/>
  <c r="B482" i="13"/>
  <c r="B481" i="13"/>
  <c r="B480" i="13"/>
  <c r="B479" i="13"/>
  <c r="B478" i="13"/>
  <c r="B477" i="13"/>
  <c r="B476" i="13"/>
  <c r="B475" i="13"/>
  <c r="B474" i="13"/>
  <c r="B473" i="13"/>
  <c r="B472" i="13"/>
  <c r="B471" i="13"/>
  <c r="B470" i="13"/>
  <c r="B469" i="13"/>
  <c r="B468" i="13"/>
  <c r="B467" i="13"/>
  <c r="B466" i="13"/>
  <c r="B465" i="13"/>
  <c r="B464" i="13"/>
  <c r="B463" i="13"/>
  <c r="B462" i="13"/>
  <c r="B461" i="13"/>
  <c r="B460" i="13"/>
  <c r="B459" i="13"/>
  <c r="B458" i="13"/>
  <c r="B457" i="13"/>
  <c r="B456" i="13"/>
  <c r="B455" i="13"/>
  <c r="B454" i="13"/>
  <c r="B453" i="13"/>
  <c r="B452" i="13"/>
  <c r="B451" i="13"/>
  <c r="B450" i="13"/>
  <c r="B449" i="13"/>
  <c r="B448" i="13"/>
  <c r="B447" i="13"/>
  <c r="B446" i="13"/>
  <c r="B445" i="13"/>
  <c r="B444" i="13"/>
  <c r="B443" i="13"/>
  <c r="B442" i="13"/>
  <c r="B441" i="13"/>
  <c r="B440" i="13"/>
  <c r="B439" i="13"/>
  <c r="B438" i="13"/>
  <c r="B437" i="13"/>
  <c r="B436" i="13"/>
  <c r="B435" i="13"/>
  <c r="B434" i="13"/>
  <c r="B433" i="13"/>
  <c r="B432" i="13"/>
  <c r="B431" i="13"/>
  <c r="B430" i="13"/>
  <c r="B429" i="13"/>
  <c r="B428" i="13"/>
  <c r="B427" i="13"/>
  <c r="B426" i="13"/>
  <c r="B425" i="13"/>
  <c r="B424" i="13"/>
  <c r="B423" i="13"/>
  <c r="B422" i="13"/>
  <c r="B421" i="13"/>
  <c r="B420" i="13"/>
  <c r="B419" i="13"/>
  <c r="B418" i="13"/>
  <c r="B417" i="13"/>
  <c r="B416" i="13"/>
  <c r="B415" i="13"/>
  <c r="B414" i="13"/>
  <c r="B413" i="13"/>
  <c r="B412" i="13"/>
  <c r="B411" i="13"/>
  <c r="B410" i="13"/>
  <c r="B409" i="13"/>
  <c r="B408" i="13"/>
  <c r="B407" i="13"/>
  <c r="B406" i="13"/>
  <c r="B405" i="13"/>
  <c r="B404" i="13"/>
  <c r="B403" i="13"/>
  <c r="B402" i="13"/>
  <c r="B401" i="13"/>
  <c r="B400" i="13"/>
  <c r="B399" i="13"/>
  <c r="B398" i="13"/>
  <c r="B397" i="13"/>
  <c r="B396" i="13"/>
  <c r="B395" i="13"/>
  <c r="B394" i="13"/>
  <c r="B393" i="13"/>
  <c r="B392" i="13"/>
  <c r="B391" i="13"/>
  <c r="B390" i="13"/>
  <c r="B389" i="13"/>
  <c r="B388" i="13"/>
  <c r="B387" i="13"/>
  <c r="B386" i="13"/>
  <c r="B385" i="13"/>
  <c r="B384" i="13"/>
  <c r="B383" i="13"/>
  <c r="B382" i="13"/>
  <c r="B381" i="13"/>
  <c r="B380" i="13"/>
  <c r="B379" i="13"/>
  <c r="B378" i="13"/>
  <c r="B377" i="13"/>
  <c r="B376" i="13"/>
  <c r="B375" i="13"/>
  <c r="B374" i="13"/>
  <c r="B373" i="13"/>
  <c r="B372" i="13"/>
  <c r="B371" i="13"/>
  <c r="B370" i="13"/>
  <c r="B369" i="13"/>
  <c r="B368" i="13"/>
  <c r="B367" i="13"/>
  <c r="B366" i="13"/>
  <c r="B365" i="13"/>
  <c r="B364" i="13"/>
  <c r="B363" i="13"/>
  <c r="B362" i="13"/>
  <c r="B361" i="13"/>
  <c r="B360" i="13"/>
  <c r="B359" i="13"/>
  <c r="B358" i="13"/>
  <c r="B357" i="13"/>
  <c r="B356" i="13"/>
  <c r="B355" i="13"/>
  <c r="B354" i="13"/>
  <c r="B353" i="13"/>
  <c r="B352" i="13"/>
  <c r="B351" i="13"/>
  <c r="B350" i="13"/>
  <c r="B349" i="13"/>
  <c r="B348" i="13"/>
  <c r="B347" i="13"/>
  <c r="B346" i="13"/>
  <c r="B345" i="13"/>
  <c r="B344" i="13"/>
  <c r="B343" i="13"/>
  <c r="B342" i="13"/>
  <c r="B341" i="13"/>
  <c r="B340" i="13"/>
  <c r="B339" i="13"/>
  <c r="B338" i="13"/>
  <c r="B337" i="13"/>
  <c r="B336" i="13"/>
  <c r="B335" i="13"/>
  <c r="B334" i="13"/>
  <c r="B333" i="13"/>
  <c r="B332" i="13"/>
  <c r="B331" i="13"/>
  <c r="B330" i="13"/>
  <c r="B329" i="13"/>
  <c r="B328" i="13"/>
  <c r="B327" i="13"/>
  <c r="B326" i="13"/>
  <c r="B325" i="13"/>
  <c r="B324" i="13"/>
  <c r="B323" i="13"/>
  <c r="B322" i="13"/>
  <c r="B321" i="13"/>
  <c r="B320" i="13"/>
  <c r="B319" i="13"/>
  <c r="B318" i="13"/>
  <c r="B317" i="13"/>
  <c r="B316" i="13"/>
  <c r="B315" i="13"/>
  <c r="B314" i="13"/>
  <c r="B313" i="13"/>
  <c r="B312" i="13"/>
  <c r="B311" i="13"/>
  <c r="B310" i="13"/>
  <c r="B309" i="13"/>
  <c r="B308" i="13"/>
  <c r="B307" i="13"/>
  <c r="B306" i="13"/>
  <c r="B305" i="13"/>
  <c r="B304" i="13"/>
  <c r="B303" i="13"/>
  <c r="B302" i="13"/>
  <c r="B301" i="13"/>
  <c r="B300" i="13"/>
  <c r="B299" i="13"/>
  <c r="B298" i="13"/>
  <c r="B297" i="13"/>
  <c r="B296" i="13"/>
  <c r="B295" i="13"/>
  <c r="B294" i="13"/>
  <c r="B293" i="13"/>
  <c r="B292" i="13"/>
  <c r="B291" i="13"/>
  <c r="B290" i="13"/>
  <c r="B289" i="13"/>
  <c r="B288" i="13"/>
  <c r="B287" i="13"/>
  <c r="B286" i="13"/>
  <c r="B285" i="13"/>
  <c r="B284" i="13"/>
  <c r="B283" i="13"/>
  <c r="B282" i="13"/>
  <c r="B281" i="13"/>
  <c r="B280" i="13"/>
  <c r="B279" i="13"/>
  <c r="B278" i="13"/>
  <c r="B277" i="13"/>
  <c r="B276" i="13"/>
  <c r="B275" i="13"/>
  <c r="B274" i="13"/>
  <c r="B273" i="13"/>
  <c r="B272" i="13"/>
  <c r="B271" i="13"/>
  <c r="B270" i="13"/>
  <c r="B269" i="13"/>
  <c r="B268" i="13"/>
  <c r="B267" i="13"/>
  <c r="B266" i="13"/>
  <c r="B265" i="13"/>
  <c r="B264" i="13"/>
  <c r="B263" i="13"/>
  <c r="B262" i="13"/>
  <c r="B261" i="13"/>
  <c r="B260" i="13"/>
  <c r="B259" i="13"/>
  <c r="B258" i="13"/>
  <c r="B257" i="13"/>
  <c r="B256" i="13"/>
  <c r="B255" i="13"/>
  <c r="B254" i="13"/>
  <c r="B253" i="13"/>
  <c r="B252" i="13"/>
  <c r="B251" i="13"/>
  <c r="B250" i="13"/>
  <c r="B249" i="13"/>
  <c r="B248" i="13"/>
  <c r="B247" i="13"/>
  <c r="B246" i="13"/>
  <c r="B245" i="13"/>
  <c r="B244" i="13"/>
  <c r="B243" i="13"/>
  <c r="B242" i="13"/>
  <c r="B241" i="13"/>
  <c r="B240" i="13"/>
  <c r="B239" i="13"/>
  <c r="B238" i="13"/>
  <c r="B237" i="13"/>
  <c r="B236" i="13"/>
  <c r="B235" i="13"/>
  <c r="B234" i="13"/>
  <c r="B233" i="13"/>
  <c r="B232" i="13"/>
  <c r="B231" i="13"/>
  <c r="B230" i="13"/>
  <c r="B229" i="13"/>
  <c r="B228" i="13"/>
  <c r="B227" i="13"/>
  <c r="B226" i="13"/>
  <c r="B225" i="13"/>
  <c r="B224" i="13"/>
  <c r="B223" i="13"/>
  <c r="B222" i="13"/>
  <c r="B221" i="13"/>
  <c r="B220" i="13"/>
  <c r="B219" i="13"/>
  <c r="B218" i="13"/>
  <c r="B217" i="13"/>
  <c r="B216" i="13"/>
  <c r="B215" i="13"/>
  <c r="B214" i="13"/>
  <c r="B213" i="13"/>
  <c r="B212" i="13"/>
  <c r="B211" i="13"/>
  <c r="B210" i="13"/>
  <c r="B209" i="13"/>
  <c r="B208" i="13"/>
  <c r="B207" i="13"/>
  <c r="B206" i="13"/>
  <c r="B205" i="13"/>
  <c r="B204" i="13"/>
  <c r="B203" i="13"/>
  <c r="B202" i="13"/>
  <c r="B201" i="13"/>
  <c r="B200" i="13"/>
  <c r="B199" i="13"/>
  <c r="B198" i="13"/>
  <c r="B197" i="13"/>
  <c r="B196" i="13"/>
  <c r="B195" i="13"/>
  <c r="B194" i="13"/>
  <c r="B193" i="13"/>
  <c r="B192" i="13"/>
  <c r="B191" i="13"/>
  <c r="B190" i="13"/>
  <c r="B189" i="13"/>
  <c r="B188" i="13"/>
  <c r="B187" i="13"/>
  <c r="B186" i="13"/>
  <c r="B185" i="13"/>
  <c r="B184" i="13"/>
  <c r="B183" i="13"/>
  <c r="B182" i="13"/>
  <c r="B181" i="13"/>
  <c r="B180" i="13"/>
  <c r="B179" i="13"/>
  <c r="B178" i="13"/>
  <c r="B177" i="13"/>
  <c r="B176" i="13"/>
  <c r="B175" i="13"/>
  <c r="B174" i="13"/>
  <c r="B173" i="13"/>
  <c r="B172" i="13"/>
  <c r="B171" i="13"/>
  <c r="B170" i="13"/>
  <c r="B169" i="13"/>
  <c r="B168" i="13"/>
  <c r="B167" i="13"/>
  <c r="B166" i="13"/>
  <c r="B165" i="13"/>
  <c r="B164" i="13"/>
  <c r="B163" i="13"/>
  <c r="B162" i="13"/>
  <c r="B161" i="13"/>
  <c r="B160" i="13"/>
  <c r="B159" i="13"/>
  <c r="B158" i="13"/>
  <c r="B157" i="13"/>
  <c r="B156" i="13"/>
  <c r="B155" i="13"/>
  <c r="B154" i="13"/>
  <c r="B153" i="13"/>
  <c r="B152" i="13"/>
  <c r="B151" i="13"/>
  <c r="B150" i="13"/>
  <c r="B149" i="13"/>
  <c r="B148" i="13"/>
  <c r="B147" i="13"/>
  <c r="B146" i="13"/>
  <c r="B145" i="13"/>
  <c r="B144" i="13"/>
  <c r="B143" i="13"/>
  <c r="B142" i="13"/>
  <c r="B141" i="13"/>
  <c r="B140" i="13"/>
  <c r="B139" i="13"/>
  <c r="B138" i="13"/>
  <c r="B137" i="13"/>
  <c r="B136" i="13"/>
  <c r="B135" i="13"/>
  <c r="B134" i="13"/>
  <c r="B133" i="13"/>
  <c r="B132" i="13"/>
  <c r="B131" i="13"/>
  <c r="B130" i="13"/>
  <c r="B129" i="13"/>
  <c r="B128" i="13"/>
  <c r="B127" i="13"/>
  <c r="B126" i="13"/>
  <c r="B125" i="13"/>
  <c r="B124" i="13"/>
  <c r="B123" i="13"/>
  <c r="B122" i="13"/>
  <c r="B121" i="13"/>
  <c r="B120" i="13"/>
  <c r="B119" i="13"/>
  <c r="B118" i="13"/>
  <c r="B117" i="13"/>
  <c r="B116" i="13"/>
  <c r="B115" i="13"/>
  <c r="B114" i="13"/>
  <c r="B113" i="13"/>
  <c r="B112" i="13"/>
  <c r="B111" i="13"/>
  <c r="B110" i="13"/>
  <c r="B109" i="13"/>
  <c r="B108" i="13"/>
  <c r="B107" i="13"/>
  <c r="B106" i="13"/>
  <c r="B105" i="13"/>
  <c r="B104" i="13"/>
  <c r="B103" i="13"/>
  <c r="B102" i="13"/>
  <c r="B101" i="13"/>
  <c r="B100" i="13"/>
  <c r="B99" i="13"/>
  <c r="B98" i="13"/>
  <c r="B97" i="13"/>
  <c r="B96" i="13"/>
  <c r="B95" i="13"/>
  <c r="B94" i="13"/>
  <c r="B93" i="13"/>
  <c r="B92" i="13"/>
  <c r="B91" i="13"/>
  <c r="B90" i="13"/>
  <c r="B89" i="13"/>
  <c r="B88" i="13"/>
  <c r="B87" i="13"/>
  <c r="B86" i="13"/>
  <c r="B85" i="13"/>
  <c r="B84" i="13"/>
  <c r="B83" i="13"/>
  <c r="B82" i="13"/>
  <c r="B81" i="13"/>
  <c r="B80" i="13"/>
  <c r="B79" i="13"/>
  <c r="B78" i="13"/>
  <c r="B77" i="13"/>
  <c r="B76" i="13"/>
  <c r="B75" i="13"/>
  <c r="B74" i="13"/>
  <c r="B73" i="13"/>
  <c r="B72" i="13"/>
  <c r="B71" i="13"/>
  <c r="B70" i="13"/>
  <c r="B69" i="13"/>
  <c r="B68" i="13"/>
  <c r="B67" i="13"/>
  <c r="B66" i="13"/>
  <c r="B65" i="13"/>
  <c r="B64" i="13"/>
  <c r="B63" i="13"/>
  <c r="B62" i="13"/>
  <c r="B61" i="13"/>
  <c r="B60" i="13"/>
  <c r="B59" i="13"/>
  <c r="B58" i="13"/>
  <c r="B57" i="13"/>
  <c r="B56" i="13"/>
  <c r="B55" i="13"/>
  <c r="B54" i="13"/>
  <c r="B53" i="13"/>
  <c r="B52" i="13"/>
  <c r="B51" i="13"/>
  <c r="B50" i="13"/>
  <c r="B49" i="13"/>
  <c r="B48" i="13"/>
  <c r="B47" i="13"/>
  <c r="B46" i="13"/>
  <c r="B45" i="13"/>
  <c r="B44" i="13"/>
  <c r="B43" i="13"/>
  <c r="B42" i="13"/>
  <c r="B41" i="13"/>
  <c r="B40" i="13"/>
  <c r="B39" i="13"/>
  <c r="B38" i="13"/>
  <c r="B37" i="13"/>
  <c r="B36" i="13"/>
  <c r="B35" i="13"/>
  <c r="B34" i="13"/>
  <c r="B33" i="13"/>
  <c r="B32" i="13"/>
  <c r="B31" i="13"/>
  <c r="B30" i="13"/>
  <c r="B29" i="13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/>
  <c r="B6" i="13"/>
  <c r="B5" i="13"/>
  <c r="B4" i="13"/>
  <c r="B3" i="13"/>
  <c r="B2" i="13"/>
</calcChain>
</file>

<file path=xl/sharedStrings.xml><?xml version="1.0" encoding="utf-8"?>
<sst xmlns="http://schemas.openxmlformats.org/spreadsheetml/2006/main" count="27323" uniqueCount="6133">
  <si>
    <t>PatientID</t>
  </si>
  <si>
    <t>FullName</t>
  </si>
  <si>
    <t>DateOfBirth</t>
  </si>
  <si>
    <t>Gender</t>
  </si>
  <si>
    <t>BloodType</t>
  </si>
  <si>
    <t>PAT-1001</t>
  </si>
  <si>
    <t>Aarav Brown</t>
  </si>
  <si>
    <t>2009-09-17</t>
  </si>
  <si>
    <t>Male</t>
  </si>
  <si>
    <t>O+</t>
  </si>
  <si>
    <t>PAT-1002</t>
  </si>
  <si>
    <t>Michael Smith</t>
  </si>
  <si>
    <t>1995-09-05</t>
  </si>
  <si>
    <t>A-</t>
  </si>
  <si>
    <t>PAT-1003</t>
  </si>
  <si>
    <t>1956-08-04</t>
  </si>
  <si>
    <t>O-</t>
  </si>
  <si>
    <t>PAT-1004</t>
  </si>
  <si>
    <t>Robert Brown</t>
  </si>
  <si>
    <t>1990-04-05</t>
  </si>
  <si>
    <t>AB-</t>
  </si>
  <si>
    <t>PAT-1005</t>
  </si>
  <si>
    <t>Linda Garcia</t>
  </si>
  <si>
    <t>1989-03-09</t>
  </si>
  <si>
    <t>A+</t>
  </si>
  <si>
    <t>PAT-1006</t>
  </si>
  <si>
    <t>Linda Williams</t>
  </si>
  <si>
    <t>1968-02-03</t>
  </si>
  <si>
    <t>B+</t>
  </si>
  <si>
    <t>PAT-1007</t>
  </si>
  <si>
    <t>Aarav Patel</t>
  </si>
  <si>
    <t>1991-08-23</t>
  </si>
  <si>
    <t>PAT-1008</t>
  </si>
  <si>
    <t>John Singh</t>
  </si>
  <si>
    <t>1941-04-03</t>
  </si>
  <si>
    <t>Female</t>
  </si>
  <si>
    <t>PAT-1009</t>
  </si>
  <si>
    <t>Jennifer Johnson</t>
  </si>
  <si>
    <t>1952-08-22</t>
  </si>
  <si>
    <t>PAT-1010</t>
  </si>
  <si>
    <t>Mary Singh</t>
  </si>
  <si>
    <t>1970-04-02</t>
  </si>
  <si>
    <t>AB+</t>
  </si>
  <si>
    <t>PAT-1011</t>
  </si>
  <si>
    <t>Jennifer Smith</t>
  </si>
  <si>
    <t>1952-03-13</t>
  </si>
  <si>
    <t>PAT-1012</t>
  </si>
  <si>
    <t>Jennifer Patel</t>
  </si>
  <si>
    <t>1997-03-02</t>
  </si>
  <si>
    <t>PAT-1013</t>
  </si>
  <si>
    <t>John Johnson</t>
  </si>
  <si>
    <t>2008-08-15</t>
  </si>
  <si>
    <t>Non-binary</t>
  </si>
  <si>
    <t>PAT-1014</t>
  </si>
  <si>
    <t>Linda Patel</t>
  </si>
  <si>
    <t>1965-11-24</t>
  </si>
  <si>
    <t>B-</t>
  </si>
  <si>
    <t>PAT-1015</t>
  </si>
  <si>
    <t>Robert Garcia</t>
  </si>
  <si>
    <t>1975-05-12</t>
  </si>
  <si>
    <t>PAT-1016</t>
  </si>
  <si>
    <t>Patricia Singh</t>
  </si>
  <si>
    <t>1958-01-03</t>
  </si>
  <si>
    <t>PAT-1017</t>
  </si>
  <si>
    <t>Mary Smith</t>
  </si>
  <si>
    <t>1992-08-11</t>
  </si>
  <si>
    <t>PAT-1018</t>
  </si>
  <si>
    <t>James Patel</t>
  </si>
  <si>
    <t>1956-01-14</t>
  </si>
  <si>
    <t>PAT-1019</t>
  </si>
  <si>
    <t>Patricia Williams</t>
  </si>
  <si>
    <t>2008-09-15</t>
  </si>
  <si>
    <t>PAT-1020</t>
  </si>
  <si>
    <t>James Jones</t>
  </si>
  <si>
    <t>1987-01-24</t>
  </si>
  <si>
    <t>PAT-1021</t>
  </si>
  <si>
    <t>Robert Williams</t>
  </si>
  <si>
    <t>1988-07-17</t>
  </si>
  <si>
    <t>PAT-1022</t>
  </si>
  <si>
    <t>1971-02-25</t>
  </si>
  <si>
    <t>PAT-1023</t>
  </si>
  <si>
    <t>Patricia Garcia</t>
  </si>
  <si>
    <t>2006-11-13</t>
  </si>
  <si>
    <t>PAT-1024</t>
  </si>
  <si>
    <t>Priya Johnson</t>
  </si>
  <si>
    <t>1988-01-10</t>
  </si>
  <si>
    <t>PAT-1025</t>
  </si>
  <si>
    <t>Priya Williams</t>
  </si>
  <si>
    <t>2009-07-08</t>
  </si>
  <si>
    <t>PAT-1026</t>
  </si>
  <si>
    <t>Jennifer Garcia</t>
  </si>
  <si>
    <t>1980-06-03</t>
  </si>
  <si>
    <t>PAT-1027</t>
  </si>
  <si>
    <t>Michael Johnson</t>
  </si>
  <si>
    <t>1996-03-28</t>
  </si>
  <si>
    <t>PAT-1028</t>
  </si>
  <si>
    <t>2008-11-12</t>
  </si>
  <si>
    <t>PAT-1029</t>
  </si>
  <si>
    <t>1984-07-16</t>
  </si>
  <si>
    <t>PAT-1030</t>
  </si>
  <si>
    <t>1975-05-18</t>
  </si>
  <si>
    <t>PAT-1031</t>
  </si>
  <si>
    <t>Aarav Garcia</t>
  </si>
  <si>
    <t>1947-09-02</t>
  </si>
  <si>
    <t>PAT-1032</t>
  </si>
  <si>
    <t>1955-06-19</t>
  </si>
  <si>
    <t>PAT-1033</t>
  </si>
  <si>
    <t>2001-04-02</t>
  </si>
  <si>
    <t>PAT-1034</t>
  </si>
  <si>
    <t>1971-02-26</t>
  </si>
  <si>
    <t>PAT-1035</t>
  </si>
  <si>
    <t>Jennifer Jones</t>
  </si>
  <si>
    <t>1944-08-26</t>
  </si>
  <si>
    <t>PAT-1036</t>
  </si>
  <si>
    <t>James Johnson</t>
  </si>
  <si>
    <t>1980-10-17</t>
  </si>
  <si>
    <t>PAT-1037</t>
  </si>
  <si>
    <t>1955-09-11</t>
  </si>
  <si>
    <t>PAT-1038</t>
  </si>
  <si>
    <t>Michael Patel</t>
  </si>
  <si>
    <t>1981-03-23</t>
  </si>
  <si>
    <t>PAT-1039</t>
  </si>
  <si>
    <t>1975-07-23</t>
  </si>
  <si>
    <t>PAT-1040</t>
  </si>
  <si>
    <t>John Garcia</t>
  </si>
  <si>
    <t>1968-04-11</t>
  </si>
  <si>
    <t>PAT-1041</t>
  </si>
  <si>
    <t>1985-02-23</t>
  </si>
  <si>
    <t>PAT-1042</t>
  </si>
  <si>
    <t>John Williams</t>
  </si>
  <si>
    <t>1951-09-20</t>
  </si>
  <si>
    <t>PAT-1043</t>
  </si>
  <si>
    <t>1960-11-26</t>
  </si>
  <si>
    <t>PAT-1044</t>
  </si>
  <si>
    <t>James Singh</t>
  </si>
  <si>
    <t>1972-03-24</t>
  </si>
  <si>
    <t>PAT-1045</t>
  </si>
  <si>
    <t>Priya Patel</t>
  </si>
  <si>
    <t>1961-05-05</t>
  </si>
  <si>
    <t>PAT-1046</t>
  </si>
  <si>
    <t>1993-04-16</t>
  </si>
  <si>
    <t>PAT-1047</t>
  </si>
  <si>
    <t>2002-07-08</t>
  </si>
  <si>
    <t>PAT-1048</t>
  </si>
  <si>
    <t>James Smith</t>
  </si>
  <si>
    <t>1954-05-03</t>
  </si>
  <si>
    <t>PAT-1049</t>
  </si>
  <si>
    <t>1994-01-25</t>
  </si>
  <si>
    <t>PAT-1050</t>
  </si>
  <si>
    <t>Linda Smith</t>
  </si>
  <si>
    <t>1996-06-14</t>
  </si>
  <si>
    <t>PAT-1051</t>
  </si>
  <si>
    <t>John Jones</t>
  </si>
  <si>
    <t>1992-09-05</t>
  </si>
  <si>
    <t>PAT-1052</t>
  </si>
  <si>
    <t>Patricia Smith</t>
  </si>
  <si>
    <t>1953-05-13</t>
  </si>
  <si>
    <t>PAT-1053</t>
  </si>
  <si>
    <t>1988-06-17</t>
  </si>
  <si>
    <t>PAT-1054</t>
  </si>
  <si>
    <t>Priya Singh</t>
  </si>
  <si>
    <t>1963-10-06</t>
  </si>
  <si>
    <t>PAT-1055</t>
  </si>
  <si>
    <t>Mary Brown</t>
  </si>
  <si>
    <t>1942-10-21</t>
  </si>
  <si>
    <t>PAT-1056</t>
  </si>
  <si>
    <t>1976-04-01</t>
  </si>
  <si>
    <t>PAT-1057</t>
  </si>
  <si>
    <t>1964-07-07</t>
  </si>
  <si>
    <t>PAT-1058</t>
  </si>
  <si>
    <t>Michael Brown</t>
  </si>
  <si>
    <t>2001-06-11</t>
  </si>
  <si>
    <t>PAT-1059</t>
  </si>
  <si>
    <t>James Brown</t>
  </si>
  <si>
    <t>1948-04-07</t>
  </si>
  <si>
    <t>PAT-1060</t>
  </si>
  <si>
    <t>1995-04-13</t>
  </si>
  <si>
    <t>PAT-1061</t>
  </si>
  <si>
    <t>1996-01-11</t>
  </si>
  <si>
    <t>PAT-1062</t>
  </si>
  <si>
    <t>1972-04-28</t>
  </si>
  <si>
    <t>PAT-1063</t>
  </si>
  <si>
    <t>1963-03-06</t>
  </si>
  <si>
    <t>PAT-1064</t>
  </si>
  <si>
    <t>1951-06-14</t>
  </si>
  <si>
    <t>PAT-1065</t>
  </si>
  <si>
    <t>Robert Patel</t>
  </si>
  <si>
    <t>1957-04-27</t>
  </si>
  <si>
    <t>PAT-1066</t>
  </si>
  <si>
    <t>James Garcia</t>
  </si>
  <si>
    <t>1968-06-29</t>
  </si>
  <si>
    <t>PAT-1067</t>
  </si>
  <si>
    <t>1959-04-10</t>
  </si>
  <si>
    <t>PAT-1068</t>
  </si>
  <si>
    <t>1991-04-08</t>
  </si>
  <si>
    <t>PAT-1069</t>
  </si>
  <si>
    <t>2006-07-16</t>
  </si>
  <si>
    <t>PAT-1070</t>
  </si>
  <si>
    <t>Priya Garcia</t>
  </si>
  <si>
    <t>1965-05-14</t>
  </si>
  <si>
    <t>PAT-1071</t>
  </si>
  <si>
    <t>Patricia Patel</t>
  </si>
  <si>
    <t>1965-12-06</t>
  </si>
  <si>
    <t>PAT-1072</t>
  </si>
  <si>
    <t>1998-06-02</t>
  </si>
  <si>
    <t>PAT-1073</t>
  </si>
  <si>
    <t>1962-01-02</t>
  </si>
  <si>
    <t>PAT-1074</t>
  </si>
  <si>
    <t>1943-03-07</t>
  </si>
  <si>
    <t>PAT-1075</t>
  </si>
  <si>
    <t>1977-11-13</t>
  </si>
  <si>
    <t>PAT-1076</t>
  </si>
  <si>
    <t>1995-05-13</t>
  </si>
  <si>
    <t>PAT-1077</t>
  </si>
  <si>
    <t>1974-01-14</t>
  </si>
  <si>
    <t>PAT-1078</t>
  </si>
  <si>
    <t>Linda Brown</t>
  </si>
  <si>
    <t>1997-02-18</t>
  </si>
  <si>
    <t>PAT-1079</t>
  </si>
  <si>
    <t>Aarav Johnson</t>
  </si>
  <si>
    <t>1940-09-06</t>
  </si>
  <si>
    <t>PAT-1080</t>
  </si>
  <si>
    <t>1984-12-13</t>
  </si>
  <si>
    <t>PAT-1081</t>
  </si>
  <si>
    <t>John Brown</t>
  </si>
  <si>
    <t>1955-03-08</t>
  </si>
  <si>
    <t>PAT-1082</t>
  </si>
  <si>
    <t>Mary Garcia</t>
  </si>
  <si>
    <t>1980-10-07</t>
  </si>
  <si>
    <t>PAT-1083</t>
  </si>
  <si>
    <t>1969-01-13</t>
  </si>
  <si>
    <t>PAT-1084</t>
  </si>
  <si>
    <t>1962-02-18</t>
  </si>
  <si>
    <t>PAT-1085</t>
  </si>
  <si>
    <t>1964-10-29</t>
  </si>
  <si>
    <t>PAT-1086</t>
  </si>
  <si>
    <t>Priya Brown</t>
  </si>
  <si>
    <t>1952-08-07</t>
  </si>
  <si>
    <t>PAT-1087</t>
  </si>
  <si>
    <t>Aarav Singh</t>
  </si>
  <si>
    <t>1965-12-16</t>
  </si>
  <si>
    <t>PAT-1088</t>
  </si>
  <si>
    <t>1999-05-12</t>
  </si>
  <si>
    <t>PAT-1089</t>
  </si>
  <si>
    <t>1989-11-22</t>
  </si>
  <si>
    <t>PAT-1090</t>
  </si>
  <si>
    <t>John Smith</t>
  </si>
  <si>
    <t>1962-11-25</t>
  </si>
  <si>
    <t>PAT-1091</t>
  </si>
  <si>
    <t>1955-05-19</t>
  </si>
  <si>
    <t>PAT-1092</t>
  </si>
  <si>
    <t>Jennifer Williams</t>
  </si>
  <si>
    <t>1946-01-05</t>
  </si>
  <si>
    <t>PAT-1093</t>
  </si>
  <si>
    <t>1955-06-18</t>
  </si>
  <si>
    <t>PAT-1094</t>
  </si>
  <si>
    <t>Aarav Jones</t>
  </si>
  <si>
    <t>1975-01-05</t>
  </si>
  <si>
    <t>PAT-1095</t>
  </si>
  <si>
    <t>1961-09-18</t>
  </si>
  <si>
    <t>PAT-1096</t>
  </si>
  <si>
    <t>1964-03-22</t>
  </si>
  <si>
    <t>PAT-1097</t>
  </si>
  <si>
    <t>Mary Patel</t>
  </si>
  <si>
    <t>1980-12-18</t>
  </si>
  <si>
    <t>PAT-1098</t>
  </si>
  <si>
    <t>Michael Jones</t>
  </si>
  <si>
    <t>1960-03-03</t>
  </si>
  <si>
    <t>PAT-1099</t>
  </si>
  <si>
    <t>1965-05-18</t>
  </si>
  <si>
    <t>PAT-1100</t>
  </si>
  <si>
    <t>1991-11-07</t>
  </si>
  <si>
    <t>PAT-1101</t>
  </si>
  <si>
    <t>1994-05-22</t>
  </si>
  <si>
    <t>PAT-1102</t>
  </si>
  <si>
    <t>Michael Garcia</t>
  </si>
  <si>
    <t>2001-01-01</t>
  </si>
  <si>
    <t>PAT-1103</t>
  </si>
  <si>
    <t>Priya Jones</t>
  </si>
  <si>
    <t>1991-10-08</t>
  </si>
  <si>
    <t>PAT-1104</t>
  </si>
  <si>
    <t>1968-10-28</t>
  </si>
  <si>
    <t>PAT-1105</t>
  </si>
  <si>
    <t>1998-05-07</t>
  </si>
  <si>
    <t>PAT-1106</t>
  </si>
  <si>
    <t>1955-09-01</t>
  </si>
  <si>
    <t>PAT-1107</t>
  </si>
  <si>
    <t>1962-06-17</t>
  </si>
  <si>
    <t>PAT-1108</t>
  </si>
  <si>
    <t>1975-07-20</t>
  </si>
  <si>
    <t>PAT-1109</t>
  </si>
  <si>
    <t>1980-08-26</t>
  </si>
  <si>
    <t>PAT-1110</t>
  </si>
  <si>
    <t>1954-05-01</t>
  </si>
  <si>
    <t>PAT-1111</t>
  </si>
  <si>
    <t>1949-11-10</t>
  </si>
  <si>
    <t>PAT-1112</t>
  </si>
  <si>
    <t>James Williams</t>
  </si>
  <si>
    <t>2004-02-29</t>
  </si>
  <si>
    <t>PAT-1113</t>
  </si>
  <si>
    <t>1972-08-14</t>
  </si>
  <si>
    <t>PAT-1114</t>
  </si>
  <si>
    <t>1959-03-06</t>
  </si>
  <si>
    <t>PAT-1115</t>
  </si>
  <si>
    <t>1998-08-08</t>
  </si>
  <si>
    <t>PAT-1116</t>
  </si>
  <si>
    <t>1980-08-02</t>
  </si>
  <si>
    <t>PAT-1117</t>
  </si>
  <si>
    <t>PAT-1118</t>
  </si>
  <si>
    <t>1993-06-03</t>
  </si>
  <si>
    <t>PAT-1119</t>
  </si>
  <si>
    <t>2001-06-16</t>
  </si>
  <si>
    <t>PAT-1120</t>
  </si>
  <si>
    <t>Linda Johnson</t>
  </si>
  <si>
    <t>1967-05-09</t>
  </si>
  <si>
    <t>PAT-1121</t>
  </si>
  <si>
    <t>1948-06-14</t>
  </si>
  <si>
    <t>PAT-1122</t>
  </si>
  <si>
    <t>1943-07-10</t>
  </si>
  <si>
    <t>PAT-1123</t>
  </si>
  <si>
    <t>1940-03-12</t>
  </si>
  <si>
    <t>PAT-1124</t>
  </si>
  <si>
    <t>Robert Jones</t>
  </si>
  <si>
    <t>1986-01-12</t>
  </si>
  <si>
    <t>PAT-1125</t>
  </si>
  <si>
    <t>1976-11-27</t>
  </si>
  <si>
    <t>PAT-1126</t>
  </si>
  <si>
    <t>1971-09-02</t>
  </si>
  <si>
    <t>PAT-1127</t>
  </si>
  <si>
    <t>1942-09-19</t>
  </si>
  <si>
    <t>PAT-1128</t>
  </si>
  <si>
    <t>2008-03-18</t>
  </si>
  <si>
    <t>PAT-1129</t>
  </si>
  <si>
    <t>2007-05-11</t>
  </si>
  <si>
    <t>PAT-1130</t>
  </si>
  <si>
    <t>1965-05-23</t>
  </si>
  <si>
    <t>PAT-1131</t>
  </si>
  <si>
    <t>1992-08-10</t>
  </si>
  <si>
    <t>PAT-1132</t>
  </si>
  <si>
    <t>1969-12-04</t>
  </si>
  <si>
    <t>PAT-1133</t>
  </si>
  <si>
    <t>Mary Williams</t>
  </si>
  <si>
    <t>1968-12-15</t>
  </si>
  <si>
    <t>PAT-1134</t>
  </si>
  <si>
    <t>1956-08-11</t>
  </si>
  <si>
    <t>PAT-1135</t>
  </si>
  <si>
    <t>2007-11-19</t>
  </si>
  <si>
    <t>PAT-1136</t>
  </si>
  <si>
    <t>1985-09-15</t>
  </si>
  <si>
    <t>PAT-1137</t>
  </si>
  <si>
    <t>1949-03-13</t>
  </si>
  <si>
    <t>PAT-1138</t>
  </si>
  <si>
    <t>2008-05-08</t>
  </si>
  <si>
    <t>PAT-1139</t>
  </si>
  <si>
    <t>1980-08-03</t>
  </si>
  <si>
    <t>PAT-1140</t>
  </si>
  <si>
    <t>Patricia Jones</t>
  </si>
  <si>
    <t>1989-06-22</t>
  </si>
  <si>
    <t>PAT-1141</t>
  </si>
  <si>
    <t>Michael Singh</t>
  </si>
  <si>
    <t>1981-12-03</t>
  </si>
  <si>
    <t>PAT-1142</t>
  </si>
  <si>
    <t>1941-08-31</t>
  </si>
  <si>
    <t>PAT-1143</t>
  </si>
  <si>
    <t>Mary Jones</t>
  </si>
  <si>
    <t>1989-08-26</t>
  </si>
  <si>
    <t>PAT-1144</t>
  </si>
  <si>
    <t>1979-03-15</t>
  </si>
  <si>
    <t>PAT-1145</t>
  </si>
  <si>
    <t>2004-01-14</t>
  </si>
  <si>
    <t>PAT-1146</t>
  </si>
  <si>
    <t>2003-02-07</t>
  </si>
  <si>
    <t>PAT-1147</t>
  </si>
  <si>
    <t>1968-10-07</t>
  </si>
  <si>
    <t>PAT-1148</t>
  </si>
  <si>
    <t>1970-12-16</t>
  </si>
  <si>
    <t>PAT-1149</t>
  </si>
  <si>
    <t>1976-09-08</t>
  </si>
  <si>
    <t>PAT-1150</t>
  </si>
  <si>
    <t>1957-05-16</t>
  </si>
  <si>
    <t>PAT-1151</t>
  </si>
  <si>
    <t>1953-06-18</t>
  </si>
  <si>
    <t>PAT-1152</t>
  </si>
  <si>
    <t>2003-08-23</t>
  </si>
  <si>
    <t>PAT-1153</t>
  </si>
  <si>
    <t>1949-09-07</t>
  </si>
  <si>
    <t>PAT-1154</t>
  </si>
  <si>
    <t>Aarav Smith</t>
  </si>
  <si>
    <t>1991-10-19</t>
  </si>
  <si>
    <t>PAT-1155</t>
  </si>
  <si>
    <t>2003-08-21</t>
  </si>
  <si>
    <t>PAT-1156</t>
  </si>
  <si>
    <t>1971-04-07</t>
  </si>
  <si>
    <t>PAT-1157</t>
  </si>
  <si>
    <t>1963-01-13</t>
  </si>
  <si>
    <t>PAT-1158</t>
  </si>
  <si>
    <t>Priya Smith</t>
  </si>
  <si>
    <t>1966-10-26</t>
  </si>
  <si>
    <t>PAT-1159</t>
  </si>
  <si>
    <t>Linda Jones</t>
  </si>
  <si>
    <t>1951-09-15</t>
  </si>
  <si>
    <t>PAT-1160</t>
  </si>
  <si>
    <t>1961-01-03</t>
  </si>
  <si>
    <t>PAT-1161</t>
  </si>
  <si>
    <t>1995-08-06</t>
  </si>
  <si>
    <t>PAT-1162</t>
  </si>
  <si>
    <t>Mary Johnson</t>
  </si>
  <si>
    <t>1946-01-27</t>
  </si>
  <si>
    <t>PAT-1163</t>
  </si>
  <si>
    <t>PAT-1164</t>
  </si>
  <si>
    <t>1994-07-29</t>
  </si>
  <si>
    <t>PAT-1165</t>
  </si>
  <si>
    <t>John Patel</t>
  </si>
  <si>
    <t>1981-08-12</t>
  </si>
  <si>
    <t>PAT-1166</t>
  </si>
  <si>
    <t>2002-09-29</t>
  </si>
  <si>
    <t>PAT-1167</t>
  </si>
  <si>
    <t>1970-08-27</t>
  </si>
  <si>
    <t>PAT-1168</t>
  </si>
  <si>
    <t>1982-10-31</t>
  </si>
  <si>
    <t>PAT-1169</t>
  </si>
  <si>
    <t>1983-09-14</t>
  </si>
  <si>
    <t>PAT-1170</t>
  </si>
  <si>
    <t>1977-09-16</t>
  </si>
  <si>
    <t>PAT-1171</t>
  </si>
  <si>
    <t>1990-09-22</t>
  </si>
  <si>
    <t>PAT-1172</t>
  </si>
  <si>
    <t>1976-11-04</t>
  </si>
  <si>
    <t>PAT-1173</t>
  </si>
  <si>
    <t>2005-12-28</t>
  </si>
  <si>
    <t>PAT-1174</t>
  </si>
  <si>
    <t>1944-02-19</t>
  </si>
  <si>
    <t>PAT-1175</t>
  </si>
  <si>
    <t>1992-08-04</t>
  </si>
  <si>
    <t>PAT-1176</t>
  </si>
  <si>
    <t>Jennifer Singh</t>
  </si>
  <si>
    <t>1968-02-18</t>
  </si>
  <si>
    <t>PAT-1177</t>
  </si>
  <si>
    <t>1978-10-28</t>
  </si>
  <si>
    <t>PAT-1178</t>
  </si>
  <si>
    <t>1999-05-15</t>
  </si>
  <si>
    <t>PAT-1179</t>
  </si>
  <si>
    <t>1941-08-12</t>
  </si>
  <si>
    <t>PAT-1180</t>
  </si>
  <si>
    <t>1998-10-26</t>
  </si>
  <si>
    <t>PAT-1181</t>
  </si>
  <si>
    <t>1985-12-10</t>
  </si>
  <si>
    <t>PAT-1182</t>
  </si>
  <si>
    <t>1978-08-28</t>
  </si>
  <si>
    <t>PAT-1183</t>
  </si>
  <si>
    <t>1968-03-29</t>
  </si>
  <si>
    <t>PAT-1184</t>
  </si>
  <si>
    <t>Robert Johnson</t>
  </si>
  <si>
    <t>1953-03-08</t>
  </si>
  <si>
    <t>PAT-1185</t>
  </si>
  <si>
    <t>1956-04-26</t>
  </si>
  <si>
    <t>PAT-1186</t>
  </si>
  <si>
    <t>1997-07-13</t>
  </si>
  <si>
    <t>PAT-1187</t>
  </si>
  <si>
    <t>1944-11-12</t>
  </si>
  <si>
    <t>PAT-1188</t>
  </si>
  <si>
    <t>1990-03-20</t>
  </si>
  <si>
    <t>PAT-1189</t>
  </si>
  <si>
    <t>1993-05-27</t>
  </si>
  <si>
    <t>PAT-1190</t>
  </si>
  <si>
    <t>1988-05-01</t>
  </si>
  <si>
    <t>PAT-1191</t>
  </si>
  <si>
    <t>1974-03-06</t>
  </si>
  <si>
    <t>PAT-1192</t>
  </si>
  <si>
    <t>2001-01-02</t>
  </si>
  <si>
    <t>PAT-1193</t>
  </si>
  <si>
    <t>1968-12-07</t>
  </si>
  <si>
    <t>PAT-1194</t>
  </si>
  <si>
    <t>1946-11-08</t>
  </si>
  <si>
    <t>PAT-1195</t>
  </si>
  <si>
    <t>1977-09-05</t>
  </si>
  <si>
    <t>PAT-1196</t>
  </si>
  <si>
    <t>2001-04-11</t>
  </si>
  <si>
    <t>PAT-1197</t>
  </si>
  <si>
    <t>1972-01-01</t>
  </si>
  <si>
    <t>PAT-1198</t>
  </si>
  <si>
    <t>1964-12-16</t>
  </si>
  <si>
    <t>PAT-1199</t>
  </si>
  <si>
    <t>1978-10-23</t>
  </si>
  <si>
    <t>PAT-1200</t>
  </si>
  <si>
    <t>1988-04-01</t>
  </si>
  <si>
    <t>PAT-1201</t>
  </si>
  <si>
    <t>1969-08-09</t>
  </si>
  <si>
    <t>PAT-1202</t>
  </si>
  <si>
    <t>1977-11-22</t>
  </si>
  <si>
    <t>PAT-1203</t>
  </si>
  <si>
    <t>2003-11-16</t>
  </si>
  <si>
    <t>PAT-1204</t>
  </si>
  <si>
    <t>2009-01-15</t>
  </si>
  <si>
    <t>PAT-1205</t>
  </si>
  <si>
    <t>1948-07-27</t>
  </si>
  <si>
    <t>PAT-1206</t>
  </si>
  <si>
    <t>1959-11-26</t>
  </si>
  <si>
    <t>PAT-1207</t>
  </si>
  <si>
    <t>Patricia Brown</t>
  </si>
  <si>
    <t>1970-10-26</t>
  </si>
  <si>
    <t>PAT-1208</t>
  </si>
  <si>
    <t>1989-12-09</t>
  </si>
  <si>
    <t>PAT-1209</t>
  </si>
  <si>
    <t>1988-07-23</t>
  </si>
  <si>
    <t>PAT-1210</t>
  </si>
  <si>
    <t>1980-03-20</t>
  </si>
  <si>
    <t>PAT-1211</t>
  </si>
  <si>
    <t>1956-07-31</t>
  </si>
  <si>
    <t>PAT-1212</t>
  </si>
  <si>
    <t>1997-10-17</t>
  </si>
  <si>
    <t>PAT-1213</t>
  </si>
  <si>
    <t>Robert Singh</t>
  </si>
  <si>
    <t>1981-08-29</t>
  </si>
  <si>
    <t>PAT-1214</t>
  </si>
  <si>
    <t>1955-11-12</t>
  </si>
  <si>
    <t>PAT-1215</t>
  </si>
  <si>
    <t>1950-01-19</t>
  </si>
  <si>
    <t>PAT-1216</t>
  </si>
  <si>
    <t>1991-01-01</t>
  </si>
  <si>
    <t>PAT-1217</t>
  </si>
  <si>
    <t>1961-03-03</t>
  </si>
  <si>
    <t>PAT-1218</t>
  </si>
  <si>
    <t>Patricia Johnson</t>
  </si>
  <si>
    <t>1940-07-17</t>
  </si>
  <si>
    <t>PAT-1219</t>
  </si>
  <si>
    <t>1972-02-12</t>
  </si>
  <si>
    <t>PAT-1220</t>
  </si>
  <si>
    <t>1940-08-23</t>
  </si>
  <si>
    <t>PAT-1221</t>
  </si>
  <si>
    <t>1953-01-31</t>
  </si>
  <si>
    <t>PAT-1222</t>
  </si>
  <si>
    <t>2004-10-25</t>
  </si>
  <si>
    <t>PAT-1223</t>
  </si>
  <si>
    <t>1977-02-05</t>
  </si>
  <si>
    <t>PAT-1224</t>
  </si>
  <si>
    <t>1979-06-21</t>
  </si>
  <si>
    <t>PAT-1225</t>
  </si>
  <si>
    <t>1962-05-11</t>
  </si>
  <si>
    <t>PAT-1226</t>
  </si>
  <si>
    <t>1940-03-10</t>
  </si>
  <si>
    <t>PAT-1227</t>
  </si>
  <si>
    <t>1966-08-05</t>
  </si>
  <si>
    <t>PAT-1228</t>
  </si>
  <si>
    <t>1971-04-09</t>
  </si>
  <si>
    <t>PAT-1229</t>
  </si>
  <si>
    <t>1980-01-22</t>
  </si>
  <si>
    <t>PAT-1230</t>
  </si>
  <si>
    <t>1975-09-12</t>
  </si>
  <si>
    <t>PAT-1231</t>
  </si>
  <si>
    <t>1976-11-03</t>
  </si>
  <si>
    <t>PAT-1232</t>
  </si>
  <si>
    <t>1955-04-15</t>
  </si>
  <si>
    <t>PAT-1233</t>
  </si>
  <si>
    <t>1954-07-26</t>
  </si>
  <si>
    <t>PAT-1234</t>
  </si>
  <si>
    <t>1995-12-12</t>
  </si>
  <si>
    <t>PAT-1235</t>
  </si>
  <si>
    <t>1965-10-25</t>
  </si>
  <si>
    <t>PAT-1236</t>
  </si>
  <si>
    <t>1993-07-03</t>
  </si>
  <si>
    <t>PAT-1237</t>
  </si>
  <si>
    <t>1967-11-19</t>
  </si>
  <si>
    <t>PAT-1238</t>
  </si>
  <si>
    <t>1998-05-05</t>
  </si>
  <si>
    <t>PAT-1239</t>
  </si>
  <si>
    <t>2006-11-07</t>
  </si>
  <si>
    <t>PAT-1240</t>
  </si>
  <si>
    <t>1942-04-09</t>
  </si>
  <si>
    <t>PAT-1241</t>
  </si>
  <si>
    <t>1995-01-04</t>
  </si>
  <si>
    <t>PAT-1242</t>
  </si>
  <si>
    <t>1996-03-18</t>
  </si>
  <si>
    <t>PAT-1243</t>
  </si>
  <si>
    <t>Michael Williams</t>
  </si>
  <si>
    <t>2007-12-10</t>
  </si>
  <si>
    <t>PAT-1244</t>
  </si>
  <si>
    <t>1981-03-05</t>
  </si>
  <si>
    <t>PAT-1245</t>
  </si>
  <si>
    <t>2005-09-01</t>
  </si>
  <si>
    <t>PAT-1246</t>
  </si>
  <si>
    <t>1966-12-29</t>
  </si>
  <si>
    <t>PAT-1247</t>
  </si>
  <si>
    <t>1968-10-23</t>
  </si>
  <si>
    <t>PAT-1248</t>
  </si>
  <si>
    <t>1968-12-30</t>
  </si>
  <si>
    <t>PAT-1249</t>
  </si>
  <si>
    <t>1972-11-08</t>
  </si>
  <si>
    <t>PAT-1250</t>
  </si>
  <si>
    <t>1995-06-12</t>
  </si>
  <si>
    <t>PAT-1251</t>
  </si>
  <si>
    <t>1955-09-19</t>
  </si>
  <si>
    <t>PAT-1252</t>
  </si>
  <si>
    <t>1971-11-12</t>
  </si>
  <si>
    <t>PAT-1253</t>
  </si>
  <si>
    <t>1965-04-07</t>
  </si>
  <si>
    <t>PAT-1254</t>
  </si>
  <si>
    <t>Robert Smith</t>
  </si>
  <si>
    <t>1950-04-29</t>
  </si>
  <si>
    <t>PAT-1255</t>
  </si>
  <si>
    <t>1951-11-14</t>
  </si>
  <si>
    <t>PAT-1256</t>
  </si>
  <si>
    <t>1976-08-05</t>
  </si>
  <si>
    <t>PAT-1257</t>
  </si>
  <si>
    <t>1953-02-25</t>
  </si>
  <si>
    <t>PAT-1258</t>
  </si>
  <si>
    <t>1976-05-14</t>
  </si>
  <si>
    <t>PAT-1259</t>
  </si>
  <si>
    <t>Jennifer Brown</t>
  </si>
  <si>
    <t>1954-06-10</t>
  </si>
  <si>
    <t>PAT-1260</t>
  </si>
  <si>
    <t>1993-09-17</t>
  </si>
  <si>
    <t>PAT-1261</t>
  </si>
  <si>
    <t>1988-02-19</t>
  </si>
  <si>
    <t>PAT-1262</t>
  </si>
  <si>
    <t>1963-01-16</t>
  </si>
  <si>
    <t>PAT-1263</t>
  </si>
  <si>
    <t>1956-01-21</t>
  </si>
  <si>
    <t>PAT-1264</t>
  </si>
  <si>
    <t>1948-12-19</t>
  </si>
  <si>
    <t>PAT-1265</t>
  </si>
  <si>
    <t>1952-09-27</t>
  </si>
  <si>
    <t>PAT-1266</t>
  </si>
  <si>
    <t>1983-06-28</t>
  </si>
  <si>
    <t>PAT-1267</t>
  </si>
  <si>
    <t>1992-06-08</t>
  </si>
  <si>
    <t>PAT-1268</t>
  </si>
  <si>
    <t>1953-10-14</t>
  </si>
  <si>
    <t>PAT-1269</t>
  </si>
  <si>
    <t>2006-12-02</t>
  </si>
  <si>
    <t>PAT-1270</t>
  </si>
  <si>
    <t>1946-09-10</t>
  </si>
  <si>
    <t>PAT-1271</t>
  </si>
  <si>
    <t>1991-07-28</t>
  </si>
  <si>
    <t>PAT-1272</t>
  </si>
  <si>
    <t>1944-05-21</t>
  </si>
  <si>
    <t>PAT-1273</t>
  </si>
  <si>
    <t>2008-05-07</t>
  </si>
  <si>
    <t>PAT-1274</t>
  </si>
  <si>
    <t>2008-12-27</t>
  </si>
  <si>
    <t>PAT-1275</t>
  </si>
  <si>
    <t>1980-09-17</t>
  </si>
  <si>
    <t>PAT-1276</t>
  </si>
  <si>
    <t>1981-05-21</t>
  </si>
  <si>
    <t>PAT-1277</t>
  </si>
  <si>
    <t>1990-12-01</t>
  </si>
  <si>
    <t>PAT-1278</t>
  </si>
  <si>
    <t>1962-01-20</t>
  </si>
  <si>
    <t>PAT-1279</t>
  </si>
  <si>
    <t>1970-11-22</t>
  </si>
  <si>
    <t>PAT-1280</t>
  </si>
  <si>
    <t>2006-06-05</t>
  </si>
  <si>
    <t>PAT-1281</t>
  </si>
  <si>
    <t>1990-05-19</t>
  </si>
  <si>
    <t>PAT-1282</t>
  </si>
  <si>
    <t>1957-10-23</t>
  </si>
  <si>
    <t>PAT-1283</t>
  </si>
  <si>
    <t>1993-12-27</t>
  </si>
  <si>
    <t>PAT-1284</t>
  </si>
  <si>
    <t>1965-02-14</t>
  </si>
  <si>
    <t>PAT-1285</t>
  </si>
  <si>
    <t>1988-06-23</t>
  </si>
  <si>
    <t>PAT-1286</t>
  </si>
  <si>
    <t>1976-01-20</t>
  </si>
  <si>
    <t>PAT-1287</t>
  </si>
  <si>
    <t>1950-12-31</t>
  </si>
  <si>
    <t>PAT-1288</t>
  </si>
  <si>
    <t>1968-05-23</t>
  </si>
  <si>
    <t>PAT-1289</t>
  </si>
  <si>
    <t>1953-01-06</t>
  </si>
  <si>
    <t>PAT-1290</t>
  </si>
  <si>
    <t>1997-07-01</t>
  </si>
  <si>
    <t>PAT-1291</t>
  </si>
  <si>
    <t>2000-05-04</t>
  </si>
  <si>
    <t>PAT-1292</t>
  </si>
  <si>
    <t>1948-10-19</t>
  </si>
  <si>
    <t>PAT-1293</t>
  </si>
  <si>
    <t>1969-12-30</t>
  </si>
  <si>
    <t>PAT-1294</t>
  </si>
  <si>
    <t>1944-11-20</t>
  </si>
  <si>
    <t>PAT-1295</t>
  </si>
  <si>
    <t>1964-12-18</t>
  </si>
  <si>
    <t>PAT-1296</t>
  </si>
  <si>
    <t>1987-06-07</t>
  </si>
  <si>
    <t>PAT-1297</t>
  </si>
  <si>
    <t>2003-05-20</t>
  </si>
  <si>
    <t>PAT-1298</t>
  </si>
  <si>
    <t>1958-10-21</t>
  </si>
  <si>
    <t>PAT-1299</t>
  </si>
  <si>
    <t>1945-04-20</t>
  </si>
  <si>
    <t>PAT-1300</t>
  </si>
  <si>
    <t>1992-05-19</t>
  </si>
  <si>
    <t>PAT-1301</t>
  </si>
  <si>
    <t>1960-07-08</t>
  </si>
  <si>
    <t>PAT-1302</t>
  </si>
  <si>
    <t>2003-04-24</t>
  </si>
  <si>
    <t>PAT-1303</t>
  </si>
  <si>
    <t>1975-11-07</t>
  </si>
  <si>
    <t>PAT-1304</t>
  </si>
  <si>
    <t>1996-09-12</t>
  </si>
  <si>
    <t>PAT-1305</t>
  </si>
  <si>
    <t>1971-08-17</t>
  </si>
  <si>
    <t>PAT-1306</t>
  </si>
  <si>
    <t>1969-05-23</t>
  </si>
  <si>
    <t>PAT-1307</t>
  </si>
  <si>
    <t>1971-10-16</t>
  </si>
  <si>
    <t>PAT-1308</t>
  </si>
  <si>
    <t>1982-03-28</t>
  </si>
  <si>
    <t>PAT-1309</t>
  </si>
  <si>
    <t>1953-04-05</t>
  </si>
  <si>
    <t>PAT-1310</t>
  </si>
  <si>
    <t>1963-09-17</t>
  </si>
  <si>
    <t>PAT-1311</t>
  </si>
  <si>
    <t>1977-07-13</t>
  </si>
  <si>
    <t>PAT-1312</t>
  </si>
  <si>
    <t>1946-09-17</t>
  </si>
  <si>
    <t>PAT-1313</t>
  </si>
  <si>
    <t>1994-08-22</t>
  </si>
  <si>
    <t>PAT-1314</t>
  </si>
  <si>
    <t>1945-12-29</t>
  </si>
  <si>
    <t>PAT-1315</t>
  </si>
  <si>
    <t>1984-05-27</t>
  </si>
  <si>
    <t>PAT-1316</t>
  </si>
  <si>
    <t>1949-01-30</t>
  </si>
  <si>
    <t>PAT-1317</t>
  </si>
  <si>
    <t>1963-01-21</t>
  </si>
  <si>
    <t>PAT-1318</t>
  </si>
  <si>
    <t>1979-05-25</t>
  </si>
  <si>
    <t>PAT-1319</t>
  </si>
  <si>
    <t>1950-02-05</t>
  </si>
  <si>
    <t>PAT-1320</t>
  </si>
  <si>
    <t>1966-12-17</t>
  </si>
  <si>
    <t>PAT-1321</t>
  </si>
  <si>
    <t>2002-09-30</t>
  </si>
  <si>
    <t>PAT-1322</t>
  </si>
  <si>
    <t>1970-02-25</t>
  </si>
  <si>
    <t>PAT-1323</t>
  </si>
  <si>
    <t>1947-02-04</t>
  </si>
  <si>
    <t>PAT-1324</t>
  </si>
  <si>
    <t>1971-02-03</t>
  </si>
  <si>
    <t>PAT-1325</t>
  </si>
  <si>
    <t>2005-12-11</t>
  </si>
  <si>
    <t>PAT-1326</t>
  </si>
  <si>
    <t>1968-10-14</t>
  </si>
  <si>
    <t>PAT-1327</t>
  </si>
  <si>
    <t>1950-07-04</t>
  </si>
  <si>
    <t>PAT-1328</t>
  </si>
  <si>
    <t>2003-11-23</t>
  </si>
  <si>
    <t>PAT-1329</t>
  </si>
  <si>
    <t>2003-10-21</t>
  </si>
  <si>
    <t>PAT-1330</t>
  </si>
  <si>
    <t>1968-07-14</t>
  </si>
  <si>
    <t>PAT-1331</t>
  </si>
  <si>
    <t>1947-11-27</t>
  </si>
  <si>
    <t>PAT-1332</t>
  </si>
  <si>
    <t>1968-07-27</t>
  </si>
  <si>
    <t>PAT-1333</t>
  </si>
  <si>
    <t>1951-04-12</t>
  </si>
  <si>
    <t>PAT-1334</t>
  </si>
  <si>
    <t>2007-12-24</t>
  </si>
  <si>
    <t>PAT-1335</t>
  </si>
  <si>
    <t>1997-02-19</t>
  </si>
  <si>
    <t>PAT-1336</t>
  </si>
  <si>
    <t>1951-01-15</t>
  </si>
  <si>
    <t>PAT-1337</t>
  </si>
  <si>
    <t>1941-02-21</t>
  </si>
  <si>
    <t>PAT-1338</t>
  </si>
  <si>
    <t>1946-08-13</t>
  </si>
  <si>
    <t>PAT-1339</t>
  </si>
  <si>
    <t>1986-10-01</t>
  </si>
  <si>
    <t>PAT-1340</t>
  </si>
  <si>
    <t>1964-01-30</t>
  </si>
  <si>
    <t>PAT-1341</t>
  </si>
  <si>
    <t>1981-02-16</t>
  </si>
  <si>
    <t>PAT-1342</t>
  </si>
  <si>
    <t>1964-08-30</t>
  </si>
  <si>
    <t>PAT-1343</t>
  </si>
  <si>
    <t>1968-09-13</t>
  </si>
  <si>
    <t>PAT-1344</t>
  </si>
  <si>
    <t>1961-06-04</t>
  </si>
  <si>
    <t>PAT-1345</t>
  </si>
  <si>
    <t>1949-07-30</t>
  </si>
  <si>
    <t>PAT-1346</t>
  </si>
  <si>
    <t>1962-06-21</t>
  </si>
  <si>
    <t>PAT-1347</t>
  </si>
  <si>
    <t>1979-08-16</t>
  </si>
  <si>
    <t>PAT-1348</t>
  </si>
  <si>
    <t>1977-08-09</t>
  </si>
  <si>
    <t>PAT-1349</t>
  </si>
  <si>
    <t>2007-06-05</t>
  </si>
  <si>
    <t>PAT-1350</t>
  </si>
  <si>
    <t>2003-07-02</t>
  </si>
  <si>
    <t>PAT-1351</t>
  </si>
  <si>
    <t>1991-08-20</t>
  </si>
  <si>
    <t>PAT-1352</t>
  </si>
  <si>
    <t>1978-04-30</t>
  </si>
  <si>
    <t>PAT-1353</t>
  </si>
  <si>
    <t>2000-07-20</t>
  </si>
  <si>
    <t>PAT-1354</t>
  </si>
  <si>
    <t>1946-02-28</t>
  </si>
  <si>
    <t>PAT-1355</t>
  </si>
  <si>
    <t>1950-08-16</t>
  </si>
  <si>
    <t>PAT-1356</t>
  </si>
  <si>
    <t>1999-11-23</t>
  </si>
  <si>
    <t>PAT-1357</t>
  </si>
  <si>
    <t>1967-11-07</t>
  </si>
  <si>
    <t>PAT-1358</t>
  </si>
  <si>
    <t>1948-03-07</t>
  </si>
  <si>
    <t>PAT-1359</t>
  </si>
  <si>
    <t>Linda Singh</t>
  </si>
  <si>
    <t>1940-05-29</t>
  </si>
  <si>
    <t>PAT-1360</t>
  </si>
  <si>
    <t>1950-02-16</t>
  </si>
  <si>
    <t>PAT-1361</t>
  </si>
  <si>
    <t>1959-04-21</t>
  </si>
  <si>
    <t>PAT-1362</t>
  </si>
  <si>
    <t>1991-01-27</t>
  </si>
  <si>
    <t>PAT-1363</t>
  </si>
  <si>
    <t>1985-08-25</t>
  </si>
  <si>
    <t>PAT-1364</t>
  </si>
  <si>
    <t>1994-05-18</t>
  </si>
  <si>
    <t>PAT-1365</t>
  </si>
  <si>
    <t>1957-12-17</t>
  </si>
  <si>
    <t>PAT-1366</t>
  </si>
  <si>
    <t>1972-04-15</t>
  </si>
  <si>
    <t>PAT-1367</t>
  </si>
  <si>
    <t>1985-03-25</t>
  </si>
  <si>
    <t>PAT-1368</t>
  </si>
  <si>
    <t>1967-04-06</t>
  </si>
  <si>
    <t>PAT-1369</t>
  </si>
  <si>
    <t>1985-09-30</t>
  </si>
  <si>
    <t>PAT-1370</t>
  </si>
  <si>
    <t>1992-06-09</t>
  </si>
  <si>
    <t>PAT-1371</t>
  </si>
  <si>
    <t>2002-03-27</t>
  </si>
  <si>
    <t>PAT-1372</t>
  </si>
  <si>
    <t>1967-12-24</t>
  </si>
  <si>
    <t>PAT-1373</t>
  </si>
  <si>
    <t>1985-12-29</t>
  </si>
  <si>
    <t>PAT-1374</t>
  </si>
  <si>
    <t>1947-10-13</t>
  </si>
  <si>
    <t>PAT-1375</t>
  </si>
  <si>
    <t>1951-10-09</t>
  </si>
  <si>
    <t>PAT-1376</t>
  </si>
  <si>
    <t>1976-07-05</t>
  </si>
  <si>
    <t>PAT-1377</t>
  </si>
  <si>
    <t>1947-07-07</t>
  </si>
  <si>
    <t>PAT-1378</t>
  </si>
  <si>
    <t>1991-08-10</t>
  </si>
  <si>
    <t>PAT-1379</t>
  </si>
  <si>
    <t>1968-01-16</t>
  </si>
  <si>
    <t>PAT-1380</t>
  </si>
  <si>
    <t>1957-04-11</t>
  </si>
  <si>
    <t>PAT-1381</t>
  </si>
  <si>
    <t>1972-10-14</t>
  </si>
  <si>
    <t>PAT-1382</t>
  </si>
  <si>
    <t>1950-07-12</t>
  </si>
  <si>
    <t>PAT-1383</t>
  </si>
  <si>
    <t>1943-02-14</t>
  </si>
  <si>
    <t>PAT-1384</t>
  </si>
  <si>
    <t>1980-08-07</t>
  </si>
  <si>
    <t>PAT-1385</t>
  </si>
  <si>
    <t>1942-02-24</t>
  </si>
  <si>
    <t>PAT-1386</t>
  </si>
  <si>
    <t>1965-01-05</t>
  </si>
  <si>
    <t>PAT-1387</t>
  </si>
  <si>
    <t>1972-04-21</t>
  </si>
  <si>
    <t>PAT-1388</t>
  </si>
  <si>
    <t>1951-04-16</t>
  </si>
  <si>
    <t>PAT-1389</t>
  </si>
  <si>
    <t>1947-08-30</t>
  </si>
  <si>
    <t>PAT-1390</t>
  </si>
  <si>
    <t>1957-07-05</t>
  </si>
  <si>
    <t>PAT-1391</t>
  </si>
  <si>
    <t>1942-04-04</t>
  </si>
  <si>
    <t>PAT-1392</t>
  </si>
  <si>
    <t>1959-02-24</t>
  </si>
  <si>
    <t>PAT-1393</t>
  </si>
  <si>
    <t>1979-04-30</t>
  </si>
  <si>
    <t>PAT-1394</t>
  </si>
  <si>
    <t>1989-03-21</t>
  </si>
  <si>
    <t>PAT-1395</t>
  </si>
  <si>
    <t>1983-09-24</t>
  </si>
  <si>
    <t>PAT-1396</t>
  </si>
  <si>
    <t>1951-01-04</t>
  </si>
  <si>
    <t>PAT-1397</t>
  </si>
  <si>
    <t>1971-09-03</t>
  </si>
  <si>
    <t>PAT-1398</t>
  </si>
  <si>
    <t>2002-05-02</t>
  </si>
  <si>
    <t>PAT-1399</t>
  </si>
  <si>
    <t>1962-05-08</t>
  </si>
  <si>
    <t>PAT-1400</t>
  </si>
  <si>
    <t>1954-04-19</t>
  </si>
  <si>
    <t>PAT-1401</t>
  </si>
  <si>
    <t>2002-03-25</t>
  </si>
  <si>
    <t>PAT-1402</t>
  </si>
  <si>
    <t>1965-10-11</t>
  </si>
  <si>
    <t>PAT-1403</t>
  </si>
  <si>
    <t>1962-12-29</t>
  </si>
  <si>
    <t>PAT-1404</t>
  </si>
  <si>
    <t>1964-02-14</t>
  </si>
  <si>
    <t>PAT-1405</t>
  </si>
  <si>
    <t>2008-08-08</t>
  </si>
  <si>
    <t>PAT-1406</t>
  </si>
  <si>
    <t>1941-12-03</t>
  </si>
  <si>
    <t>PAT-1407</t>
  </si>
  <si>
    <t>1948-06-15</t>
  </si>
  <si>
    <t>PAT-1408</t>
  </si>
  <si>
    <t>1960-12-26</t>
  </si>
  <si>
    <t>PAT-1409</t>
  </si>
  <si>
    <t>1997-01-17</t>
  </si>
  <si>
    <t>PAT-1410</t>
  </si>
  <si>
    <t>1952-06-02</t>
  </si>
  <si>
    <t>PAT-1411</t>
  </si>
  <si>
    <t>1999-09-03</t>
  </si>
  <si>
    <t>PAT-1412</t>
  </si>
  <si>
    <t>2008-10-27</t>
  </si>
  <si>
    <t>PAT-1413</t>
  </si>
  <si>
    <t>1957-09-03</t>
  </si>
  <si>
    <t>PAT-1414</t>
  </si>
  <si>
    <t>2003-04-01</t>
  </si>
  <si>
    <t>PAT-1415</t>
  </si>
  <si>
    <t>Aarav Williams</t>
  </si>
  <si>
    <t>1947-11-18</t>
  </si>
  <si>
    <t>PAT-1416</t>
  </si>
  <si>
    <t>1967-12-09</t>
  </si>
  <si>
    <t>PAT-1417</t>
  </si>
  <si>
    <t>1960-09-13</t>
  </si>
  <si>
    <t>PAT-1418</t>
  </si>
  <si>
    <t>1967-09-19</t>
  </si>
  <si>
    <t>PAT-1419</t>
  </si>
  <si>
    <t>1943-03-29</t>
  </si>
  <si>
    <t>PAT-1420</t>
  </si>
  <si>
    <t>1982-12-25</t>
  </si>
  <si>
    <t>PAT-1421</t>
  </si>
  <si>
    <t>1946-08-14</t>
  </si>
  <si>
    <t>PAT-1422</t>
  </si>
  <si>
    <t>1984-09-19</t>
  </si>
  <si>
    <t>PAT-1423</t>
  </si>
  <si>
    <t>1985-10-20</t>
  </si>
  <si>
    <t>PAT-1424</t>
  </si>
  <si>
    <t>1997-12-28</t>
  </si>
  <si>
    <t>PAT-1425</t>
  </si>
  <si>
    <t>1952-03-20</t>
  </si>
  <si>
    <t>PAT-1426</t>
  </si>
  <si>
    <t>1974-06-29</t>
  </si>
  <si>
    <t>PAT-1427</t>
  </si>
  <si>
    <t>1984-09-28</t>
  </si>
  <si>
    <t>PAT-1428</t>
  </si>
  <si>
    <t>1989-09-08</t>
  </si>
  <si>
    <t>PAT-1429</t>
  </si>
  <si>
    <t>1982-01-26</t>
  </si>
  <si>
    <t>PAT-1430</t>
  </si>
  <si>
    <t>1947-10-28</t>
  </si>
  <si>
    <t>PAT-1431</t>
  </si>
  <si>
    <t>1948-04-26</t>
  </si>
  <si>
    <t>PAT-1432</t>
  </si>
  <si>
    <t>1984-03-30</t>
  </si>
  <si>
    <t>PAT-1433</t>
  </si>
  <si>
    <t>1993-07-10</t>
  </si>
  <si>
    <t>PAT-1434</t>
  </si>
  <si>
    <t>2005-02-14</t>
  </si>
  <si>
    <t>PAT-1435</t>
  </si>
  <si>
    <t>2003-04-16</t>
  </si>
  <si>
    <t>PAT-1436</t>
  </si>
  <si>
    <t>1994-06-29</t>
  </si>
  <si>
    <t>PAT-1437</t>
  </si>
  <si>
    <t>1983-10-30</t>
  </si>
  <si>
    <t>PAT-1438</t>
  </si>
  <si>
    <t>1970-02-09</t>
  </si>
  <si>
    <t>PAT-1439</t>
  </si>
  <si>
    <t>1961-09-20</t>
  </si>
  <si>
    <t>PAT-1440</t>
  </si>
  <si>
    <t>1957-04-26</t>
  </si>
  <si>
    <t>PAT-1441</t>
  </si>
  <si>
    <t>1983-09-15</t>
  </si>
  <si>
    <t>PAT-1442</t>
  </si>
  <si>
    <t>1973-03-22</t>
  </si>
  <si>
    <t>PAT-1443</t>
  </si>
  <si>
    <t>PAT-1444</t>
  </si>
  <si>
    <t>1988-05-31</t>
  </si>
  <si>
    <t>PAT-1445</t>
  </si>
  <si>
    <t>1961-08-20</t>
  </si>
  <si>
    <t>PAT-1446</t>
  </si>
  <si>
    <t>1970-12-14</t>
  </si>
  <si>
    <t>PAT-1447</t>
  </si>
  <si>
    <t>1963-05-28</t>
  </si>
  <si>
    <t>PAT-1448</t>
  </si>
  <si>
    <t>2004-07-02</t>
  </si>
  <si>
    <t>PAT-1449</t>
  </si>
  <si>
    <t>1950-04-21</t>
  </si>
  <si>
    <t>PAT-1450</t>
  </si>
  <si>
    <t>1947-01-10</t>
  </si>
  <si>
    <t>PAT-1451</t>
  </si>
  <si>
    <t>2001-11-24</t>
  </si>
  <si>
    <t>PAT-1452</t>
  </si>
  <si>
    <t>1953-06-12</t>
  </si>
  <si>
    <t>PAT-1453</t>
  </si>
  <si>
    <t>1970-10-17</t>
  </si>
  <si>
    <t>PAT-1454</t>
  </si>
  <si>
    <t>1942-01-02</t>
  </si>
  <si>
    <t>PAT-1455</t>
  </si>
  <si>
    <t>1967-02-28</t>
  </si>
  <si>
    <t>PAT-1456</t>
  </si>
  <si>
    <t>1956-01-29</t>
  </si>
  <si>
    <t>PAT-1457</t>
  </si>
  <si>
    <t>1950-10-13</t>
  </si>
  <si>
    <t>PAT-1458</t>
  </si>
  <si>
    <t>1959-05-14</t>
  </si>
  <si>
    <t>PAT-1459</t>
  </si>
  <si>
    <t>1968-03-11</t>
  </si>
  <si>
    <t>PAT-1460</t>
  </si>
  <si>
    <t>1957-04-29</t>
  </si>
  <si>
    <t>PAT-1461</t>
  </si>
  <si>
    <t>1977-06-03</t>
  </si>
  <si>
    <t>PAT-1462</t>
  </si>
  <si>
    <t>1965-09-26</t>
  </si>
  <si>
    <t>PAT-1463</t>
  </si>
  <si>
    <t>1985-04-12</t>
  </si>
  <si>
    <t>PAT-1464</t>
  </si>
  <si>
    <t>1977-11-03</t>
  </si>
  <si>
    <t>PAT-1465</t>
  </si>
  <si>
    <t>1971-09-11</t>
  </si>
  <si>
    <t>PAT-1466</t>
  </si>
  <si>
    <t>2004-08-31</t>
  </si>
  <si>
    <t>PAT-1467</t>
  </si>
  <si>
    <t>1969-10-17</t>
  </si>
  <si>
    <t>PAT-1468</t>
  </si>
  <si>
    <t>1944-09-21</t>
  </si>
  <si>
    <t>PAT-1469</t>
  </si>
  <si>
    <t>1982-10-03</t>
  </si>
  <si>
    <t>PAT-1470</t>
  </si>
  <si>
    <t>1947-10-07</t>
  </si>
  <si>
    <t>PAT-1471</t>
  </si>
  <si>
    <t>1999-05-17</t>
  </si>
  <si>
    <t>PAT-1472</t>
  </si>
  <si>
    <t>1986-08-19</t>
  </si>
  <si>
    <t>PAT-1473</t>
  </si>
  <si>
    <t>1983-04-24</t>
  </si>
  <si>
    <t>PAT-1474</t>
  </si>
  <si>
    <t>1988-03-13</t>
  </si>
  <si>
    <t>PAT-1475</t>
  </si>
  <si>
    <t>1973-02-15</t>
  </si>
  <si>
    <t>PAT-1476</t>
  </si>
  <si>
    <t>1976-11-02</t>
  </si>
  <si>
    <t>PAT-1477</t>
  </si>
  <si>
    <t>1964-09-24</t>
  </si>
  <si>
    <t>PAT-1478</t>
  </si>
  <si>
    <t>1999-05-30</t>
  </si>
  <si>
    <t>PAT-1479</t>
  </si>
  <si>
    <t>1961-02-19</t>
  </si>
  <si>
    <t>PAT-1480</t>
  </si>
  <si>
    <t>1942-04-25</t>
  </si>
  <si>
    <t>PAT-1481</t>
  </si>
  <si>
    <t>1986-08-20</t>
  </si>
  <si>
    <t>PAT-1482</t>
  </si>
  <si>
    <t>1966-05-26</t>
  </si>
  <si>
    <t>PAT-1483</t>
  </si>
  <si>
    <t>1962-07-16</t>
  </si>
  <si>
    <t>PAT-1484</t>
  </si>
  <si>
    <t>1978-04-07</t>
  </si>
  <si>
    <t>PAT-1485</t>
  </si>
  <si>
    <t>1976-02-21</t>
  </si>
  <si>
    <t>PAT-1486</t>
  </si>
  <si>
    <t>2003-05-11</t>
  </si>
  <si>
    <t>PAT-1487</t>
  </si>
  <si>
    <t>1958-08-25</t>
  </si>
  <si>
    <t>PAT-1488</t>
  </si>
  <si>
    <t>1975-06-03</t>
  </si>
  <si>
    <t>PAT-1489</t>
  </si>
  <si>
    <t>1942-09-02</t>
  </si>
  <si>
    <t>PAT-1490</t>
  </si>
  <si>
    <t>1986-04-27</t>
  </si>
  <si>
    <t>PAT-1491</t>
  </si>
  <si>
    <t>1962-03-12</t>
  </si>
  <si>
    <t>PAT-1492</t>
  </si>
  <si>
    <t>1956-01-27</t>
  </si>
  <si>
    <t>PAT-1493</t>
  </si>
  <si>
    <t>1961-04-30</t>
  </si>
  <si>
    <t>PAT-1494</t>
  </si>
  <si>
    <t>2001-10-08</t>
  </si>
  <si>
    <t>PAT-1495</t>
  </si>
  <si>
    <t>1966-09-01</t>
  </si>
  <si>
    <t>PAT-1496</t>
  </si>
  <si>
    <t>1984-09-06</t>
  </si>
  <si>
    <t>PAT-1497</t>
  </si>
  <si>
    <t>1948-11-20</t>
  </si>
  <si>
    <t>PAT-1498</t>
  </si>
  <si>
    <t>1978-04-14</t>
  </si>
  <si>
    <t>PAT-1499</t>
  </si>
  <si>
    <t>1968-10-06</t>
  </si>
  <si>
    <t>PAT-1500</t>
  </si>
  <si>
    <t>1983-10-31</t>
  </si>
  <si>
    <t>Address</t>
  </si>
  <si>
    <t>Phone</t>
  </si>
  <si>
    <t>4633 Main St</t>
  </si>
  <si>
    <t>555-996-3602</t>
  </si>
  <si>
    <t>7259 Main St</t>
  </si>
  <si>
    <t>555-644-1423</t>
  </si>
  <si>
    <t>2808 Main St</t>
  </si>
  <si>
    <t>555-369-8935</t>
  </si>
  <si>
    <t>2641 Main St</t>
  </si>
  <si>
    <t>555-263-7728</t>
  </si>
  <si>
    <t>1378 Main St</t>
  </si>
  <si>
    <t>555-309-8036</t>
  </si>
  <si>
    <t>5019 Main St</t>
  </si>
  <si>
    <t>555-171-4357</t>
  </si>
  <si>
    <t>6980 Main St</t>
  </si>
  <si>
    <t>555-565-8180</t>
  </si>
  <si>
    <t>2432 Main St</t>
  </si>
  <si>
    <t>555-392-8623</t>
  </si>
  <si>
    <t>1369 Main St</t>
  </si>
  <si>
    <t>555-727-2170</t>
  </si>
  <si>
    <t>1522 Main St</t>
  </si>
  <si>
    <t>555-981-2789</t>
  </si>
  <si>
    <t>8330 Main St</t>
  </si>
  <si>
    <t>555-896-9014</t>
  </si>
  <si>
    <t>8064 Main St</t>
  </si>
  <si>
    <t>555-772-4685</t>
  </si>
  <si>
    <t>3784 Main St</t>
  </si>
  <si>
    <t>555-334-5031</t>
  </si>
  <si>
    <t>7087 Main St</t>
  </si>
  <si>
    <t>555-442-8696</t>
  </si>
  <si>
    <t>4596 Main St</t>
  </si>
  <si>
    <t>555-623-5747</t>
  </si>
  <si>
    <t>2659 Main St</t>
  </si>
  <si>
    <t>555-650-9547</t>
  </si>
  <si>
    <t>3591 Main St</t>
  </si>
  <si>
    <t>555-114-1140</t>
  </si>
  <si>
    <t>5451 Main St</t>
  </si>
  <si>
    <t>555-431-8441</t>
  </si>
  <si>
    <t>139 Main St</t>
  </si>
  <si>
    <t>555-824-3110</t>
  </si>
  <si>
    <t>7617 Main St</t>
  </si>
  <si>
    <t>555-437-3440</t>
  </si>
  <si>
    <t>6185 Main St</t>
  </si>
  <si>
    <t>555-408-8712</t>
  </si>
  <si>
    <t>5074 Main St</t>
  </si>
  <si>
    <t>555-411-9305</t>
  </si>
  <si>
    <t>7413 Main St</t>
  </si>
  <si>
    <t>555-733-3251</t>
  </si>
  <si>
    <t>1497 Main St</t>
  </si>
  <si>
    <t>555-995-9551</t>
  </si>
  <si>
    <t>8409 Main St</t>
  </si>
  <si>
    <t>555-321-1039</t>
  </si>
  <si>
    <t>6587 Main St</t>
  </si>
  <si>
    <t>555-762-3236</t>
  </si>
  <si>
    <t>8846 Main St</t>
  </si>
  <si>
    <t>555-842-7157</t>
  </si>
  <si>
    <t>6825 Main St</t>
  </si>
  <si>
    <t>555-966-5754</t>
  </si>
  <si>
    <t>4557 Main St</t>
  </si>
  <si>
    <t>555-357-5564</t>
  </si>
  <si>
    <t>1175 Main St</t>
  </si>
  <si>
    <t>555-299-6046</t>
  </si>
  <si>
    <t>7138 Main St</t>
  </si>
  <si>
    <t>555-315-2819</t>
  </si>
  <si>
    <t>3329 Main St</t>
  </si>
  <si>
    <t>555-300-2158</t>
  </si>
  <si>
    <t>555-246-7696</t>
  </si>
  <si>
    <t>911 Main St</t>
  </si>
  <si>
    <t>555-133-8279</t>
  </si>
  <si>
    <t>1815 Main St</t>
  </si>
  <si>
    <t>555-439-3773</t>
  </si>
  <si>
    <t>6969 Main St</t>
  </si>
  <si>
    <t>555-536-1293</t>
  </si>
  <si>
    <t>5952 Main St</t>
  </si>
  <si>
    <t>555-255-7549</t>
  </si>
  <si>
    <t>4439 Main St</t>
  </si>
  <si>
    <t>555-185-7157</t>
  </si>
  <si>
    <t>7889 Main St</t>
  </si>
  <si>
    <t>555-767-1282</t>
  </si>
  <si>
    <t>4700 Main St</t>
  </si>
  <si>
    <t>555-934-7851</t>
  </si>
  <si>
    <t>8321 Main St</t>
  </si>
  <si>
    <t>555-399-4410</t>
  </si>
  <si>
    <t>3171 Main St</t>
  </si>
  <si>
    <t>555-459-7128</t>
  </si>
  <si>
    <t>4201 Main St</t>
  </si>
  <si>
    <t>555-716-9825</t>
  </si>
  <si>
    <t>7316 Main St</t>
  </si>
  <si>
    <t>555-541-6775</t>
  </si>
  <si>
    <t>2791 Main St</t>
  </si>
  <si>
    <t>555-841-8975</t>
  </si>
  <si>
    <t>5716 Main St</t>
  </si>
  <si>
    <t>555-676-4374</t>
  </si>
  <si>
    <t>6529 Main St</t>
  </si>
  <si>
    <t>555-282-5439</t>
  </si>
  <si>
    <t>9236 Main St</t>
  </si>
  <si>
    <t>555-927-6527</t>
  </si>
  <si>
    <t>6759 Main St</t>
  </si>
  <si>
    <t>555-754-6595</t>
  </si>
  <si>
    <t>7962 Main St</t>
  </si>
  <si>
    <t>555-404-9886</t>
  </si>
  <si>
    <t>763 Main St</t>
  </si>
  <si>
    <t>555-235-6301</t>
  </si>
  <si>
    <t>1665 Main St</t>
  </si>
  <si>
    <t>555-105-2605</t>
  </si>
  <si>
    <t>2447 Main St</t>
  </si>
  <si>
    <t>555-615-3608</t>
  </si>
  <si>
    <t>5831 Main St</t>
  </si>
  <si>
    <t>555-618-3733</t>
  </si>
  <si>
    <t>4438 Main St</t>
  </si>
  <si>
    <t>555-680-8734</t>
  </si>
  <si>
    <t>5031 Main St</t>
  </si>
  <si>
    <t>555-124-4678</t>
  </si>
  <si>
    <t>2606 Main St</t>
  </si>
  <si>
    <t>555-834-8761</t>
  </si>
  <si>
    <t>126 Main St</t>
  </si>
  <si>
    <t>555-496-2214</t>
  </si>
  <si>
    <t>4357 Main St</t>
  </si>
  <si>
    <t>555-731-8768</t>
  </si>
  <si>
    <t>3441 Main St</t>
  </si>
  <si>
    <t>555-139-8928</t>
  </si>
  <si>
    <t>4894 Main St</t>
  </si>
  <si>
    <t>555-255-1969</t>
  </si>
  <si>
    <t>6383 Main St</t>
  </si>
  <si>
    <t>555-604-1242</t>
  </si>
  <si>
    <t>9461 Main St</t>
  </si>
  <si>
    <t>555-185-8666</t>
  </si>
  <si>
    <t>1188 Main St</t>
  </si>
  <si>
    <t>555-239-6362</t>
  </si>
  <si>
    <t>4582 Main St</t>
  </si>
  <si>
    <t>555-943-7518</t>
  </si>
  <si>
    <t>1669 Main St</t>
  </si>
  <si>
    <t>555-759-8097</t>
  </si>
  <si>
    <t>1401 Main St</t>
  </si>
  <si>
    <t>555-135-7862</t>
  </si>
  <si>
    <t>946 Main St</t>
  </si>
  <si>
    <t>555-924-1985</t>
  </si>
  <si>
    <t>8104 Main St</t>
  </si>
  <si>
    <t>555-610-5424</t>
  </si>
  <si>
    <t>200 Main St</t>
  </si>
  <si>
    <t>555-940-5746</t>
  </si>
  <si>
    <t>8691 Main St</t>
  </si>
  <si>
    <t>555-155-1146</t>
  </si>
  <si>
    <t>9891 Main St</t>
  </si>
  <si>
    <t>555-451-1212</t>
  </si>
  <si>
    <t>4959 Main St</t>
  </si>
  <si>
    <t>555-291-9611</t>
  </si>
  <si>
    <t>8672 Main St</t>
  </si>
  <si>
    <t>555-529-4713</t>
  </si>
  <si>
    <t>8514 Main St</t>
  </si>
  <si>
    <t>555-103-9025</t>
  </si>
  <si>
    <t>2288 Main St</t>
  </si>
  <si>
    <t>555-491-3654</t>
  </si>
  <si>
    <t>8584 Main St</t>
  </si>
  <si>
    <t>555-833-4368</t>
  </si>
  <si>
    <t>3613 Main St</t>
  </si>
  <si>
    <t>555-700-9571</t>
  </si>
  <si>
    <t>5272 Main St</t>
  </si>
  <si>
    <t>555-759-9655</t>
  </si>
  <si>
    <t>9179 Main St</t>
  </si>
  <si>
    <t>555-899-7779</t>
  </si>
  <si>
    <t>3608 Main St</t>
  </si>
  <si>
    <t>555-586-9550</t>
  </si>
  <si>
    <t>5587 Main St</t>
  </si>
  <si>
    <t>555-470-7234</t>
  </si>
  <si>
    <t>2339 Main St</t>
  </si>
  <si>
    <t>555-913-2055</t>
  </si>
  <si>
    <t>7267 Main St</t>
  </si>
  <si>
    <t>555-603-2559</t>
  </si>
  <si>
    <t>3611 Main St</t>
  </si>
  <si>
    <t>555-496-2811</t>
  </si>
  <si>
    <t>3594 Main St</t>
  </si>
  <si>
    <t>555-613-7719</t>
  </si>
  <si>
    <t>1373 Main St</t>
  </si>
  <si>
    <t>555-796-5502</t>
  </si>
  <si>
    <t>9755 Main St</t>
  </si>
  <si>
    <t>555-343-1118</t>
  </si>
  <si>
    <t>7490 Main St</t>
  </si>
  <si>
    <t>555-745-3291</t>
  </si>
  <si>
    <t>8910 Main St</t>
  </si>
  <si>
    <t>555-708-6122</t>
  </si>
  <si>
    <t>732 Main St</t>
  </si>
  <si>
    <t>555-855-8107</t>
  </si>
  <si>
    <t>6559 Main St</t>
  </si>
  <si>
    <t>555-188-2869</t>
  </si>
  <si>
    <t>4113 Main St</t>
  </si>
  <si>
    <t>555-169-9525</t>
  </si>
  <si>
    <t>4614 Main St</t>
  </si>
  <si>
    <t>555-821-3706</t>
  </si>
  <si>
    <t>3277 Main St</t>
  </si>
  <si>
    <t>555-465-6946</t>
  </si>
  <si>
    <t>1390 Main St</t>
  </si>
  <si>
    <t>555-246-3539</t>
  </si>
  <si>
    <t>9995 Main St</t>
  </si>
  <si>
    <t>555-433-5000</t>
  </si>
  <si>
    <t>555-800-3411</t>
  </si>
  <si>
    <t>167 Main St</t>
  </si>
  <si>
    <t>555-184-1762</t>
  </si>
  <si>
    <t>407 Main St</t>
  </si>
  <si>
    <t>555-249-3909</t>
  </si>
  <si>
    <t>9075 Main St</t>
  </si>
  <si>
    <t>555-172-7798</t>
  </si>
  <si>
    <t>887 Main St</t>
  </si>
  <si>
    <t>555-371-7312</t>
  </si>
  <si>
    <t>751 Main St</t>
  </si>
  <si>
    <t>555-913-9482</t>
  </si>
  <si>
    <t>7632 Main St</t>
  </si>
  <si>
    <t>555-964-4322</t>
  </si>
  <si>
    <t>1848 Main St</t>
  </si>
  <si>
    <t>555-133-6515</t>
  </si>
  <si>
    <t>7486 Main St</t>
  </si>
  <si>
    <t>555-996-4935</t>
  </si>
  <si>
    <t>5515 Main St</t>
  </si>
  <si>
    <t>555-738-6745</t>
  </si>
  <si>
    <t>405 Main St</t>
  </si>
  <si>
    <t>555-355-8411</t>
  </si>
  <si>
    <t>2274 Main St</t>
  </si>
  <si>
    <t>555-759-8881</t>
  </si>
  <si>
    <t>7662 Main St</t>
  </si>
  <si>
    <t>555-692-7339</t>
  </si>
  <si>
    <t>5614 Main St</t>
  </si>
  <si>
    <t>555-262-5723</t>
  </si>
  <si>
    <t>6622 Main St</t>
  </si>
  <si>
    <t>555-325-2158</t>
  </si>
  <si>
    <t>184 Main St</t>
  </si>
  <si>
    <t>555-950-4255</t>
  </si>
  <si>
    <t>6703 Main St</t>
  </si>
  <si>
    <t>555-557-3853</t>
  </si>
  <si>
    <t>3340 Main St</t>
  </si>
  <si>
    <t>555-326-4721</t>
  </si>
  <si>
    <t>973 Main St</t>
  </si>
  <si>
    <t>555-470-9537</t>
  </si>
  <si>
    <t>1637 Main St</t>
  </si>
  <si>
    <t>555-550-7008</t>
  </si>
  <si>
    <t>3975 Main St</t>
  </si>
  <si>
    <t>555-875-6724</t>
  </si>
  <si>
    <t>296 Main St</t>
  </si>
  <si>
    <t>555-918-9051</t>
  </si>
  <si>
    <t>4425 Main St</t>
  </si>
  <si>
    <t>555-958-4887</t>
  </si>
  <si>
    <t>9097 Main St</t>
  </si>
  <si>
    <t>555-754-8404</t>
  </si>
  <si>
    <t>3986 Main St</t>
  </si>
  <si>
    <t>555-383-1227</t>
  </si>
  <si>
    <t>274 Main St</t>
  </si>
  <si>
    <t>555-425-2595</t>
  </si>
  <si>
    <t>7417 Main St</t>
  </si>
  <si>
    <t>555-649-3620</t>
  </si>
  <si>
    <t>9879 Main St</t>
  </si>
  <si>
    <t>555-903-3164</t>
  </si>
  <si>
    <t>5761 Main St</t>
  </si>
  <si>
    <t>555-476-8494</t>
  </si>
  <si>
    <t>3256 Main St</t>
  </si>
  <si>
    <t>555-356-9190</t>
  </si>
  <si>
    <t>2371 Main St</t>
  </si>
  <si>
    <t>555-105-4607</t>
  </si>
  <si>
    <t>9967 Main St</t>
  </si>
  <si>
    <t>555-790-7714</t>
  </si>
  <si>
    <t>6694 Main St</t>
  </si>
  <si>
    <t>555-474-9344</t>
  </si>
  <si>
    <t>8593 Main St</t>
  </si>
  <si>
    <t>555-361-3653</t>
  </si>
  <si>
    <t>7510 Main St</t>
  </si>
  <si>
    <t>555-545-9537</t>
  </si>
  <si>
    <t>2022 Main St</t>
  </si>
  <si>
    <t>555-118-8950</t>
  </si>
  <si>
    <t>4097 Main St</t>
  </si>
  <si>
    <t>555-751-8324</t>
  </si>
  <si>
    <t>5595 Main St</t>
  </si>
  <si>
    <t>555-624-1738</t>
  </si>
  <si>
    <t>7737 Main St</t>
  </si>
  <si>
    <t>555-586-1556</t>
  </si>
  <si>
    <t>8513 Main St</t>
  </si>
  <si>
    <t>555-892-3706</t>
  </si>
  <si>
    <t>152 Main St</t>
  </si>
  <si>
    <t>555-994-9033</t>
  </si>
  <si>
    <t>3462 Main St</t>
  </si>
  <si>
    <t>555-856-1638</t>
  </si>
  <si>
    <t>2560 Main St</t>
  </si>
  <si>
    <t>555-395-3430</t>
  </si>
  <si>
    <t>2401 Main St</t>
  </si>
  <si>
    <t>555-147-3561</t>
  </si>
  <si>
    <t>7327 Main St</t>
  </si>
  <si>
    <t>555-210-5188</t>
  </si>
  <si>
    <t>4391 Main St</t>
  </si>
  <si>
    <t>555-681-7045</t>
  </si>
  <si>
    <t>5318 Main St</t>
  </si>
  <si>
    <t>555-564-5414</t>
  </si>
  <si>
    <t>7618 Main St</t>
  </si>
  <si>
    <t>555-992-8097</t>
  </si>
  <si>
    <t>3118 Main St</t>
  </si>
  <si>
    <t>555-576-2847</t>
  </si>
  <si>
    <t>8847 Main St</t>
  </si>
  <si>
    <t>555-107-4113</t>
  </si>
  <si>
    <t>2918 Main St</t>
  </si>
  <si>
    <t>555-689-6435</t>
  </si>
  <si>
    <t>6968 Main St</t>
  </si>
  <si>
    <t>555-131-4756</t>
  </si>
  <si>
    <t>3737 Main St</t>
  </si>
  <si>
    <t>555-780-5771</t>
  </si>
  <si>
    <t>1311 Main St</t>
  </si>
  <si>
    <t>555-943-6344</t>
  </si>
  <si>
    <t>3767 Main St</t>
  </si>
  <si>
    <t>555-308-3196</t>
  </si>
  <si>
    <t>3630 Main St</t>
  </si>
  <si>
    <t>555-549-8372</t>
  </si>
  <si>
    <t>2962 Main St</t>
  </si>
  <si>
    <t>555-700-1151</t>
  </si>
  <si>
    <t>7656 Main St</t>
  </si>
  <si>
    <t>555-505-7902</t>
  </si>
  <si>
    <t>5624 Main St</t>
  </si>
  <si>
    <t>555-450-1868</t>
  </si>
  <si>
    <t>6679 Main St</t>
  </si>
  <si>
    <t>555-740-7653</t>
  </si>
  <si>
    <t>1117 Main St</t>
  </si>
  <si>
    <t>555-423-2350</t>
  </si>
  <si>
    <t>1526 Main St</t>
  </si>
  <si>
    <t>555-666-4399</t>
  </si>
  <si>
    <t>8049 Main St</t>
  </si>
  <si>
    <t>555-715-4685</t>
  </si>
  <si>
    <t>8796 Main St</t>
  </si>
  <si>
    <t>555-170-2149</t>
  </si>
  <si>
    <t>4404 Main St</t>
  </si>
  <si>
    <t>555-853-1429</t>
  </si>
  <si>
    <t>2470 Main St</t>
  </si>
  <si>
    <t>555-109-8201</t>
  </si>
  <si>
    <t>7953 Main St</t>
  </si>
  <si>
    <t>555-668-3849</t>
  </si>
  <si>
    <t>9402 Main St</t>
  </si>
  <si>
    <t>555-718-2534</t>
  </si>
  <si>
    <t>5524 Main St</t>
  </si>
  <si>
    <t>555-816-4187</t>
  </si>
  <si>
    <t>4549 Main St</t>
  </si>
  <si>
    <t>555-856-9049</t>
  </si>
  <si>
    <t>4310 Main St</t>
  </si>
  <si>
    <t>555-620-3971</t>
  </si>
  <si>
    <t>7408 Main St</t>
  </si>
  <si>
    <t>555-790-2997</t>
  </si>
  <si>
    <t>5244 Main St</t>
  </si>
  <si>
    <t>555-968-2076</t>
  </si>
  <si>
    <t>8073 Main St</t>
  </si>
  <si>
    <t>555-805-6933</t>
  </si>
  <si>
    <t>8373 Main St</t>
  </si>
  <si>
    <t>555-610-3459</t>
  </si>
  <si>
    <t>1989 Main St</t>
  </si>
  <si>
    <t>555-284-8707</t>
  </si>
  <si>
    <t>5155 Main St</t>
  </si>
  <si>
    <t>555-638-6310</t>
  </si>
  <si>
    <t>2768 Main St</t>
  </si>
  <si>
    <t>555-680-9362</t>
  </si>
  <si>
    <t>4510 Main St</t>
  </si>
  <si>
    <t>555-806-5142</t>
  </si>
  <si>
    <t>4505 Main St</t>
  </si>
  <si>
    <t>555-285-7638</t>
  </si>
  <si>
    <t>857 Main St</t>
  </si>
  <si>
    <t>555-741-5551</t>
  </si>
  <si>
    <t>3379 Main St</t>
  </si>
  <si>
    <t>555-911-5752</t>
  </si>
  <si>
    <t>8602 Main St</t>
  </si>
  <si>
    <t>555-161-9564</t>
  </si>
  <si>
    <t>8987 Main St</t>
  </si>
  <si>
    <t>555-226-8727</t>
  </si>
  <si>
    <t>3084 Main St</t>
  </si>
  <si>
    <t>555-673-6209</t>
  </si>
  <si>
    <t>1370 Main St</t>
  </si>
  <si>
    <t>555-616-1909</t>
  </si>
  <si>
    <t>4701 Main St</t>
  </si>
  <si>
    <t>555-353-5732</t>
  </si>
  <si>
    <t>5703 Main St</t>
  </si>
  <si>
    <t>555-763-2010</t>
  </si>
  <si>
    <t>6140 Main St</t>
  </si>
  <si>
    <t>555-438-7490</t>
  </si>
  <si>
    <t>9827 Main St</t>
  </si>
  <si>
    <t>555-966-3440</t>
  </si>
  <si>
    <t>5585 Main St</t>
  </si>
  <si>
    <t>555-687-8388</t>
  </si>
  <si>
    <t>9104 Main St</t>
  </si>
  <si>
    <t>555-523-1524</t>
  </si>
  <si>
    <t>7348 Main St</t>
  </si>
  <si>
    <t>555-157-1492</t>
  </si>
  <si>
    <t>1909 Main St</t>
  </si>
  <si>
    <t>555-826-2706</t>
  </si>
  <si>
    <t>816 Main St</t>
  </si>
  <si>
    <t>555-157-2985</t>
  </si>
  <si>
    <t>5177 Main St</t>
  </si>
  <si>
    <t>555-808-3871</t>
  </si>
  <si>
    <t>6912 Main St</t>
  </si>
  <si>
    <t>555-368-2263</t>
  </si>
  <si>
    <t>3243 Main St</t>
  </si>
  <si>
    <t>555-998-3269</t>
  </si>
  <si>
    <t>2345 Main St</t>
  </si>
  <si>
    <t>555-918-2442</t>
  </si>
  <si>
    <t>5901 Main St</t>
  </si>
  <si>
    <t>555-291-6497</t>
  </si>
  <si>
    <t>4243 Main St</t>
  </si>
  <si>
    <t>555-536-2129</t>
  </si>
  <si>
    <t>8342 Main St</t>
  </si>
  <si>
    <t>555-406-8940</t>
  </si>
  <si>
    <t>3825 Main St</t>
  </si>
  <si>
    <t>555-878-9536</t>
  </si>
  <si>
    <t>8434 Main St</t>
  </si>
  <si>
    <t>555-238-4079</t>
  </si>
  <si>
    <t>9171 Main St</t>
  </si>
  <si>
    <t>555-368-6202</t>
  </si>
  <si>
    <t>645 Main St</t>
  </si>
  <si>
    <t>555-498-8313</t>
  </si>
  <si>
    <t>7249 Main St</t>
  </si>
  <si>
    <t>555-199-5457</t>
  </si>
  <si>
    <t>2688 Main St</t>
  </si>
  <si>
    <t>555-811-5007</t>
  </si>
  <si>
    <t>4134 Main St</t>
  </si>
  <si>
    <t>555-528-3405</t>
  </si>
  <si>
    <t>5558 Main St</t>
  </si>
  <si>
    <t>555-857-2416</t>
  </si>
  <si>
    <t>4101 Main St</t>
  </si>
  <si>
    <t>555-823-2982</t>
  </si>
  <si>
    <t>7951 Main St</t>
  </si>
  <si>
    <t>555-800-1621</t>
  </si>
  <si>
    <t>8950 Main St</t>
  </si>
  <si>
    <t>555-793-3206</t>
  </si>
  <si>
    <t>4022 Main St</t>
  </si>
  <si>
    <t>555-506-8646</t>
  </si>
  <si>
    <t>9646 Main St</t>
  </si>
  <si>
    <t>555-654-1914</t>
  </si>
  <si>
    <t>5775 Main St</t>
  </si>
  <si>
    <t>555-902-8479</t>
  </si>
  <si>
    <t>3034 Main St</t>
  </si>
  <si>
    <t>555-119-1574</t>
  </si>
  <si>
    <t>4909 Main St</t>
  </si>
  <si>
    <t>555-290-1157</t>
  </si>
  <si>
    <t>4878 Main St</t>
  </si>
  <si>
    <t>555-524-6279</t>
  </si>
  <si>
    <t>8817 Main St</t>
  </si>
  <si>
    <t>555-526-7684</t>
  </si>
  <si>
    <t>7867 Main St</t>
  </si>
  <si>
    <t>555-426-6874</t>
  </si>
  <si>
    <t>2523 Main St</t>
  </si>
  <si>
    <t>555-113-3486</t>
  </si>
  <si>
    <t>9741 Main St</t>
  </si>
  <si>
    <t>555-941-3828</t>
  </si>
  <si>
    <t>7257 Main St</t>
  </si>
  <si>
    <t>555-757-9529</t>
  </si>
  <si>
    <t>4798 Main St</t>
  </si>
  <si>
    <t>555-459-3482</t>
  </si>
  <si>
    <t>4611 Main St</t>
  </si>
  <si>
    <t>555-822-5285</t>
  </si>
  <si>
    <t>2581 Main St</t>
  </si>
  <si>
    <t>555-478-9260</t>
  </si>
  <si>
    <t>6157 Main St</t>
  </si>
  <si>
    <t>555-923-1167</t>
  </si>
  <si>
    <t>2549 Main St</t>
  </si>
  <si>
    <t>555-805-4062</t>
  </si>
  <si>
    <t>7810 Main St</t>
  </si>
  <si>
    <t>555-418-6711</t>
  </si>
  <si>
    <t>8820 Main St</t>
  </si>
  <si>
    <t>555-248-3603</t>
  </si>
  <si>
    <t>6561 Main St</t>
  </si>
  <si>
    <t>555-727-4777</t>
  </si>
  <si>
    <t>7346 Main St</t>
  </si>
  <si>
    <t>555-358-3886</t>
  </si>
  <si>
    <t>2800 Main St</t>
  </si>
  <si>
    <t>555-772-8850</t>
  </si>
  <si>
    <t>6686 Main St</t>
  </si>
  <si>
    <t>555-979-1253</t>
  </si>
  <si>
    <t>3610 Main St</t>
  </si>
  <si>
    <t>555-686-2143</t>
  </si>
  <si>
    <t>164 Main St</t>
  </si>
  <si>
    <t>555-665-4728</t>
  </si>
  <si>
    <t>2020 Main St</t>
  </si>
  <si>
    <t>555-940-3875</t>
  </si>
  <si>
    <t>555-899-8409</t>
  </si>
  <si>
    <t>6531 Main St</t>
  </si>
  <si>
    <t>555-422-4902</t>
  </si>
  <si>
    <t>8679 Main St</t>
  </si>
  <si>
    <t>555-598-3526</t>
  </si>
  <si>
    <t>7826 Main St</t>
  </si>
  <si>
    <t>555-264-5476</t>
  </si>
  <si>
    <t>4360 Main St</t>
  </si>
  <si>
    <t>555-548-2485</t>
  </si>
  <si>
    <t>2233 Main St</t>
  </si>
  <si>
    <t>555-794-9991</t>
  </si>
  <si>
    <t>7037 Main St</t>
  </si>
  <si>
    <t>555-949-5772</t>
  </si>
  <si>
    <t>5404 Main St</t>
  </si>
  <si>
    <t>555-180-4122</t>
  </si>
  <si>
    <t>7030 Main St</t>
  </si>
  <si>
    <t>555-982-3377</t>
  </si>
  <si>
    <t>9937 Main St</t>
  </si>
  <si>
    <t>555-223-1955</t>
  </si>
  <si>
    <t>6306 Main St</t>
  </si>
  <si>
    <t>555-516-6716</t>
  </si>
  <si>
    <t>6979 Main St</t>
  </si>
  <si>
    <t>555-839-9086</t>
  </si>
  <si>
    <t>5468 Main St</t>
  </si>
  <si>
    <t>555-363-4598</t>
  </si>
  <si>
    <t>8356 Main St</t>
  </si>
  <si>
    <t>555-335-2037</t>
  </si>
  <si>
    <t>4824 Main St</t>
  </si>
  <si>
    <t>555-127-1926</t>
  </si>
  <si>
    <t>7690 Main St</t>
  </si>
  <si>
    <t>555-678-3555</t>
  </si>
  <si>
    <t>6066 Main St</t>
  </si>
  <si>
    <t>555-196-4165</t>
  </si>
  <si>
    <t>8518 Main St</t>
  </si>
  <si>
    <t>555-959-4698</t>
  </si>
  <si>
    <t>6949 Main St</t>
  </si>
  <si>
    <t>555-188-9983</t>
  </si>
  <si>
    <t>3138 Main St</t>
  </si>
  <si>
    <t>555-820-9992</t>
  </si>
  <si>
    <t>7913 Main St</t>
  </si>
  <si>
    <t>555-768-2392</t>
  </si>
  <si>
    <t>2873 Main St</t>
  </si>
  <si>
    <t>555-807-6753</t>
  </si>
  <si>
    <t>5911 Main St</t>
  </si>
  <si>
    <t>555-644-6854</t>
  </si>
  <si>
    <t>9746 Main St</t>
  </si>
  <si>
    <t>555-606-6723</t>
  </si>
  <si>
    <t>1068 Main St</t>
  </si>
  <si>
    <t>555-851-5895</t>
  </si>
  <si>
    <t>5777 Main St</t>
  </si>
  <si>
    <t>555-952-3934</t>
  </si>
  <si>
    <t>9692 Main St</t>
  </si>
  <si>
    <t>555-980-5068</t>
  </si>
  <si>
    <t>3293 Main St</t>
  </si>
  <si>
    <t>555-712-9555</t>
  </si>
  <si>
    <t>4307 Main St</t>
  </si>
  <si>
    <t>555-627-2001</t>
  </si>
  <si>
    <t>9227 Main St</t>
  </si>
  <si>
    <t>555-409-8239</t>
  </si>
  <si>
    <t>2122 Main St</t>
  </si>
  <si>
    <t>555-641-1778</t>
  </si>
  <si>
    <t>2211 Main St</t>
  </si>
  <si>
    <t>555-196-5012</t>
  </si>
  <si>
    <t>3673 Main St</t>
  </si>
  <si>
    <t>555-695-2715</t>
  </si>
  <si>
    <t>3764 Main St</t>
  </si>
  <si>
    <t>555-828-9355</t>
  </si>
  <si>
    <t>8247 Main St</t>
  </si>
  <si>
    <t>555-673-9765</t>
  </si>
  <si>
    <t>8478 Main St</t>
  </si>
  <si>
    <t>555-351-8174</t>
  </si>
  <si>
    <t>3966 Main St</t>
  </si>
  <si>
    <t>555-592-6708</t>
  </si>
  <si>
    <t>4841 Main St</t>
  </si>
  <si>
    <t>555-134-9583</t>
  </si>
  <si>
    <t>3801 Main St</t>
  </si>
  <si>
    <t>555-654-6560</t>
  </si>
  <si>
    <t>3052 Main St</t>
  </si>
  <si>
    <t>555-687-3092</t>
  </si>
  <si>
    <t>3530 Main St</t>
  </si>
  <si>
    <t>555-867-6993</t>
  </si>
  <si>
    <t>7582 Main St</t>
  </si>
  <si>
    <t>555-900-6888</t>
  </si>
  <si>
    <t>7523 Main St</t>
  </si>
  <si>
    <t>555-512-6129</t>
  </si>
  <si>
    <t>5819 Main St</t>
  </si>
  <si>
    <t>555-470-6138</t>
  </si>
  <si>
    <t>4518 Main St</t>
  </si>
  <si>
    <t>555-912-1658</t>
  </si>
  <si>
    <t>410 Main St</t>
  </si>
  <si>
    <t>555-849-4225</t>
  </si>
  <si>
    <t>9530 Main St</t>
  </si>
  <si>
    <t>555-965-5047</t>
  </si>
  <si>
    <t>3132 Main St</t>
  </si>
  <si>
    <t>555-718-3117</t>
  </si>
  <si>
    <t>3734 Main St</t>
  </si>
  <si>
    <t>555-419-7841</t>
  </si>
  <si>
    <t>8894 Main St</t>
  </si>
  <si>
    <t>555-136-7805</t>
  </si>
  <si>
    <t>7515 Main St</t>
  </si>
  <si>
    <t>555-841-3991</t>
  </si>
  <si>
    <t>1579 Main St</t>
  </si>
  <si>
    <t>555-314-4688</t>
  </si>
  <si>
    <t>6699 Main St</t>
  </si>
  <si>
    <t>555-607-2696</t>
  </si>
  <si>
    <t>1705 Main St</t>
  </si>
  <si>
    <t>555-720-4158</t>
  </si>
  <si>
    <t>5500 Main St</t>
  </si>
  <si>
    <t>555-460-3148</t>
  </si>
  <si>
    <t>9007 Main St</t>
  </si>
  <si>
    <t>555-307-7057</t>
  </si>
  <si>
    <t>8332 Main St</t>
  </si>
  <si>
    <t>555-816-1552</t>
  </si>
  <si>
    <t>6246 Main St</t>
  </si>
  <si>
    <t>555-233-7476</t>
  </si>
  <si>
    <t>6414 Main St</t>
  </si>
  <si>
    <t>555-298-9842</t>
  </si>
  <si>
    <t>1770 Main St</t>
  </si>
  <si>
    <t>555-830-8613</t>
  </si>
  <si>
    <t>7154 Main St</t>
  </si>
  <si>
    <t>555-833-5263</t>
  </si>
  <si>
    <t>1292 Main St</t>
  </si>
  <si>
    <t>555-596-6358</t>
  </si>
  <si>
    <t>5790 Main St</t>
  </si>
  <si>
    <t>555-471-4945</t>
  </si>
  <si>
    <t>6562 Main St</t>
  </si>
  <si>
    <t>555-654-7378</t>
  </si>
  <si>
    <t>4313 Main St</t>
  </si>
  <si>
    <t>555-732-6150</t>
  </si>
  <si>
    <t>8171 Main St</t>
  </si>
  <si>
    <t>555-531-5226</t>
  </si>
  <si>
    <t>719 Main St</t>
  </si>
  <si>
    <t>555-259-7374</t>
  </si>
  <si>
    <t>2721 Main St</t>
  </si>
  <si>
    <t>555-486-1553</t>
  </si>
  <si>
    <t>1779 Main St</t>
  </si>
  <si>
    <t>555-227-8010</t>
  </si>
  <si>
    <t>8275 Main St</t>
  </si>
  <si>
    <t>555-737-8953</t>
  </si>
  <si>
    <t>4384 Main St</t>
  </si>
  <si>
    <t>555-151-9907</t>
  </si>
  <si>
    <t>7938 Main St</t>
  </si>
  <si>
    <t>555-265-4788</t>
  </si>
  <si>
    <t>2682 Main St</t>
  </si>
  <si>
    <t>555-343-4978</t>
  </si>
  <si>
    <t>9140 Main St</t>
  </si>
  <si>
    <t>555-208-9519</t>
  </si>
  <si>
    <t>508 Main St</t>
  </si>
  <si>
    <t>555-262-1825</t>
  </si>
  <si>
    <t>9769 Main St</t>
  </si>
  <si>
    <t>555-913-9538</t>
  </si>
  <si>
    <t>5666 Main St</t>
  </si>
  <si>
    <t>555-482-6332</t>
  </si>
  <si>
    <t>3575 Main St</t>
  </si>
  <si>
    <t>555-357-7678</t>
  </si>
  <si>
    <t>2344 Main St</t>
  </si>
  <si>
    <t>555-659-5676</t>
  </si>
  <si>
    <t>3559 Main St</t>
  </si>
  <si>
    <t>555-968-2985</t>
  </si>
  <si>
    <t>3284 Main St</t>
  </si>
  <si>
    <t>555-782-8632</t>
  </si>
  <si>
    <t>4223 Main St</t>
  </si>
  <si>
    <t>555-604-4331</t>
  </si>
  <si>
    <t>6357 Main St</t>
  </si>
  <si>
    <t>555-308-6559</t>
  </si>
  <si>
    <t>6386 Main St</t>
  </si>
  <si>
    <t>555-243-4288</t>
  </si>
  <si>
    <t>5327 Main St</t>
  </si>
  <si>
    <t>555-271-8086</t>
  </si>
  <si>
    <t>4481 Main St</t>
  </si>
  <si>
    <t>555-724-1648</t>
  </si>
  <si>
    <t>4329 Main St</t>
  </si>
  <si>
    <t>555-587-9038</t>
  </si>
  <si>
    <t>581 Main St</t>
  </si>
  <si>
    <t>555-903-5138</t>
  </si>
  <si>
    <t>9365 Main St</t>
  </si>
  <si>
    <t>555-820-3377</t>
  </si>
  <si>
    <t>8689 Main St</t>
  </si>
  <si>
    <t>555-792-9525</t>
  </si>
  <si>
    <t>4082 Main St</t>
  </si>
  <si>
    <t>555-658-8516</t>
  </si>
  <si>
    <t>7024 Main St</t>
  </si>
  <si>
    <t>555-786-5590</t>
  </si>
  <si>
    <t>5434 Main St</t>
  </si>
  <si>
    <t>555-842-3239</t>
  </si>
  <si>
    <t>1729 Main St</t>
  </si>
  <si>
    <t>555-519-6626</t>
  </si>
  <si>
    <t>9832 Main St</t>
  </si>
  <si>
    <t>555-809-4742</t>
  </si>
  <si>
    <t>9651 Main St</t>
  </si>
  <si>
    <t>555-996-8557</t>
  </si>
  <si>
    <t>5139 Main St</t>
  </si>
  <si>
    <t>555-908-7243</t>
  </si>
  <si>
    <t>1923 Main St</t>
  </si>
  <si>
    <t>555-173-6053</t>
  </si>
  <si>
    <t>5502 Main St</t>
  </si>
  <si>
    <t>555-797-2127</t>
  </si>
  <si>
    <t>5826 Main St</t>
  </si>
  <si>
    <t>555-569-7503</t>
  </si>
  <si>
    <t>1412 Main St</t>
  </si>
  <si>
    <t>555-153-1232</t>
  </si>
  <si>
    <t>6044 Main St</t>
  </si>
  <si>
    <t>555-604-1030</t>
  </si>
  <si>
    <t>9898 Main St</t>
  </si>
  <si>
    <t>555-142-9468</t>
  </si>
  <si>
    <t>9948 Main St</t>
  </si>
  <si>
    <t>555-503-4376</t>
  </si>
  <si>
    <t>5920 Main St</t>
  </si>
  <si>
    <t>555-466-5352</t>
  </si>
  <si>
    <t>2385 Main St</t>
  </si>
  <si>
    <t>555-929-7048</t>
  </si>
  <si>
    <t>4838 Main St</t>
  </si>
  <si>
    <t>555-539-8084</t>
  </si>
  <si>
    <t>8462 Main St</t>
  </si>
  <si>
    <t>555-976-7492</t>
  </si>
  <si>
    <t>2369 Main St</t>
  </si>
  <si>
    <t>555-298-4994</t>
  </si>
  <si>
    <t>4503 Main St</t>
  </si>
  <si>
    <t>555-520-8717</t>
  </si>
  <si>
    <t>6786 Main St</t>
  </si>
  <si>
    <t>555-893-9513</t>
  </si>
  <si>
    <t>5602 Main St</t>
  </si>
  <si>
    <t>555-159-6368</t>
  </si>
  <si>
    <t>3517 Main St</t>
  </si>
  <si>
    <t>555-857-3002</t>
  </si>
  <si>
    <t>6673 Main St</t>
  </si>
  <si>
    <t>555-580-4400</t>
  </si>
  <si>
    <t>474 Main St</t>
  </si>
  <si>
    <t>555-380-2280</t>
  </si>
  <si>
    <t>962 Main St</t>
  </si>
  <si>
    <t>555-859-5692</t>
  </si>
  <si>
    <t>4406 Main St</t>
  </si>
  <si>
    <t>555-551-2006</t>
  </si>
  <si>
    <t>3653 Main St</t>
  </si>
  <si>
    <t>555-289-5018</t>
  </si>
  <si>
    <t>6336 Main St</t>
  </si>
  <si>
    <t>555-516-8876</t>
  </si>
  <si>
    <t>303 Main St</t>
  </si>
  <si>
    <t>555-393-6788</t>
  </si>
  <si>
    <t>7583 Main St</t>
  </si>
  <si>
    <t>555-671-3778</t>
  </si>
  <si>
    <t>1341 Main St</t>
  </si>
  <si>
    <t>555-845-4632</t>
  </si>
  <si>
    <t>6772 Main St</t>
  </si>
  <si>
    <t>555-705-4377</t>
  </si>
  <si>
    <t>9065 Main St</t>
  </si>
  <si>
    <t>555-259-7743</t>
  </si>
  <si>
    <t>6864 Main St</t>
  </si>
  <si>
    <t>555-717-3126</t>
  </si>
  <si>
    <t>9052 Main St</t>
  </si>
  <si>
    <t>555-985-7681</t>
  </si>
  <si>
    <t>7964 Main St</t>
  </si>
  <si>
    <t>555-743-3660</t>
  </si>
  <si>
    <t>7565 Main St</t>
  </si>
  <si>
    <t>555-468-5218</t>
  </si>
  <si>
    <t>3492 Main St</t>
  </si>
  <si>
    <t>555-235-9788</t>
  </si>
  <si>
    <t>555-168-9174</t>
  </si>
  <si>
    <t>9979 Main St</t>
  </si>
  <si>
    <t>555-762-9253</t>
  </si>
  <si>
    <t>7386 Main St</t>
  </si>
  <si>
    <t>555-952-6257</t>
  </si>
  <si>
    <t>5645 Main St</t>
  </si>
  <si>
    <t>555-577-7348</t>
  </si>
  <si>
    <t>8285 Main St</t>
  </si>
  <si>
    <t>555-496-3068</t>
  </si>
  <si>
    <t>5656 Main St</t>
  </si>
  <si>
    <t>555-919-8724</t>
  </si>
  <si>
    <t>1165 Main St</t>
  </si>
  <si>
    <t>555-156-4873</t>
  </si>
  <si>
    <t>9851 Main St</t>
  </si>
  <si>
    <t>555-387-8562</t>
  </si>
  <si>
    <t>5767 Main St</t>
  </si>
  <si>
    <t>555-167-2322</t>
  </si>
  <si>
    <t>9173 Main St</t>
  </si>
  <si>
    <t>555-424-4766</t>
  </si>
  <si>
    <t>2501 Main St</t>
  </si>
  <si>
    <t>555-508-2163</t>
  </si>
  <si>
    <t>9544 Main St</t>
  </si>
  <si>
    <t>555-984-2647</t>
  </si>
  <si>
    <t>9203 Main St</t>
  </si>
  <si>
    <t>555-432-7838</t>
  </si>
  <si>
    <t>918 Main St</t>
  </si>
  <si>
    <t>555-943-6815</t>
  </si>
  <si>
    <t>1357 Main St</t>
  </si>
  <si>
    <t>555-799-9632</t>
  </si>
  <si>
    <t>3879 Main St</t>
  </si>
  <si>
    <t>555-734-2341</t>
  </si>
  <si>
    <t>9016 Main St</t>
  </si>
  <si>
    <t>555-826-2820</t>
  </si>
  <si>
    <t>4208 Main St</t>
  </si>
  <si>
    <t>555-500-6861</t>
  </si>
  <si>
    <t>9911 Main St</t>
  </si>
  <si>
    <t>555-203-7224</t>
  </si>
  <si>
    <t>4584 Main St</t>
  </si>
  <si>
    <t>555-505-2803</t>
  </si>
  <si>
    <t>3560 Main St</t>
  </si>
  <si>
    <t>555-521-7636</t>
  </si>
  <si>
    <t>4324 Main St</t>
  </si>
  <si>
    <t>555-359-4164</t>
  </si>
  <si>
    <t>4358 Main St</t>
  </si>
  <si>
    <t>555-134-2406</t>
  </si>
  <si>
    <t>9163 Main St</t>
  </si>
  <si>
    <t>555-674-1814</t>
  </si>
  <si>
    <t>8239 Main St</t>
  </si>
  <si>
    <t>555-938-9545</t>
  </si>
  <si>
    <t>5138 Main St</t>
  </si>
  <si>
    <t>555-966-3939</t>
  </si>
  <si>
    <t>734 Main St</t>
  </si>
  <si>
    <t>555-905-4775</t>
  </si>
  <si>
    <t>4885 Main St</t>
  </si>
  <si>
    <t>555-874-3708</t>
  </si>
  <si>
    <t>1296 Main St</t>
  </si>
  <si>
    <t>555-564-1530</t>
  </si>
  <si>
    <t>7591 Main St</t>
  </si>
  <si>
    <t>555-185-5311</t>
  </si>
  <si>
    <t>2753 Main St</t>
  </si>
  <si>
    <t>555-865-3118</t>
  </si>
  <si>
    <t>1496 Main St</t>
  </si>
  <si>
    <t>555-720-4894</t>
  </si>
  <si>
    <t>555-423-3410</t>
  </si>
  <si>
    <t>1366 Main St</t>
  </si>
  <si>
    <t>555-726-4069</t>
  </si>
  <si>
    <t>7282 Main St</t>
  </si>
  <si>
    <t>555-483-3735</t>
  </si>
  <si>
    <t>6245 Main St</t>
  </si>
  <si>
    <t>555-708-5272</t>
  </si>
  <si>
    <t>2965 Main St</t>
  </si>
  <si>
    <t>555-591-7727</t>
  </si>
  <si>
    <t>9394 Main St</t>
  </si>
  <si>
    <t>555-250-9752</t>
  </si>
  <si>
    <t>7100 Main St</t>
  </si>
  <si>
    <t>555-292-8643</t>
  </si>
  <si>
    <t>7460 Main St</t>
  </si>
  <si>
    <t>555-490-3148</t>
  </si>
  <si>
    <t>2463 Main St</t>
  </si>
  <si>
    <t>555-589-3332</t>
  </si>
  <si>
    <t>4783 Main St</t>
  </si>
  <si>
    <t>555-999-6362</t>
  </si>
  <si>
    <t>1932 Main St</t>
  </si>
  <si>
    <t>555-230-6501</t>
  </si>
  <si>
    <t>9330 Main St</t>
  </si>
  <si>
    <t>555-926-9768</t>
  </si>
  <si>
    <t>425 Main St</t>
  </si>
  <si>
    <t>555-698-8609</t>
  </si>
  <si>
    <t>7990 Main St</t>
  </si>
  <si>
    <t>555-923-2685</t>
  </si>
  <si>
    <t>2013 Main St</t>
  </si>
  <si>
    <t>555-544-9489</t>
  </si>
  <si>
    <t>1866 Main St</t>
  </si>
  <si>
    <t>555-682-9494</t>
  </si>
  <si>
    <t>6370 Main St</t>
  </si>
  <si>
    <t>555-613-2636</t>
  </si>
  <si>
    <t>9145 Main St</t>
  </si>
  <si>
    <t>555-170-9147</t>
  </si>
  <si>
    <t>8100 Main St</t>
  </si>
  <si>
    <t>555-230-9842</t>
  </si>
  <si>
    <t>6681 Main St</t>
  </si>
  <si>
    <t>555-348-3067</t>
  </si>
  <si>
    <t>5054 Main St</t>
  </si>
  <si>
    <t>555-943-4947</t>
  </si>
  <si>
    <t>3600 Main St</t>
  </si>
  <si>
    <t>555-659-5559</t>
  </si>
  <si>
    <t>2955 Main St</t>
  </si>
  <si>
    <t>555-921-1822</t>
  </si>
  <si>
    <t>7921 Main St</t>
  </si>
  <si>
    <t>555-553-6639</t>
  </si>
  <si>
    <t>7300 Main St</t>
  </si>
  <si>
    <t>555-295-4450</t>
  </si>
  <si>
    <t>5879 Main St</t>
  </si>
  <si>
    <t>555-310-4901</t>
  </si>
  <si>
    <t>392 Main St</t>
  </si>
  <si>
    <t>555-334-3957</t>
  </si>
  <si>
    <t>555-990-7137</t>
  </si>
  <si>
    <t>6003 Main St</t>
  </si>
  <si>
    <t>555-225-5553</t>
  </si>
  <si>
    <t>9685 Main St</t>
  </si>
  <si>
    <t>555-776-2980</t>
  </si>
  <si>
    <t>8560 Main St</t>
  </si>
  <si>
    <t>555-970-3770</t>
  </si>
  <si>
    <t>7103 Main St</t>
  </si>
  <si>
    <t>555-449-6445</t>
  </si>
  <si>
    <t>5441 Main St</t>
  </si>
  <si>
    <t>555-621-8018</t>
  </si>
  <si>
    <t>7397 Main St</t>
  </si>
  <si>
    <t>555-588-2399</t>
  </si>
  <si>
    <t>5324 Main St</t>
  </si>
  <si>
    <t>555-162-5242</t>
  </si>
  <si>
    <t>555-971-4532</t>
  </si>
  <si>
    <t>5903 Main St</t>
  </si>
  <si>
    <t>555-363-9648</t>
  </si>
  <si>
    <t>7803 Main St</t>
  </si>
  <si>
    <t>555-198-5152</t>
  </si>
  <si>
    <t>7190 Main St</t>
  </si>
  <si>
    <t>555-226-6070</t>
  </si>
  <si>
    <t>2763 Main St</t>
  </si>
  <si>
    <t>555-581-4273</t>
  </si>
  <si>
    <t>496 Main St</t>
  </si>
  <si>
    <t>555-240-8450</t>
  </si>
  <si>
    <t>1320 Main St</t>
  </si>
  <si>
    <t>555-362-8204</t>
  </si>
  <si>
    <t>4945 Main St</t>
  </si>
  <si>
    <t>555-139-4061</t>
  </si>
  <si>
    <t>9507 Main St</t>
  </si>
  <si>
    <t>555-369-9258</t>
  </si>
  <si>
    <t>8677 Main St</t>
  </si>
  <si>
    <t>555-479-2998</t>
  </si>
  <si>
    <t>1887 Main St</t>
  </si>
  <si>
    <t>555-661-2011</t>
  </si>
  <si>
    <t>5014 Main St</t>
  </si>
  <si>
    <t>555-971-3799</t>
  </si>
  <si>
    <t>1376 Main St</t>
  </si>
  <si>
    <t>555-240-2091</t>
  </si>
  <si>
    <t>3481 Main St</t>
  </si>
  <si>
    <t>555-937-6197</t>
  </si>
  <si>
    <t>7570 Main St</t>
  </si>
  <si>
    <t>555-209-9851</t>
  </si>
  <si>
    <t>5102 Main St</t>
  </si>
  <si>
    <t>555-809-4102</t>
  </si>
  <si>
    <t>4844 Main St</t>
  </si>
  <si>
    <t>555-600-3575</t>
  </si>
  <si>
    <t>7592 Main St</t>
  </si>
  <si>
    <t>555-540-7375</t>
  </si>
  <si>
    <t>5180 Main St</t>
  </si>
  <si>
    <t>555-850-1140</t>
  </si>
  <si>
    <t>2341 Main St</t>
  </si>
  <si>
    <t>555-242-2306</t>
  </si>
  <si>
    <t>8506 Main St</t>
  </si>
  <si>
    <t>555-612-5877</t>
  </si>
  <si>
    <t>5894 Main St</t>
  </si>
  <si>
    <t>555-764-7534</t>
  </si>
  <si>
    <t>9059 Main St</t>
  </si>
  <si>
    <t>555-642-1713</t>
  </si>
  <si>
    <t>7610 Main St</t>
  </si>
  <si>
    <t>555-572-2976</t>
  </si>
  <si>
    <t>3149 Main St</t>
  </si>
  <si>
    <t>555-974-8780</t>
  </si>
  <si>
    <t>4286 Main St</t>
  </si>
  <si>
    <t>555-786-2760</t>
  </si>
  <si>
    <t>8797 Main St</t>
  </si>
  <si>
    <t>555-620-9399</t>
  </si>
  <si>
    <t>555-669-1278</t>
  </si>
  <si>
    <t>9790 Main St</t>
  </si>
  <si>
    <t>555-137-8968</t>
  </si>
  <si>
    <t>555-453-3148</t>
  </si>
  <si>
    <t>3586 Main St</t>
  </si>
  <si>
    <t>555-346-4807</t>
  </si>
  <si>
    <t>3634 Main St</t>
  </si>
  <si>
    <t>555-969-6435</t>
  </si>
  <si>
    <t>4501 Main St</t>
  </si>
  <si>
    <t>555-149-3907</t>
  </si>
  <si>
    <t>5850 Main St</t>
  </si>
  <si>
    <t>555-359-2252</t>
  </si>
  <si>
    <t>2241 Main St</t>
  </si>
  <si>
    <t>555-243-4447</t>
  </si>
  <si>
    <t>555-835-6142</t>
  </si>
  <si>
    <t>3806 Main St</t>
  </si>
  <si>
    <t>555-389-2224</t>
  </si>
  <si>
    <t>3659 Main St</t>
  </si>
  <si>
    <t>555-644-6792</t>
  </si>
  <si>
    <t>1339 Main St</t>
  </si>
  <si>
    <t>555-961-5949</t>
  </si>
  <si>
    <t>555-220-3943</t>
  </si>
  <si>
    <t>555-111-9735</t>
  </si>
  <si>
    <t>5408 Main St</t>
  </si>
  <si>
    <t>555-120-9172</t>
  </si>
  <si>
    <t>6054 Main St</t>
  </si>
  <si>
    <t>555-727-7233</t>
  </si>
  <si>
    <t>4152 Main St</t>
  </si>
  <si>
    <t>555-403-5009</t>
  </si>
  <si>
    <t>5890 Main St</t>
  </si>
  <si>
    <t>555-636-8513</t>
  </si>
  <si>
    <t>8255 Main St</t>
  </si>
  <si>
    <t>555-615-5999</t>
  </si>
  <si>
    <t>1143 Main St</t>
  </si>
  <si>
    <t>555-700-6930</t>
  </si>
  <si>
    <t>1952 Main St</t>
  </si>
  <si>
    <t>555-648-7777</t>
  </si>
  <si>
    <t>7047 Main St</t>
  </si>
  <si>
    <t>555-122-3800</t>
  </si>
  <si>
    <t>5583 Main St</t>
  </si>
  <si>
    <t>555-338-5118</t>
  </si>
  <si>
    <t>921 Main St</t>
  </si>
  <si>
    <t>555-862-8271</t>
  </si>
  <si>
    <t>2666 Main St</t>
  </si>
  <si>
    <t>555-765-5938</t>
  </si>
  <si>
    <t>4064 Main St</t>
  </si>
  <si>
    <t>555-995-2097</t>
  </si>
  <si>
    <t>6812 Main St</t>
  </si>
  <si>
    <t>555-953-1218</t>
  </si>
  <si>
    <t>2708 Main St</t>
  </si>
  <si>
    <t>555-447-5166</t>
  </si>
  <si>
    <t>6273 Main St</t>
  </si>
  <si>
    <t>555-442-1419</t>
  </si>
  <si>
    <t>4528 Main St</t>
  </si>
  <si>
    <t>555-714-3545</t>
  </si>
  <si>
    <t>4630 Main St</t>
  </si>
  <si>
    <t>555-186-7978</t>
  </si>
  <si>
    <t>4773 Main St</t>
  </si>
  <si>
    <t>555-794-2611</t>
  </si>
  <si>
    <t>555-519-2553</t>
  </si>
  <si>
    <t>5807 Main St</t>
  </si>
  <si>
    <t>555-189-3578</t>
  </si>
  <si>
    <t>3981 Main St</t>
  </si>
  <si>
    <t>555-897-5292</t>
  </si>
  <si>
    <t>6019 Main St</t>
  </si>
  <si>
    <t>555-827-6238</t>
  </si>
  <si>
    <t>555-875-3301</t>
  </si>
  <si>
    <t>8615 Main St</t>
  </si>
  <si>
    <t>555-704-1312</t>
  </si>
  <si>
    <t>555-203-1551</t>
  </si>
  <si>
    <t>1355 Main St</t>
  </si>
  <si>
    <t>555-210-9152</t>
  </si>
  <si>
    <t>916 Main St</t>
  </si>
  <si>
    <t>555-787-4572</t>
  </si>
  <si>
    <t>1169 Main St</t>
  </si>
  <si>
    <t>555-430-5404</t>
  </si>
  <si>
    <t>EncounterID</t>
  </si>
  <si>
    <t>ProviderID</t>
  </si>
  <si>
    <t>FacilityID</t>
  </si>
  <si>
    <t>EncounterDate</t>
  </si>
  <si>
    <t>EncounterType</t>
  </si>
  <si>
    <t>ENC-1</t>
  </si>
  <si>
    <t>PROV-104</t>
  </si>
  <si>
    <t>CLI-01</t>
  </si>
  <si>
    <t>2024-10-16</t>
  </si>
  <si>
    <t>Telehealth</t>
  </si>
  <si>
    <t>ENC-2</t>
  </si>
  <si>
    <t>PROV-118</t>
  </si>
  <si>
    <t>2023-11-30</t>
  </si>
  <si>
    <t>Emergency</t>
  </si>
  <si>
    <t>ENC-3</t>
  </si>
  <si>
    <t>PROV-109</t>
  </si>
  <si>
    <t>HOS-01</t>
  </si>
  <si>
    <t>2022-10-17</t>
  </si>
  <si>
    <t>ENC-4</t>
  </si>
  <si>
    <t>PROV-127</t>
  </si>
  <si>
    <t>2025-07-13</t>
  </si>
  <si>
    <t>ENC-5</t>
  </si>
  <si>
    <t>PROV-107</t>
  </si>
  <si>
    <t>2023-08-09</t>
  </si>
  <si>
    <t>Office Visit</t>
  </si>
  <si>
    <t>ENC-6</t>
  </si>
  <si>
    <t>PROV-105</t>
  </si>
  <si>
    <t>2026-08-30</t>
  </si>
  <si>
    <t>Hospital Admission</t>
  </si>
  <si>
    <t>ENC-7</t>
  </si>
  <si>
    <t>PROV-128</t>
  </si>
  <si>
    <t>2022-07-04</t>
  </si>
  <si>
    <t>ENC-8</t>
  </si>
  <si>
    <t>PROV-124</t>
  </si>
  <si>
    <t>2024-01-27</t>
  </si>
  <si>
    <t>ENC-9</t>
  </si>
  <si>
    <t>PROV-114</t>
  </si>
  <si>
    <t>2022-01-11</t>
  </si>
  <si>
    <t>ENC-10</t>
  </si>
  <si>
    <t>2022-03-15</t>
  </si>
  <si>
    <t>ENC-11</t>
  </si>
  <si>
    <t>2022-06-09</t>
  </si>
  <si>
    <t>ENC-12</t>
  </si>
  <si>
    <t>PROV-113</t>
  </si>
  <si>
    <t>2024-01-11</t>
  </si>
  <si>
    <t>ENC-13</t>
  </si>
  <si>
    <t>PROV-112</t>
  </si>
  <si>
    <t>2026-07-13</t>
  </si>
  <si>
    <t>ENC-14</t>
  </si>
  <si>
    <t>PROV-122</t>
  </si>
  <si>
    <t>2022-07-22</t>
  </si>
  <si>
    <t>ENC-15</t>
  </si>
  <si>
    <t>PROV-102</t>
  </si>
  <si>
    <t>2025-05-28</t>
  </si>
  <si>
    <t>ENC-16</t>
  </si>
  <si>
    <t>PROV-125</t>
  </si>
  <si>
    <t>2023-02-25</t>
  </si>
  <si>
    <t>ENC-17</t>
  </si>
  <si>
    <t>PROV-106</t>
  </si>
  <si>
    <t>2022-10-03</t>
  </si>
  <si>
    <t>ENC-18</t>
  </si>
  <si>
    <t>2022-09-15</t>
  </si>
  <si>
    <t>ENC-19</t>
  </si>
  <si>
    <t>2025-12-04</t>
  </si>
  <si>
    <t>ENC-20</t>
  </si>
  <si>
    <t>2022-07-21</t>
  </si>
  <si>
    <t>ENC-21</t>
  </si>
  <si>
    <t>PROV-119</t>
  </si>
  <si>
    <t>2024-12-28</t>
  </si>
  <si>
    <t>ENC-22</t>
  </si>
  <si>
    <t>2026-08-15</t>
  </si>
  <si>
    <t>ENC-23</t>
  </si>
  <si>
    <t>PROV-126</t>
  </si>
  <si>
    <t>2023-09-16</t>
  </si>
  <si>
    <t>ENC-24</t>
  </si>
  <si>
    <t>2024-01-24</t>
  </si>
  <si>
    <t>ENC-25</t>
  </si>
  <si>
    <t>PROV-129</t>
  </si>
  <si>
    <t>2024-06-05</t>
  </si>
  <si>
    <t>ENC-26</t>
  </si>
  <si>
    <t>2026-07-01</t>
  </si>
  <si>
    <t>ENC-27</t>
  </si>
  <si>
    <t>PROV-103</t>
  </si>
  <si>
    <t>2023-11-23</t>
  </si>
  <si>
    <t>ENC-28</t>
  </si>
  <si>
    <t>2024-04-24</t>
  </si>
  <si>
    <t>ENC-29</t>
  </si>
  <si>
    <t>2023-04-21</t>
  </si>
  <si>
    <t>ENC-30</t>
  </si>
  <si>
    <t>PROV-101</t>
  </si>
  <si>
    <t>2023-02-13</t>
  </si>
  <si>
    <t>ENC-31</t>
  </si>
  <si>
    <t>2025-10-31</t>
  </si>
  <si>
    <t>ENC-32</t>
  </si>
  <si>
    <t>2025-12-25</t>
  </si>
  <si>
    <t>ENC-33</t>
  </si>
  <si>
    <t>2025-12-06</t>
  </si>
  <si>
    <t>ENC-34</t>
  </si>
  <si>
    <t>2023-12-16</t>
  </si>
  <si>
    <t>ENC-35</t>
  </si>
  <si>
    <t>PROV-130</t>
  </si>
  <si>
    <t>2023-01-22</t>
  </si>
  <si>
    <t>ENC-36</t>
  </si>
  <si>
    <t>2025-03-12</t>
  </si>
  <si>
    <t>ENC-37</t>
  </si>
  <si>
    <t>PROV-108</t>
  </si>
  <si>
    <t>2023-02-23</t>
  </si>
  <si>
    <t>ENC-38</t>
  </si>
  <si>
    <t>2025-06-15</t>
  </si>
  <si>
    <t>ENC-39</t>
  </si>
  <si>
    <t>2024-07-23</t>
  </si>
  <si>
    <t>ENC-40</t>
  </si>
  <si>
    <t>2025-03-01</t>
  </si>
  <si>
    <t>ENC-41</t>
  </si>
  <si>
    <t>2025-11-09</t>
  </si>
  <si>
    <t>ENC-42</t>
  </si>
  <si>
    <t>PROV-116</t>
  </si>
  <si>
    <t>2022-03-05</t>
  </si>
  <si>
    <t>ENC-43</t>
  </si>
  <si>
    <t>2024-10-23</t>
  </si>
  <si>
    <t>ENC-44</t>
  </si>
  <si>
    <t>PROV-115</t>
  </si>
  <si>
    <t>2026-06-23</t>
  </si>
  <si>
    <t>ENC-45</t>
  </si>
  <si>
    <t>ENC-46</t>
  </si>
  <si>
    <t>ENC-47</t>
  </si>
  <si>
    <t>2024-07-31</t>
  </si>
  <si>
    <t>ENC-48</t>
  </si>
  <si>
    <t>2023-11-18</t>
  </si>
  <si>
    <t>ENC-49</t>
  </si>
  <si>
    <t>2022-09-16</t>
  </si>
  <si>
    <t>ENC-50</t>
  </si>
  <si>
    <t>2022-11-03</t>
  </si>
  <si>
    <t>ENC-51</t>
  </si>
  <si>
    <t>2022-11-01</t>
  </si>
  <si>
    <t>ENC-52</t>
  </si>
  <si>
    <t>PROV-121</t>
  </si>
  <si>
    <t>2023-06-14</t>
  </si>
  <si>
    <t>ENC-53</t>
  </si>
  <si>
    <t>2023-06-23</t>
  </si>
  <si>
    <t>ENC-54</t>
  </si>
  <si>
    <t>2025-11-22</t>
  </si>
  <si>
    <t>ENC-55</t>
  </si>
  <si>
    <t>2025-10-13</t>
  </si>
  <si>
    <t>ENC-56</t>
  </si>
  <si>
    <t>2022-12-25</t>
  </si>
  <si>
    <t>ENC-57</t>
  </si>
  <si>
    <t>PROV-110</t>
  </si>
  <si>
    <t>2022-04-30</t>
  </si>
  <si>
    <t>ENC-58</t>
  </si>
  <si>
    <t>2023-09-30</t>
  </si>
  <si>
    <t>ENC-59</t>
  </si>
  <si>
    <t>2022-11-13</t>
  </si>
  <si>
    <t>ENC-60</t>
  </si>
  <si>
    <t>ENC-61</t>
  </si>
  <si>
    <t>2026-08-29</t>
  </si>
  <si>
    <t>ENC-62</t>
  </si>
  <si>
    <t>2025-05-07</t>
  </si>
  <si>
    <t>ENC-63</t>
  </si>
  <si>
    <t>2025-08-09</t>
  </si>
  <si>
    <t>ENC-64</t>
  </si>
  <si>
    <t>2023-06-08</t>
  </si>
  <si>
    <t>ENC-65</t>
  </si>
  <si>
    <t>2022-11-28</t>
  </si>
  <si>
    <t>ENC-66</t>
  </si>
  <si>
    <t>2025-09-21</t>
  </si>
  <si>
    <t>ENC-67</t>
  </si>
  <si>
    <t>PROV-111</t>
  </si>
  <si>
    <t>2022-08-28</t>
  </si>
  <si>
    <t>ENC-68</t>
  </si>
  <si>
    <t>2022-10-21</t>
  </si>
  <si>
    <t>ENC-69</t>
  </si>
  <si>
    <t>2023-12-05</t>
  </si>
  <si>
    <t>ENC-70</t>
  </si>
  <si>
    <t>2022-08-10</t>
  </si>
  <si>
    <t>ENC-71</t>
  </si>
  <si>
    <t>2024-03-01</t>
  </si>
  <si>
    <t>ENC-72</t>
  </si>
  <si>
    <t>PROV-123</t>
  </si>
  <si>
    <t>2024-02-21</t>
  </si>
  <si>
    <t>ENC-73</t>
  </si>
  <si>
    <t>2022-09-25</t>
  </si>
  <si>
    <t>ENC-74</t>
  </si>
  <si>
    <t>2024-10-25</t>
  </si>
  <si>
    <t>ENC-75</t>
  </si>
  <si>
    <t>2025-06-28</t>
  </si>
  <si>
    <t>ENC-76</t>
  </si>
  <si>
    <t>2024-04-03</t>
  </si>
  <si>
    <t>ENC-77</t>
  </si>
  <si>
    <t>ENC-78</t>
  </si>
  <si>
    <t>2022-03-26</t>
  </si>
  <si>
    <t>ENC-79</t>
  </si>
  <si>
    <t>2022-06-07</t>
  </si>
  <si>
    <t>ENC-80</t>
  </si>
  <si>
    <t>2023-11-08</t>
  </si>
  <si>
    <t>ENC-81</t>
  </si>
  <si>
    <t>2025-01-01</t>
  </si>
  <si>
    <t>ENC-82</t>
  </si>
  <si>
    <t>2022-12-02</t>
  </si>
  <si>
    <t>ENC-83</t>
  </si>
  <si>
    <t>2022-02-20</t>
  </si>
  <si>
    <t>ENC-84</t>
  </si>
  <si>
    <t>2022-04-14</t>
  </si>
  <si>
    <t>ENC-85</t>
  </si>
  <si>
    <t>ENC-86</t>
  </si>
  <si>
    <t>2023-06-20</t>
  </si>
  <si>
    <t>ENC-87</t>
  </si>
  <si>
    <t>2025-11-14</t>
  </si>
  <si>
    <t>ENC-88</t>
  </si>
  <si>
    <t>2025-04-01</t>
  </si>
  <si>
    <t>ENC-89</t>
  </si>
  <si>
    <t>2025-04-08</t>
  </si>
  <si>
    <t>ENC-90</t>
  </si>
  <si>
    <t>2025-05-01</t>
  </si>
  <si>
    <t>ENC-91</t>
  </si>
  <si>
    <t>2023-08-24</t>
  </si>
  <si>
    <t>ENC-92</t>
  </si>
  <si>
    <t>2023-03-24</t>
  </si>
  <si>
    <t>ENC-93</t>
  </si>
  <si>
    <t>2022-03-23</t>
  </si>
  <si>
    <t>ENC-94</t>
  </si>
  <si>
    <t>2024-05-12</t>
  </si>
  <si>
    <t>ENC-95</t>
  </si>
  <si>
    <t>PROV-117</t>
  </si>
  <si>
    <t>ENC-96</t>
  </si>
  <si>
    <t>2026-07-30</t>
  </si>
  <si>
    <t>ENC-97</t>
  </si>
  <si>
    <t>2024-09-02</t>
  </si>
  <si>
    <t>ENC-98</t>
  </si>
  <si>
    <t>2022-10-27</t>
  </si>
  <si>
    <t>ENC-99</t>
  </si>
  <si>
    <t>2024-01-04</t>
  </si>
  <si>
    <t>ENC-100</t>
  </si>
  <si>
    <t>2024-04-27</t>
  </si>
  <si>
    <t>ENC-101</t>
  </si>
  <si>
    <t>2022-01-30</t>
  </si>
  <si>
    <t>ENC-102</t>
  </si>
  <si>
    <t>PROV-120</t>
  </si>
  <si>
    <t>2025-08-24</t>
  </si>
  <si>
    <t>ENC-103</t>
  </si>
  <si>
    <t>2023-01-31</t>
  </si>
  <si>
    <t>ENC-104</t>
  </si>
  <si>
    <t>ENC-105</t>
  </si>
  <si>
    <t>2026-05-21</t>
  </si>
  <si>
    <t>ENC-106</t>
  </si>
  <si>
    <t>2026-07-29</t>
  </si>
  <si>
    <t>ENC-107</t>
  </si>
  <si>
    <t>2026-05-09</t>
  </si>
  <si>
    <t>ENC-108</t>
  </si>
  <si>
    <t>2025-09-24</t>
  </si>
  <si>
    <t>ENC-109</t>
  </si>
  <si>
    <t>2024-06-24</t>
  </si>
  <si>
    <t>ENC-110</t>
  </si>
  <si>
    <t>2023-01-19</t>
  </si>
  <si>
    <t>ENC-111</t>
  </si>
  <si>
    <t>2025-07-26</t>
  </si>
  <si>
    <t>ENC-112</t>
  </si>
  <si>
    <t>2023-12-17</t>
  </si>
  <si>
    <t>ENC-113</t>
  </si>
  <si>
    <t>2024-05-19</t>
  </si>
  <si>
    <t>ENC-114</t>
  </si>
  <si>
    <t>2023-08-18</t>
  </si>
  <si>
    <t>ENC-115</t>
  </si>
  <si>
    <t>2025-05-12</t>
  </si>
  <si>
    <t>ENC-116</t>
  </si>
  <si>
    <t>2022-09-20</t>
  </si>
  <si>
    <t>ENC-117</t>
  </si>
  <si>
    <t>2023-10-07</t>
  </si>
  <si>
    <t>ENC-118</t>
  </si>
  <si>
    <t>2024-06-18</t>
  </si>
  <si>
    <t>ENC-119</t>
  </si>
  <si>
    <t>2024-07-06</t>
  </si>
  <si>
    <t>ENC-120</t>
  </si>
  <si>
    <t>2026-02-28</t>
  </si>
  <si>
    <t>ENC-121</t>
  </si>
  <si>
    <t>2024-10-03</t>
  </si>
  <si>
    <t>ENC-122</t>
  </si>
  <si>
    <t>ENC-123</t>
  </si>
  <si>
    <t>2022-08-05</t>
  </si>
  <si>
    <t>ENC-124</t>
  </si>
  <si>
    <t>2025-07-09</t>
  </si>
  <si>
    <t>ENC-125</t>
  </si>
  <si>
    <t>2025-09-23</t>
  </si>
  <si>
    <t>ENC-126</t>
  </si>
  <si>
    <t>2025-12-17</t>
  </si>
  <si>
    <t>ENC-127</t>
  </si>
  <si>
    <t>2023-05-25</t>
  </si>
  <si>
    <t>ENC-128</t>
  </si>
  <si>
    <t>2024-06-02</t>
  </si>
  <si>
    <t>ENC-129</t>
  </si>
  <si>
    <t>2022-04-05</t>
  </si>
  <si>
    <t>ENC-130</t>
  </si>
  <si>
    <t>ENC-131</t>
  </si>
  <si>
    <t>2026-07-07</t>
  </si>
  <si>
    <t>ENC-132</t>
  </si>
  <si>
    <t>2023-11-13</t>
  </si>
  <si>
    <t>ENC-133</t>
  </si>
  <si>
    <t>2025-11-26</t>
  </si>
  <si>
    <t>ENC-134</t>
  </si>
  <si>
    <t>2025-03-25</t>
  </si>
  <si>
    <t>ENC-135</t>
  </si>
  <si>
    <t>2022-01-01</t>
  </si>
  <si>
    <t>ENC-136</t>
  </si>
  <si>
    <t>2024-08-06</t>
  </si>
  <si>
    <t>ENC-137</t>
  </si>
  <si>
    <t>2023-12-25</t>
  </si>
  <si>
    <t>ENC-138</t>
  </si>
  <si>
    <t>2023-01-10</t>
  </si>
  <si>
    <t>ENC-139</t>
  </si>
  <si>
    <t>2022-10-22</t>
  </si>
  <si>
    <t>ENC-140</t>
  </si>
  <si>
    <t>2024-08-09</t>
  </si>
  <si>
    <t>ENC-141</t>
  </si>
  <si>
    <t>2022-07-28</t>
  </si>
  <si>
    <t>ENC-142</t>
  </si>
  <si>
    <t>2026-05-16</t>
  </si>
  <si>
    <t>ENC-143</t>
  </si>
  <si>
    <t>2022-06-04</t>
  </si>
  <si>
    <t>ENC-144</t>
  </si>
  <si>
    <t>ENC-145</t>
  </si>
  <si>
    <t>ENC-146</t>
  </si>
  <si>
    <t>2025-01-23</t>
  </si>
  <si>
    <t>ENC-147</t>
  </si>
  <si>
    <t>2026-09-24</t>
  </si>
  <si>
    <t>ENC-148</t>
  </si>
  <si>
    <t>2024-01-09</t>
  </si>
  <si>
    <t>ENC-149</t>
  </si>
  <si>
    <t>2025-01-04</t>
  </si>
  <si>
    <t>ENC-150</t>
  </si>
  <si>
    <t>2026-03-26</t>
  </si>
  <si>
    <t>ENC-151</t>
  </si>
  <si>
    <t>2024-01-14</t>
  </si>
  <si>
    <t>ENC-152</t>
  </si>
  <si>
    <t>2024-01-02</t>
  </si>
  <si>
    <t>ENC-153</t>
  </si>
  <si>
    <t>2023-03-17</t>
  </si>
  <si>
    <t>ENC-154</t>
  </si>
  <si>
    <t>2024-04-18</t>
  </si>
  <si>
    <t>ENC-155</t>
  </si>
  <si>
    <t>2024-07-17</t>
  </si>
  <si>
    <t>ENC-156</t>
  </si>
  <si>
    <t>2022-05-27</t>
  </si>
  <si>
    <t>ENC-157</t>
  </si>
  <si>
    <t>2023-03-27</t>
  </si>
  <si>
    <t>ENC-158</t>
  </si>
  <si>
    <t>2024-10-06</t>
  </si>
  <si>
    <t>ENC-159</t>
  </si>
  <si>
    <t>ENC-160</t>
  </si>
  <si>
    <t>2026-05-17</t>
  </si>
  <si>
    <t>ENC-161</t>
  </si>
  <si>
    <t>2026-02-08</t>
  </si>
  <si>
    <t>ENC-162</t>
  </si>
  <si>
    <t>2024-01-25</t>
  </si>
  <si>
    <t>ENC-163</t>
  </si>
  <si>
    <t>2022-12-18</t>
  </si>
  <si>
    <t>ENC-164</t>
  </si>
  <si>
    <t>2025-11-06</t>
  </si>
  <si>
    <t>ENC-165</t>
  </si>
  <si>
    <t>2023-06-16</t>
  </si>
  <si>
    <t>ENC-166</t>
  </si>
  <si>
    <t>2025-02-18</t>
  </si>
  <si>
    <t>ENC-167</t>
  </si>
  <si>
    <t>2023-05-17</t>
  </si>
  <si>
    <t>ENC-168</t>
  </si>
  <si>
    <t>2023-04-15</t>
  </si>
  <si>
    <t>ENC-169</t>
  </si>
  <si>
    <t>2023-02-27</t>
  </si>
  <si>
    <t>ENC-170</t>
  </si>
  <si>
    <t>2024-03-11</t>
  </si>
  <si>
    <t>ENC-171</t>
  </si>
  <si>
    <t>2024-01-18</t>
  </si>
  <si>
    <t>ENC-172</t>
  </si>
  <si>
    <t>2022-04-15</t>
  </si>
  <si>
    <t>ENC-173</t>
  </si>
  <si>
    <t>2024-02-22</t>
  </si>
  <si>
    <t>ENC-174</t>
  </si>
  <si>
    <t>2024-03-04</t>
  </si>
  <si>
    <t>ENC-175</t>
  </si>
  <si>
    <t>2023-10-27</t>
  </si>
  <si>
    <t>ENC-176</t>
  </si>
  <si>
    <t>2026-06-07</t>
  </si>
  <si>
    <t>ENC-177</t>
  </si>
  <si>
    <t>2025-05-14</t>
  </si>
  <si>
    <t>ENC-178</t>
  </si>
  <si>
    <t>2024-04-29</t>
  </si>
  <si>
    <t>ENC-179</t>
  </si>
  <si>
    <t>2026-04-09</t>
  </si>
  <si>
    <t>ENC-180</t>
  </si>
  <si>
    <t>2023-12-08</t>
  </si>
  <si>
    <t>ENC-181</t>
  </si>
  <si>
    <t>2023-11-09</t>
  </si>
  <si>
    <t>ENC-182</t>
  </si>
  <si>
    <t>2024-01-17</t>
  </si>
  <si>
    <t>ENC-183</t>
  </si>
  <si>
    <t>2022-01-02</t>
  </si>
  <si>
    <t>ENC-184</t>
  </si>
  <si>
    <t>2022-02-01</t>
  </si>
  <si>
    <t>ENC-185</t>
  </si>
  <si>
    <t>2022-06-15</t>
  </si>
  <si>
    <t>ENC-186</t>
  </si>
  <si>
    <t>2026-03-27</t>
  </si>
  <si>
    <t>ENC-187</t>
  </si>
  <si>
    <t>ENC-188</t>
  </si>
  <si>
    <t>2023-07-07</t>
  </si>
  <si>
    <t>ENC-189</t>
  </si>
  <si>
    <t>2022-07-09</t>
  </si>
  <si>
    <t>ENC-190</t>
  </si>
  <si>
    <t>2024-05-27</t>
  </si>
  <si>
    <t>ENC-191</t>
  </si>
  <si>
    <t>2024-03-22</t>
  </si>
  <si>
    <t>ENC-192</t>
  </si>
  <si>
    <t>2022-12-11</t>
  </si>
  <si>
    <t>ENC-193</t>
  </si>
  <si>
    <t>2023-07-18</t>
  </si>
  <si>
    <t>ENC-194</t>
  </si>
  <si>
    <t>2022-11-08</t>
  </si>
  <si>
    <t>ENC-195</t>
  </si>
  <si>
    <t>ENC-196</t>
  </si>
  <si>
    <t>2022-03-16</t>
  </si>
  <si>
    <t>ENC-197</t>
  </si>
  <si>
    <t>2025-08-08</t>
  </si>
  <si>
    <t>ENC-198</t>
  </si>
  <si>
    <t>ENC-199</t>
  </si>
  <si>
    <t>ENC-200</t>
  </si>
  <si>
    <t>2024-05-13</t>
  </si>
  <si>
    <t>ENC-201</t>
  </si>
  <si>
    <t>2025-01-12</t>
  </si>
  <si>
    <t>ENC-202</t>
  </si>
  <si>
    <t>2023-12-03</t>
  </si>
  <si>
    <t>ENC-203</t>
  </si>
  <si>
    <t>2022-02-05</t>
  </si>
  <si>
    <t>ENC-204</t>
  </si>
  <si>
    <t>2022-11-26</t>
  </si>
  <si>
    <t>ENC-205</t>
  </si>
  <si>
    <t>2023-12-18</t>
  </si>
  <si>
    <t>ENC-206</t>
  </si>
  <si>
    <t>2026-08-24</t>
  </si>
  <si>
    <t>ENC-207</t>
  </si>
  <si>
    <t>2025-01-02</t>
  </si>
  <si>
    <t>ENC-208</t>
  </si>
  <si>
    <t>2023-04-13</t>
  </si>
  <si>
    <t>ENC-209</t>
  </si>
  <si>
    <t>2025-02-24</t>
  </si>
  <si>
    <t>ENC-210</t>
  </si>
  <si>
    <t>2023-04-09</t>
  </si>
  <si>
    <t>ENC-211</t>
  </si>
  <si>
    <t>2025-09-15</t>
  </si>
  <si>
    <t>ENC-212</t>
  </si>
  <si>
    <t>2022-07-17</t>
  </si>
  <si>
    <t>ENC-213</t>
  </si>
  <si>
    <t>2025-05-09</t>
  </si>
  <si>
    <t>ENC-214</t>
  </si>
  <si>
    <t>2022-09-24</t>
  </si>
  <si>
    <t>ENC-215</t>
  </si>
  <si>
    <t>2022-06-18</t>
  </si>
  <si>
    <t>ENC-216</t>
  </si>
  <si>
    <t>2024-11-18</t>
  </si>
  <si>
    <t>ENC-217</t>
  </si>
  <si>
    <t>2025-09-13</t>
  </si>
  <si>
    <t>ENC-218</t>
  </si>
  <si>
    <t>2025-02-25</t>
  </si>
  <si>
    <t>ENC-219</t>
  </si>
  <si>
    <t>2026-06-24</t>
  </si>
  <si>
    <t>ENC-220</t>
  </si>
  <si>
    <t>2025-01-24</t>
  </si>
  <si>
    <t>ENC-221</t>
  </si>
  <si>
    <t>2026-07-17</t>
  </si>
  <si>
    <t>ENC-222</t>
  </si>
  <si>
    <t>2023-11-01</t>
  </si>
  <si>
    <t>ENC-223</t>
  </si>
  <si>
    <t>2022-05-30</t>
  </si>
  <si>
    <t>ENC-224</t>
  </si>
  <si>
    <t>2026-07-28</t>
  </si>
  <si>
    <t>ENC-225</t>
  </si>
  <si>
    <t>ENC-226</t>
  </si>
  <si>
    <t>2024-01-30</t>
  </si>
  <si>
    <t>ENC-227</t>
  </si>
  <si>
    <t>2026-04-25</t>
  </si>
  <si>
    <t>ENC-228</t>
  </si>
  <si>
    <t>2025-12-16</t>
  </si>
  <si>
    <t>ENC-229</t>
  </si>
  <si>
    <t>2023-03-22</t>
  </si>
  <si>
    <t>ENC-230</t>
  </si>
  <si>
    <t>2022-03-12</t>
  </si>
  <si>
    <t>ENC-231</t>
  </si>
  <si>
    <t>2026-07-02</t>
  </si>
  <si>
    <t>ENC-232</t>
  </si>
  <si>
    <t>2022-12-23</t>
  </si>
  <si>
    <t>ENC-233</t>
  </si>
  <si>
    <t>2026-02-17</t>
  </si>
  <si>
    <t>ENC-234</t>
  </si>
  <si>
    <t>2023-05-24</t>
  </si>
  <si>
    <t>ENC-235</t>
  </si>
  <si>
    <t>2023-09-13</t>
  </si>
  <si>
    <t>ENC-236</t>
  </si>
  <si>
    <t>2025-07-27</t>
  </si>
  <si>
    <t>ENC-237</t>
  </si>
  <si>
    <t>2026-07-09</t>
  </si>
  <si>
    <t>ENC-238</t>
  </si>
  <si>
    <t>2024-06-19</t>
  </si>
  <si>
    <t>ENC-239</t>
  </si>
  <si>
    <t>2022-08-08</t>
  </si>
  <si>
    <t>ENC-240</t>
  </si>
  <si>
    <t>ENC-241</t>
  </si>
  <si>
    <t>2025-01-06</t>
  </si>
  <si>
    <t>ENC-242</t>
  </si>
  <si>
    <t>ENC-243</t>
  </si>
  <si>
    <t>2022-10-13</t>
  </si>
  <si>
    <t>ENC-244</t>
  </si>
  <si>
    <t>2025-08-31</t>
  </si>
  <si>
    <t>ENC-245</t>
  </si>
  <si>
    <t>2024-09-11</t>
  </si>
  <si>
    <t>ENC-246</t>
  </si>
  <si>
    <t>2022-07-25</t>
  </si>
  <si>
    <t>ENC-247</t>
  </si>
  <si>
    <t>2026-04-03</t>
  </si>
  <si>
    <t>ENC-248</t>
  </si>
  <si>
    <t>2023-10-04</t>
  </si>
  <si>
    <t>ENC-249</t>
  </si>
  <si>
    <t>2022-01-23</t>
  </si>
  <si>
    <t>ENC-250</t>
  </si>
  <si>
    <t>2026-06-14</t>
  </si>
  <si>
    <t>ENC-251</t>
  </si>
  <si>
    <t>2025-03-18</t>
  </si>
  <si>
    <t>ENC-252</t>
  </si>
  <si>
    <t>2024-07-24</t>
  </si>
  <si>
    <t>ENC-253</t>
  </si>
  <si>
    <t>2026-01-21</t>
  </si>
  <si>
    <t>ENC-254</t>
  </si>
  <si>
    <t>2025-03-09</t>
  </si>
  <si>
    <t>ENC-255</t>
  </si>
  <si>
    <t>2024-10-24</t>
  </si>
  <si>
    <t>ENC-256</t>
  </si>
  <si>
    <t>2023-02-06</t>
  </si>
  <si>
    <t>ENC-257</t>
  </si>
  <si>
    <t>ENC-258</t>
  </si>
  <si>
    <t>2022-03-02</t>
  </si>
  <si>
    <t>ENC-259</t>
  </si>
  <si>
    <t>2022-04-28</t>
  </si>
  <si>
    <t>ENC-260</t>
  </si>
  <si>
    <t>2025-12-15</t>
  </si>
  <si>
    <t>ENC-261</t>
  </si>
  <si>
    <t>2026-02-15</t>
  </si>
  <si>
    <t>ENC-262</t>
  </si>
  <si>
    <t>2023-02-19</t>
  </si>
  <si>
    <t>ENC-263</t>
  </si>
  <si>
    <t>2026-02-01</t>
  </si>
  <si>
    <t>ENC-264</t>
  </si>
  <si>
    <t>2024-02-28</t>
  </si>
  <si>
    <t>ENC-265</t>
  </si>
  <si>
    <t>2023-08-21</t>
  </si>
  <si>
    <t>ENC-266</t>
  </si>
  <si>
    <t>2023-02-24</t>
  </si>
  <si>
    <t>ENC-267</t>
  </si>
  <si>
    <t>2025-06-25</t>
  </si>
  <si>
    <t>ENC-268</t>
  </si>
  <si>
    <t>2023-09-19</t>
  </si>
  <si>
    <t>ENC-269</t>
  </si>
  <si>
    <t>2023-01-11</t>
  </si>
  <si>
    <t>ENC-270</t>
  </si>
  <si>
    <t>2022-07-07</t>
  </si>
  <si>
    <t>ENC-271</t>
  </si>
  <si>
    <t>ENC-272</t>
  </si>
  <si>
    <t>2023-11-04</t>
  </si>
  <si>
    <t>ENC-273</t>
  </si>
  <si>
    <t>2022-08-17</t>
  </si>
  <si>
    <t>ENC-274</t>
  </si>
  <si>
    <t>2022-02-27</t>
  </si>
  <si>
    <t>ENC-275</t>
  </si>
  <si>
    <t>2025-01-05</t>
  </si>
  <si>
    <t>ENC-276</t>
  </si>
  <si>
    <t>2023-07-29</t>
  </si>
  <si>
    <t>ENC-277</t>
  </si>
  <si>
    <t>2024-12-24</t>
  </si>
  <si>
    <t>ENC-278</t>
  </si>
  <si>
    <t>2026-09-20</t>
  </si>
  <si>
    <t>ENC-279</t>
  </si>
  <si>
    <t>2026-05-13</t>
  </si>
  <si>
    <t>ENC-280</t>
  </si>
  <si>
    <t>2025-05-19</t>
  </si>
  <si>
    <t>ENC-281</t>
  </si>
  <si>
    <t>2024-12-04</t>
  </si>
  <si>
    <t>ENC-282</t>
  </si>
  <si>
    <t>2022-07-10</t>
  </si>
  <si>
    <t>ENC-283</t>
  </si>
  <si>
    <t>2025-01-21</t>
  </si>
  <si>
    <t>ENC-284</t>
  </si>
  <si>
    <t>2023-02-22</t>
  </si>
  <si>
    <t>ENC-285</t>
  </si>
  <si>
    <t>2025-12-29</t>
  </si>
  <si>
    <t>ENC-286</t>
  </si>
  <si>
    <t>2023-10-23</t>
  </si>
  <si>
    <t>ENC-287</t>
  </si>
  <si>
    <t>2026-07-04</t>
  </si>
  <si>
    <t>ENC-288</t>
  </si>
  <si>
    <t>ENC-289</t>
  </si>
  <si>
    <t>2022-05-25</t>
  </si>
  <si>
    <t>ENC-290</t>
  </si>
  <si>
    <t>2022-12-26</t>
  </si>
  <si>
    <t>ENC-291</t>
  </si>
  <si>
    <t>2025-08-17</t>
  </si>
  <si>
    <t>ENC-292</t>
  </si>
  <si>
    <t>ENC-293</t>
  </si>
  <si>
    <t>2024-02-19</t>
  </si>
  <si>
    <t>ENC-294</t>
  </si>
  <si>
    <t>ENC-295</t>
  </si>
  <si>
    <t>2022-04-12</t>
  </si>
  <si>
    <t>ENC-296</t>
  </si>
  <si>
    <t>2025-02-28</t>
  </si>
  <si>
    <t>ENC-297</t>
  </si>
  <si>
    <t>ENC-298</t>
  </si>
  <si>
    <t>2024-08-07</t>
  </si>
  <si>
    <t>ENC-299</t>
  </si>
  <si>
    <t>2024-11-05</t>
  </si>
  <si>
    <t>ENC-300</t>
  </si>
  <si>
    <t>2025-05-25</t>
  </si>
  <si>
    <t>ENC-301</t>
  </si>
  <si>
    <t>2023-11-20</t>
  </si>
  <si>
    <t>ENC-302</t>
  </si>
  <si>
    <t>2025-03-24</t>
  </si>
  <si>
    <t>ENC-303</t>
  </si>
  <si>
    <t>ENC-304</t>
  </si>
  <si>
    <t>2025-07-28</t>
  </si>
  <si>
    <t>ENC-305</t>
  </si>
  <si>
    <t>ENC-306</t>
  </si>
  <si>
    <t>2025-09-07</t>
  </si>
  <si>
    <t>ENC-307</t>
  </si>
  <si>
    <t>2025-03-15</t>
  </si>
  <si>
    <t>ENC-308</t>
  </si>
  <si>
    <t>2025-08-29</t>
  </si>
  <si>
    <t>ENC-309</t>
  </si>
  <si>
    <t>2023-05-30</t>
  </si>
  <si>
    <t>ENC-310</t>
  </si>
  <si>
    <t>2023-11-29</t>
  </si>
  <si>
    <t>ENC-311</t>
  </si>
  <si>
    <t>2025-03-06</t>
  </si>
  <si>
    <t>ENC-312</t>
  </si>
  <si>
    <t>ENC-313</t>
  </si>
  <si>
    <t>2022-10-24</t>
  </si>
  <si>
    <t>ENC-314</t>
  </si>
  <si>
    <t>ENC-315</t>
  </si>
  <si>
    <t>2024-05-31</t>
  </si>
  <si>
    <t>ENC-316</t>
  </si>
  <si>
    <t>2026-06-21</t>
  </si>
  <si>
    <t>ENC-317</t>
  </si>
  <si>
    <t>2023-05-28</t>
  </si>
  <si>
    <t>ENC-318</t>
  </si>
  <si>
    <t>2025-12-01</t>
  </si>
  <si>
    <t>ENC-319</t>
  </si>
  <si>
    <t>2023-08-31</t>
  </si>
  <si>
    <t>ENC-320</t>
  </si>
  <si>
    <t>2023-12-24</t>
  </si>
  <si>
    <t>ENC-321</t>
  </si>
  <si>
    <t>ENC-322</t>
  </si>
  <si>
    <t>2022-07-06</t>
  </si>
  <si>
    <t>ENC-323</t>
  </si>
  <si>
    <t>2023-10-01</t>
  </si>
  <si>
    <t>ENC-324</t>
  </si>
  <si>
    <t>2024-02-20</t>
  </si>
  <si>
    <t>ENC-325</t>
  </si>
  <si>
    <t>ENC-326</t>
  </si>
  <si>
    <t>2025-10-22</t>
  </si>
  <si>
    <t>ENC-327</t>
  </si>
  <si>
    <t>ENC-328</t>
  </si>
  <si>
    <t>2026-02-02</t>
  </si>
  <si>
    <t>ENC-329</t>
  </si>
  <si>
    <t>2026-08-27</t>
  </si>
  <si>
    <t>ENC-330</t>
  </si>
  <si>
    <t>2023-04-26</t>
  </si>
  <si>
    <t>ENC-331</t>
  </si>
  <si>
    <t>2022-06-06</t>
  </si>
  <si>
    <t>ENC-332</t>
  </si>
  <si>
    <t>2022-06-14</t>
  </si>
  <si>
    <t>ENC-333</t>
  </si>
  <si>
    <t>2026-05-18</t>
  </si>
  <si>
    <t>ENC-334</t>
  </si>
  <si>
    <t>2024-12-06</t>
  </si>
  <si>
    <t>ENC-335</t>
  </si>
  <si>
    <t>2022-10-14</t>
  </si>
  <si>
    <t>ENC-336</t>
  </si>
  <si>
    <t>2022-06-05</t>
  </si>
  <si>
    <t>ENC-337</t>
  </si>
  <si>
    <t>2024-08-12</t>
  </si>
  <si>
    <t>ENC-338</t>
  </si>
  <si>
    <t>2023-08-30</t>
  </si>
  <si>
    <t>ENC-339</t>
  </si>
  <si>
    <t>2025-10-09</t>
  </si>
  <si>
    <t>ENC-340</t>
  </si>
  <si>
    <t>ENC-341</t>
  </si>
  <si>
    <t>2024-06-20</t>
  </si>
  <si>
    <t>ENC-342</t>
  </si>
  <si>
    <t>2026-08-22</t>
  </si>
  <si>
    <t>ENC-343</t>
  </si>
  <si>
    <t>2022-04-03</t>
  </si>
  <si>
    <t>ENC-344</t>
  </si>
  <si>
    <t>2025-01-18</t>
  </si>
  <si>
    <t>ENC-345</t>
  </si>
  <si>
    <t>2022-03-31</t>
  </si>
  <si>
    <t>ENC-346</t>
  </si>
  <si>
    <t>ENC-347</t>
  </si>
  <si>
    <t>2023-02-07</t>
  </si>
  <si>
    <t>ENC-348</t>
  </si>
  <si>
    <t>2022-09-10</t>
  </si>
  <si>
    <t>ENC-349</t>
  </si>
  <si>
    <t>ENC-350</t>
  </si>
  <si>
    <t>ENC-351</t>
  </si>
  <si>
    <t>2025-05-02</t>
  </si>
  <si>
    <t>ENC-352</t>
  </si>
  <si>
    <t>2022-09-28</t>
  </si>
  <si>
    <t>ENC-353</t>
  </si>
  <si>
    <t>2022-05-11</t>
  </si>
  <si>
    <t>ENC-354</t>
  </si>
  <si>
    <t>ENC-355</t>
  </si>
  <si>
    <t>2025-06-12</t>
  </si>
  <si>
    <t>ENC-356</t>
  </si>
  <si>
    <t>2024-01-06</t>
  </si>
  <si>
    <t>ENC-357</t>
  </si>
  <si>
    <t>2024-04-21</t>
  </si>
  <si>
    <t>ENC-358</t>
  </si>
  <si>
    <t>2023-01-07</t>
  </si>
  <si>
    <t>ENC-359</t>
  </si>
  <si>
    <t>2026-03-05</t>
  </si>
  <si>
    <t>ENC-360</t>
  </si>
  <si>
    <t>ENC-361</t>
  </si>
  <si>
    <t>2024-05-24</t>
  </si>
  <si>
    <t>ENC-362</t>
  </si>
  <si>
    <t>2026-05-23</t>
  </si>
  <si>
    <t>ENC-363</t>
  </si>
  <si>
    <t>2023-07-27</t>
  </si>
  <si>
    <t>ENC-364</t>
  </si>
  <si>
    <t>ENC-365</t>
  </si>
  <si>
    <t>2022-08-01</t>
  </si>
  <si>
    <t>ENC-366</t>
  </si>
  <si>
    <t>2025-02-02</t>
  </si>
  <si>
    <t>ENC-367</t>
  </si>
  <si>
    <t>2022-02-06</t>
  </si>
  <si>
    <t>ENC-368</t>
  </si>
  <si>
    <t>2022-06-28</t>
  </si>
  <si>
    <t>ENC-369</t>
  </si>
  <si>
    <t>2023-12-19</t>
  </si>
  <si>
    <t>ENC-370</t>
  </si>
  <si>
    <t>2024-09-04</t>
  </si>
  <si>
    <t>ENC-371</t>
  </si>
  <si>
    <t>2024-07-02</t>
  </si>
  <si>
    <t>ENC-372</t>
  </si>
  <si>
    <t>2025-06-26</t>
  </si>
  <si>
    <t>ENC-373</t>
  </si>
  <si>
    <t>2022-11-15</t>
  </si>
  <si>
    <t>ENC-374</t>
  </si>
  <si>
    <t>2026-08-10</t>
  </si>
  <si>
    <t>ENC-375</t>
  </si>
  <si>
    <t>ENC-376</t>
  </si>
  <si>
    <t>ENC-377</t>
  </si>
  <si>
    <t>2023-04-10</t>
  </si>
  <si>
    <t>ENC-378</t>
  </si>
  <si>
    <t>2022-09-17</t>
  </si>
  <si>
    <t>ENC-379</t>
  </si>
  <si>
    <t>2022-08-07</t>
  </si>
  <si>
    <t>ENC-380</t>
  </si>
  <si>
    <t>ENC-381</t>
  </si>
  <si>
    <t>2024-07-14</t>
  </si>
  <si>
    <t>ENC-382</t>
  </si>
  <si>
    <t>2024-03-30</t>
  </si>
  <si>
    <t>ENC-383</t>
  </si>
  <si>
    <t>2023-07-06</t>
  </si>
  <si>
    <t>ENC-384</t>
  </si>
  <si>
    <t>2022-06-22</t>
  </si>
  <si>
    <t>ENC-385</t>
  </si>
  <si>
    <t>2022-12-22</t>
  </si>
  <si>
    <t>ENC-386</t>
  </si>
  <si>
    <t>2025-11-17</t>
  </si>
  <si>
    <t>ENC-387</t>
  </si>
  <si>
    <t>2022-02-21</t>
  </si>
  <si>
    <t>ENC-388</t>
  </si>
  <si>
    <t>2025-03-04</t>
  </si>
  <si>
    <t>ENC-389</t>
  </si>
  <si>
    <t>2023-01-23</t>
  </si>
  <si>
    <t>ENC-390</t>
  </si>
  <si>
    <t>ENC-391</t>
  </si>
  <si>
    <t>2026-01-01</t>
  </si>
  <si>
    <t>ENC-392</t>
  </si>
  <si>
    <t>2026-04-08</t>
  </si>
  <si>
    <t>ENC-393</t>
  </si>
  <si>
    <t>2026-02-26</t>
  </si>
  <si>
    <t>ENC-394</t>
  </si>
  <si>
    <t>2022-10-16</t>
  </si>
  <si>
    <t>ENC-395</t>
  </si>
  <si>
    <t>ENC-396</t>
  </si>
  <si>
    <t>2022-05-23</t>
  </si>
  <si>
    <t>ENC-397</t>
  </si>
  <si>
    <t>2023-12-31</t>
  </si>
  <si>
    <t>ENC-398</t>
  </si>
  <si>
    <t>2024-03-12</t>
  </si>
  <si>
    <t>ENC-399</t>
  </si>
  <si>
    <t>ENC-400</t>
  </si>
  <si>
    <t>2022-12-20</t>
  </si>
  <si>
    <t>ENC-401</t>
  </si>
  <si>
    <t>2022-02-14</t>
  </si>
  <si>
    <t>ENC-402</t>
  </si>
  <si>
    <t>2025-08-03</t>
  </si>
  <si>
    <t>ENC-403</t>
  </si>
  <si>
    <t>ENC-404</t>
  </si>
  <si>
    <t>ENC-405</t>
  </si>
  <si>
    <t>2023-06-15</t>
  </si>
  <si>
    <t>ENC-406</t>
  </si>
  <si>
    <t>ENC-407</t>
  </si>
  <si>
    <t>ENC-408</t>
  </si>
  <si>
    <t>2025-02-10</t>
  </si>
  <si>
    <t>ENC-409</t>
  </si>
  <si>
    <t>ENC-410</t>
  </si>
  <si>
    <t>ENC-411</t>
  </si>
  <si>
    <t>2024-03-10</t>
  </si>
  <si>
    <t>ENC-412</t>
  </si>
  <si>
    <t>ENC-413</t>
  </si>
  <si>
    <t>2026-01-05</t>
  </si>
  <si>
    <t>ENC-414</t>
  </si>
  <si>
    <t>2023-01-18</t>
  </si>
  <si>
    <t>ENC-415</t>
  </si>
  <si>
    <t>2025-04-14</t>
  </si>
  <si>
    <t>ENC-416</t>
  </si>
  <si>
    <t>2024-02-26</t>
  </si>
  <si>
    <t>ENC-417</t>
  </si>
  <si>
    <t>2026-06-06</t>
  </si>
  <si>
    <t>ENC-418</t>
  </si>
  <si>
    <t>2023-09-23</t>
  </si>
  <si>
    <t>ENC-419</t>
  </si>
  <si>
    <t>2025-11-02</t>
  </si>
  <si>
    <t>ENC-420</t>
  </si>
  <si>
    <t>2025-10-25</t>
  </si>
  <si>
    <t>ENC-421</t>
  </si>
  <si>
    <t>2023-08-01</t>
  </si>
  <si>
    <t>ENC-422</t>
  </si>
  <si>
    <t>ENC-423</t>
  </si>
  <si>
    <t>2025-05-21</t>
  </si>
  <si>
    <t>ENC-424</t>
  </si>
  <si>
    <t>2025-03-20</t>
  </si>
  <si>
    <t>ENC-425</t>
  </si>
  <si>
    <t>ENC-426</t>
  </si>
  <si>
    <t>2023-04-18</t>
  </si>
  <si>
    <t>ENC-427</t>
  </si>
  <si>
    <t>ENC-428</t>
  </si>
  <si>
    <t>2026-03-17</t>
  </si>
  <si>
    <t>ENC-429</t>
  </si>
  <si>
    <t>2026-03-16</t>
  </si>
  <si>
    <t>ENC-430</t>
  </si>
  <si>
    <t>ENC-431</t>
  </si>
  <si>
    <t>2023-02-17</t>
  </si>
  <si>
    <t>ENC-432</t>
  </si>
  <si>
    <t>2022-11-23</t>
  </si>
  <si>
    <t>ENC-433</t>
  </si>
  <si>
    <t>2025-08-19</t>
  </si>
  <si>
    <t>ENC-434</t>
  </si>
  <si>
    <t>2025-06-01</t>
  </si>
  <si>
    <t>ENC-435</t>
  </si>
  <si>
    <t>ENC-436</t>
  </si>
  <si>
    <t>ENC-437</t>
  </si>
  <si>
    <t>ENC-438</t>
  </si>
  <si>
    <t>ENC-439</t>
  </si>
  <si>
    <t>ENC-440</t>
  </si>
  <si>
    <t>2026-09-18</t>
  </si>
  <si>
    <t>ENC-441</t>
  </si>
  <si>
    <t>2025-06-23</t>
  </si>
  <si>
    <t>ENC-442</t>
  </si>
  <si>
    <t>2023-04-06</t>
  </si>
  <si>
    <t>ENC-443</t>
  </si>
  <si>
    <t>2023-10-30</t>
  </si>
  <si>
    <t>ENC-444</t>
  </si>
  <si>
    <t>2026-05-03</t>
  </si>
  <si>
    <t>ENC-445</t>
  </si>
  <si>
    <t>ENC-446</t>
  </si>
  <si>
    <t>2023-01-20</t>
  </si>
  <si>
    <t>ENC-447</t>
  </si>
  <si>
    <t>2024-02-23</t>
  </si>
  <si>
    <t>ENC-448</t>
  </si>
  <si>
    <t>ENC-449</t>
  </si>
  <si>
    <t>2022-07-23</t>
  </si>
  <si>
    <t>ENC-450</t>
  </si>
  <si>
    <t>ENC-451</t>
  </si>
  <si>
    <t>2026-03-31</t>
  </si>
  <si>
    <t>ENC-452</t>
  </si>
  <si>
    <t>2023-04-29</t>
  </si>
  <si>
    <t>ENC-453</t>
  </si>
  <si>
    <t>2026-05-10</t>
  </si>
  <si>
    <t>ENC-454</t>
  </si>
  <si>
    <t>2026-09-14</t>
  </si>
  <si>
    <t>ENC-455</t>
  </si>
  <si>
    <t>2023-01-05</t>
  </si>
  <si>
    <t>ENC-456</t>
  </si>
  <si>
    <t>2022-07-08</t>
  </si>
  <si>
    <t>ENC-457</t>
  </si>
  <si>
    <t>2024-07-21</t>
  </si>
  <si>
    <t>ENC-458</t>
  </si>
  <si>
    <t>2025-02-01</t>
  </si>
  <si>
    <t>ENC-459</t>
  </si>
  <si>
    <t>2025-01-30</t>
  </si>
  <si>
    <t>ENC-460</t>
  </si>
  <si>
    <t>2022-02-23</t>
  </si>
  <si>
    <t>ENC-461</t>
  </si>
  <si>
    <t>ENC-462</t>
  </si>
  <si>
    <t>2023-06-06</t>
  </si>
  <si>
    <t>ENC-463</t>
  </si>
  <si>
    <t>ENC-464</t>
  </si>
  <si>
    <t>2025-11-18</t>
  </si>
  <si>
    <t>ENC-465</t>
  </si>
  <si>
    <t>2025-10-18</t>
  </si>
  <si>
    <t>ENC-466</t>
  </si>
  <si>
    <t>ENC-467</t>
  </si>
  <si>
    <t>ENC-468</t>
  </si>
  <si>
    <t>2022-12-08</t>
  </si>
  <si>
    <t>ENC-469</t>
  </si>
  <si>
    <t>2026-08-09</t>
  </si>
  <si>
    <t>ENC-470</t>
  </si>
  <si>
    <t>ENC-471</t>
  </si>
  <si>
    <t>2024-08-24</t>
  </si>
  <si>
    <t>ENC-472</t>
  </si>
  <si>
    <t>2025-01-28</t>
  </si>
  <si>
    <t>ENC-473</t>
  </si>
  <si>
    <t>2023-06-27</t>
  </si>
  <si>
    <t>ENC-474</t>
  </si>
  <si>
    <t>2022-06-21</t>
  </si>
  <si>
    <t>ENC-475</t>
  </si>
  <si>
    <t>2022-06-03</t>
  </si>
  <si>
    <t>ENC-476</t>
  </si>
  <si>
    <t>2022-03-27</t>
  </si>
  <si>
    <t>ENC-477</t>
  </si>
  <si>
    <t>2026-06-25</t>
  </si>
  <si>
    <t>ENC-478</t>
  </si>
  <si>
    <t>ENC-479</t>
  </si>
  <si>
    <t>2026-06-22</t>
  </si>
  <si>
    <t>ENC-480</t>
  </si>
  <si>
    <t>2022-07-24</t>
  </si>
  <si>
    <t>ENC-481</t>
  </si>
  <si>
    <t>2022-10-02</t>
  </si>
  <si>
    <t>ENC-482</t>
  </si>
  <si>
    <t>ENC-483</t>
  </si>
  <si>
    <t>2025-08-14</t>
  </si>
  <si>
    <t>ENC-484</t>
  </si>
  <si>
    <t>2024-06-29</t>
  </si>
  <si>
    <t>ENC-485</t>
  </si>
  <si>
    <t>2024-05-01</t>
  </si>
  <si>
    <t>ENC-486</t>
  </si>
  <si>
    <t>2024-09-15</t>
  </si>
  <si>
    <t>ENC-487</t>
  </si>
  <si>
    <t>2026-01-15</t>
  </si>
  <si>
    <t>ENC-488</t>
  </si>
  <si>
    <t>2024-03-31</t>
  </si>
  <si>
    <t>ENC-489</t>
  </si>
  <si>
    <t>2023-12-22</t>
  </si>
  <si>
    <t>ENC-490</t>
  </si>
  <si>
    <t>2023-10-29</t>
  </si>
  <si>
    <t>ENC-491</t>
  </si>
  <si>
    <t>2026-01-08</t>
  </si>
  <si>
    <t>ENC-492</t>
  </si>
  <si>
    <t>2025-02-07</t>
  </si>
  <si>
    <t>ENC-493</t>
  </si>
  <si>
    <t>2022-01-20</t>
  </si>
  <si>
    <t>ENC-494</t>
  </si>
  <si>
    <t>2023-02-02</t>
  </si>
  <si>
    <t>ENC-495</t>
  </si>
  <si>
    <t>2026-07-23</t>
  </si>
  <si>
    <t>ENC-496</t>
  </si>
  <si>
    <t>2026-04-24</t>
  </si>
  <si>
    <t>ENC-497</t>
  </si>
  <si>
    <t>ENC-498</t>
  </si>
  <si>
    <t>2023-12-11</t>
  </si>
  <si>
    <t>ENC-499</t>
  </si>
  <si>
    <t>2026-02-20</t>
  </si>
  <si>
    <t>ENC-500</t>
  </si>
  <si>
    <t>2023-05-18</t>
  </si>
  <si>
    <t>ENC-501</t>
  </si>
  <si>
    <t>2023-01-16</t>
  </si>
  <si>
    <t>ENC-504</t>
  </si>
  <si>
    <t>2026-01-06</t>
  </si>
  <si>
    <t>ENC-507</t>
  </si>
  <si>
    <t>2024-10-19</t>
  </si>
  <si>
    <t>ENC-508</t>
  </si>
  <si>
    <t>2025-10-16</t>
  </si>
  <si>
    <t>ENC-509</t>
  </si>
  <si>
    <t>2026-05-28</t>
  </si>
  <si>
    <t>ENC-510</t>
  </si>
  <si>
    <t>2022-10-06</t>
  </si>
  <si>
    <t>ENC-511</t>
  </si>
  <si>
    <t>2025-10-15</t>
  </si>
  <si>
    <t>ENC-513</t>
  </si>
  <si>
    <t>2026-02-12</t>
  </si>
  <si>
    <t>ENC-515</t>
  </si>
  <si>
    <t>2022-02-24</t>
  </si>
  <si>
    <t>ENC-516</t>
  </si>
  <si>
    <t>2025-09-20</t>
  </si>
  <si>
    <t>ENC-521</t>
  </si>
  <si>
    <t>2024-04-25</t>
  </si>
  <si>
    <t>ENC-525</t>
  </si>
  <si>
    <t>2022-01-27</t>
  </si>
  <si>
    <t>ENC-527</t>
  </si>
  <si>
    <t>2026-07-12</t>
  </si>
  <si>
    <t>ENC-528</t>
  </si>
  <si>
    <t>2024-12-01</t>
  </si>
  <si>
    <t>ENC-529</t>
  </si>
  <si>
    <t>2023-08-19</t>
  </si>
  <si>
    <t>ENC-531</t>
  </si>
  <si>
    <t>2024-07-27</t>
  </si>
  <si>
    <t>ENC-532</t>
  </si>
  <si>
    <t>2026-06-16</t>
  </si>
  <si>
    <t>2022-08-13</t>
  </si>
  <si>
    <t>2024-08-03</t>
  </si>
  <si>
    <t>ENC-538</t>
  </si>
  <si>
    <t>ENC-541</t>
  </si>
  <si>
    <t>2022-09-30</t>
  </si>
  <si>
    <t>ENC-542</t>
  </si>
  <si>
    <t>ENC-545</t>
  </si>
  <si>
    <t>2022-06-30</t>
  </si>
  <si>
    <t>ENC-550</t>
  </si>
  <si>
    <t>2024-12-25</t>
  </si>
  <si>
    <t>ENC-552</t>
  </si>
  <si>
    <t>2023-01-09</t>
  </si>
  <si>
    <t>ENC-553</t>
  </si>
  <si>
    <t>2023-05-06</t>
  </si>
  <si>
    <t>ENC-556</t>
  </si>
  <si>
    <t>2026-09-12</t>
  </si>
  <si>
    <t>ENC-557</t>
  </si>
  <si>
    <t>2025-10-19</t>
  </si>
  <si>
    <t>ENC-559</t>
  </si>
  <si>
    <t>ENC-560</t>
  </si>
  <si>
    <t>2026-05-07</t>
  </si>
  <si>
    <t>ENC-561</t>
  </si>
  <si>
    <t>2022-10-12</t>
  </si>
  <si>
    <t>ENC-562</t>
  </si>
  <si>
    <t>2023-09-09</t>
  </si>
  <si>
    <t>ENC-564</t>
  </si>
  <si>
    <t>2025-08-15</t>
  </si>
  <si>
    <t>ENC-565</t>
  </si>
  <si>
    <t>2022-12-12</t>
  </si>
  <si>
    <t>ENC-566</t>
  </si>
  <si>
    <t>2023-06-13</t>
  </si>
  <si>
    <t>ENC-567</t>
  </si>
  <si>
    <t>2023-11-28</t>
  </si>
  <si>
    <t>ENC-568</t>
  </si>
  <si>
    <t>2022-01-31</t>
  </si>
  <si>
    <t>ENC-569</t>
  </si>
  <si>
    <t>2023-09-03</t>
  </si>
  <si>
    <t>2024-05-17</t>
  </si>
  <si>
    <t>ENC-571</t>
  </si>
  <si>
    <t>2025-11-12</t>
  </si>
  <si>
    <t>ENC-572</t>
  </si>
  <si>
    <t>2025-04-30</t>
  </si>
  <si>
    <t>ENC-573</t>
  </si>
  <si>
    <t>2023-04-27</t>
  </si>
  <si>
    <t>ENC-575</t>
  </si>
  <si>
    <t>2024-04-11</t>
  </si>
  <si>
    <t>2025-03-14</t>
  </si>
  <si>
    <t>ENC-578</t>
  </si>
  <si>
    <t>ENC-580</t>
  </si>
  <si>
    <t>2022-02-22</t>
  </si>
  <si>
    <t>ENC-581</t>
  </si>
  <si>
    <t>2024-04-12</t>
  </si>
  <si>
    <t>ENC-585</t>
  </si>
  <si>
    <t>2022-05-17</t>
  </si>
  <si>
    <t>ENC-586</t>
  </si>
  <si>
    <t>ENC-587</t>
  </si>
  <si>
    <t>2024-02-07</t>
  </si>
  <si>
    <t>ENC-590</t>
  </si>
  <si>
    <t>ENC-595</t>
  </si>
  <si>
    <t>2025-09-29</t>
  </si>
  <si>
    <t>ENC-599</t>
  </si>
  <si>
    <t>2024-02-25</t>
  </si>
  <si>
    <t>ENC-600</t>
  </si>
  <si>
    <t>2023-06-05</t>
  </si>
  <si>
    <t>ENC-601</t>
  </si>
  <si>
    <t>2022-10-18</t>
  </si>
  <si>
    <t>ENC-602</t>
  </si>
  <si>
    <t>2024-11-17</t>
  </si>
  <si>
    <t>ENC-604</t>
  </si>
  <si>
    <t>2026-04-12</t>
  </si>
  <si>
    <t>ENC-605</t>
  </si>
  <si>
    <t>2026-05-02</t>
  </si>
  <si>
    <t>ENC-606</t>
  </si>
  <si>
    <t>2025-10-10</t>
  </si>
  <si>
    <t>ENC-607</t>
  </si>
  <si>
    <t>2026-02-16</t>
  </si>
  <si>
    <t>ENC-608</t>
  </si>
  <si>
    <t>ENC-611</t>
  </si>
  <si>
    <t>2022-09-18</t>
  </si>
  <si>
    <t>ENC-612</t>
  </si>
  <si>
    <t>2026-08-03</t>
  </si>
  <si>
    <t>ENC-614</t>
  </si>
  <si>
    <t>2024-11-23</t>
  </si>
  <si>
    <t>ENC-615</t>
  </si>
  <si>
    <t>2024-07-03</t>
  </si>
  <si>
    <t>ENC-617</t>
  </si>
  <si>
    <t>ENC-619</t>
  </si>
  <si>
    <t>2023-04-22</t>
  </si>
  <si>
    <t>ENC-620</t>
  </si>
  <si>
    <t>2025-01-03</t>
  </si>
  <si>
    <t>ENC-622</t>
  </si>
  <si>
    <t>2026-01-09</t>
  </si>
  <si>
    <t>ENC-623</t>
  </si>
  <si>
    <t>2024-06-14</t>
  </si>
  <si>
    <t>ENC-624</t>
  </si>
  <si>
    <t>ENC-625</t>
  </si>
  <si>
    <t>2026-04-23</t>
  </si>
  <si>
    <t>ENC-626</t>
  </si>
  <si>
    <t>2026-09-10</t>
  </si>
  <si>
    <t>ENC-627</t>
  </si>
  <si>
    <t>ENC-630</t>
  </si>
  <si>
    <t>2025-07-08</t>
  </si>
  <si>
    <t>ENC-631</t>
  </si>
  <si>
    <t>2024-10-29</t>
  </si>
  <si>
    <t>ENC-632</t>
  </si>
  <si>
    <t>ENC-634</t>
  </si>
  <si>
    <t>2023-12-14</t>
  </si>
  <si>
    <t>ENC-635</t>
  </si>
  <si>
    <t>2024-08-14</t>
  </si>
  <si>
    <t>ENC-637</t>
  </si>
  <si>
    <t>2024-07-15</t>
  </si>
  <si>
    <t>ENC-639</t>
  </si>
  <si>
    <t>ENC-643</t>
  </si>
  <si>
    <t>2022-11-20</t>
  </si>
  <si>
    <t>ENC-644</t>
  </si>
  <si>
    <t>ENC-648</t>
  </si>
  <si>
    <t>ENC-649</t>
  </si>
  <si>
    <t>ENC-652</t>
  </si>
  <si>
    <t>ENC-653</t>
  </si>
  <si>
    <t>2023-04-17</t>
  </si>
  <si>
    <t>ENC-654</t>
  </si>
  <si>
    <t>2025-10-11</t>
  </si>
  <si>
    <t>ENC-656</t>
  </si>
  <si>
    <t>2024-12-20</t>
  </si>
  <si>
    <t>ENC-657</t>
  </si>
  <si>
    <t>ENC-658</t>
  </si>
  <si>
    <t>ENC-661</t>
  </si>
  <si>
    <t>2022-03-14</t>
  </si>
  <si>
    <t>ENC-665</t>
  </si>
  <si>
    <t>2022-02-26</t>
  </si>
  <si>
    <t>ENC-667</t>
  </si>
  <si>
    <t>ENC-668</t>
  </si>
  <si>
    <t>2022-08-23</t>
  </si>
  <si>
    <t>ENC-670</t>
  </si>
  <si>
    <t>2024-02-09</t>
  </si>
  <si>
    <t>ENC-671</t>
  </si>
  <si>
    <t>ENC-672</t>
  </si>
  <si>
    <t>2022-08-18</t>
  </si>
  <si>
    <t>ENC-675</t>
  </si>
  <si>
    <t>2022-06-23</t>
  </si>
  <si>
    <t>ENC-678</t>
  </si>
  <si>
    <t>2025-01-22</t>
  </si>
  <si>
    <t>ENC-680</t>
  </si>
  <si>
    <t>2023-07-28</t>
  </si>
  <si>
    <t>ENC-682</t>
  </si>
  <si>
    <t>2022-01-15</t>
  </si>
  <si>
    <t>ENC-684</t>
  </si>
  <si>
    <t>2023-04-19</t>
  </si>
  <si>
    <t>ENC-687</t>
  </si>
  <si>
    <t>2025-11-07</t>
  </si>
  <si>
    <t>ENC-689</t>
  </si>
  <si>
    <t>2023-11-12</t>
  </si>
  <si>
    <t>ENC-692</t>
  </si>
  <si>
    <t>2023-07-11</t>
  </si>
  <si>
    <t>ENC-693</t>
  </si>
  <si>
    <t>2022-03-03</t>
  </si>
  <si>
    <t>ENC-694</t>
  </si>
  <si>
    <t>2023-10-06</t>
  </si>
  <si>
    <t>ENC-695</t>
  </si>
  <si>
    <t>ENC-699</t>
  </si>
  <si>
    <t>2024-01-07</t>
  </si>
  <si>
    <t>ENC-700</t>
  </si>
  <si>
    <t>2026-04-28</t>
  </si>
  <si>
    <t>ENC-704</t>
  </si>
  <si>
    <t>ENC-705</t>
  </si>
  <si>
    <t>ENC-706</t>
  </si>
  <si>
    <t>2024-01-20</t>
  </si>
  <si>
    <t>2026-02-18</t>
  </si>
  <si>
    <t>ENC-711</t>
  </si>
  <si>
    <t>2022-09-11</t>
  </si>
  <si>
    <t>ENC-713</t>
  </si>
  <si>
    <t>ENC-717</t>
  </si>
  <si>
    <t>2025-09-08</t>
  </si>
  <si>
    <t>ENC-718</t>
  </si>
  <si>
    <t>ENC-719</t>
  </si>
  <si>
    <t>2024-09-08</t>
  </si>
  <si>
    <t>ENC-720</t>
  </si>
  <si>
    <t>2024-12-10</t>
  </si>
  <si>
    <t>ENC-722</t>
  </si>
  <si>
    <t>ENC-726</t>
  </si>
  <si>
    <t>2025-11-20</t>
  </si>
  <si>
    <t>ENC-728</t>
  </si>
  <si>
    <t>ENC-729</t>
  </si>
  <si>
    <t>ENC-730</t>
  </si>
  <si>
    <t>2026-05-30</t>
  </si>
  <si>
    <t>ENC-731</t>
  </si>
  <si>
    <t>2023-12-06</t>
  </si>
  <si>
    <t>ENC-733</t>
  </si>
  <si>
    <t>2025-11-13</t>
  </si>
  <si>
    <t>2025-10-04</t>
  </si>
  <si>
    <t>ENC-738</t>
  </si>
  <si>
    <t>ENC-742</t>
  </si>
  <si>
    <t>2025-10-30</t>
  </si>
  <si>
    <t>ENC-747</t>
  </si>
  <si>
    <t>ENC-748</t>
  </si>
  <si>
    <t>ENC-750</t>
  </si>
  <si>
    <t>2022-01-06</t>
  </si>
  <si>
    <t>ENC-751</t>
  </si>
  <si>
    <t>2024-12-22</t>
  </si>
  <si>
    <t>ENC-754</t>
  </si>
  <si>
    <t>2023-11-03</t>
  </si>
  <si>
    <t>ENC-756</t>
  </si>
  <si>
    <t>ENC-758</t>
  </si>
  <si>
    <t>2024-01-13</t>
  </si>
  <si>
    <t>ENC-759</t>
  </si>
  <si>
    <t>2026-05-08</t>
  </si>
  <si>
    <t>ENC-764</t>
  </si>
  <si>
    <t>2022-02-17</t>
  </si>
  <si>
    <t>ENC-766</t>
  </si>
  <si>
    <t>2025-08-16</t>
  </si>
  <si>
    <t>ENC-768</t>
  </si>
  <si>
    <t>ENC-771</t>
  </si>
  <si>
    <t>2025-07-24</t>
  </si>
  <si>
    <t>ENC-772</t>
  </si>
  <si>
    <t>ENC-773</t>
  </si>
  <si>
    <t>2022-11-17</t>
  </si>
  <si>
    <t>ENC-779</t>
  </si>
  <si>
    <t>ENC-782</t>
  </si>
  <si>
    <t>2026-06-01</t>
  </si>
  <si>
    <t>ENC-785</t>
  </si>
  <si>
    <t>2022-05-03</t>
  </si>
  <si>
    <t>ENC-788</t>
  </si>
  <si>
    <t>2025-01-07</t>
  </si>
  <si>
    <t>ENC-790</t>
  </si>
  <si>
    <t>ENC-791</t>
  </si>
  <si>
    <t>2022-09-08</t>
  </si>
  <si>
    <t>ENC-792</t>
  </si>
  <si>
    <t>2026-05-05</t>
  </si>
  <si>
    <t>ENC-797</t>
  </si>
  <si>
    <t>2024-04-20</t>
  </si>
  <si>
    <t>ENC-800</t>
  </si>
  <si>
    <t>2022-07-11</t>
  </si>
  <si>
    <t>ENC-801</t>
  </si>
  <si>
    <t>ENC-802</t>
  </si>
  <si>
    <t>2022-11-14</t>
  </si>
  <si>
    <t>ENC-808</t>
  </si>
  <si>
    <t>2026-05-27</t>
  </si>
  <si>
    <t>ENC-813</t>
  </si>
  <si>
    <t>2024-12-09</t>
  </si>
  <si>
    <t>ENC-817</t>
  </si>
  <si>
    <t>2022-04-07</t>
  </si>
  <si>
    <t>ENC-818</t>
  </si>
  <si>
    <t>ENC-819</t>
  </si>
  <si>
    <t>ENC-820</t>
  </si>
  <si>
    <t>2024-06-01</t>
  </si>
  <si>
    <t>ENC-821</t>
  </si>
  <si>
    <t>ENC-822</t>
  </si>
  <si>
    <t>ENC-823</t>
  </si>
  <si>
    <t>2024-11-20</t>
  </si>
  <si>
    <t>ENC-824</t>
  </si>
  <si>
    <t>ENC-825</t>
  </si>
  <si>
    <t>2024-03-07</t>
  </si>
  <si>
    <t>ENC-826</t>
  </si>
  <si>
    <t>2024-09-07</t>
  </si>
  <si>
    <t>ENC-828</t>
  </si>
  <si>
    <t>2023-10-25</t>
  </si>
  <si>
    <t>ENC-830</t>
  </si>
  <si>
    <t>2026-03-07</t>
  </si>
  <si>
    <t>ENC-831</t>
  </si>
  <si>
    <t>2022-03-18</t>
  </si>
  <si>
    <t>ENC-834</t>
  </si>
  <si>
    <t>ENC-835</t>
  </si>
  <si>
    <t>ENC-837</t>
  </si>
  <si>
    <t>ENC-838</t>
  </si>
  <si>
    <t>2025-03-27</t>
  </si>
  <si>
    <t>ENC-839</t>
  </si>
  <si>
    <t>ENC-840</t>
  </si>
  <si>
    <t>2026-02-11</t>
  </si>
  <si>
    <t>ENC-841</t>
  </si>
  <si>
    <t>2025-04-05</t>
  </si>
  <si>
    <t>ENC-844</t>
  </si>
  <si>
    <t>2022-09-22</t>
  </si>
  <si>
    <t>ENC-845</t>
  </si>
  <si>
    <t>ENC-847</t>
  </si>
  <si>
    <t>2023-07-21</t>
  </si>
  <si>
    <t>ENC-851</t>
  </si>
  <si>
    <t>ENC-853</t>
  </si>
  <si>
    <t>2026-08-31</t>
  </si>
  <si>
    <t>ENC-854</t>
  </si>
  <si>
    <t>2024-10-04</t>
  </si>
  <si>
    <t>ENC-857</t>
  </si>
  <si>
    <t>ENC-858</t>
  </si>
  <si>
    <t>2024-05-22</t>
  </si>
  <si>
    <t>ENC-860</t>
  </si>
  <si>
    <t>2026-02-23</t>
  </si>
  <si>
    <t>ENC-864</t>
  </si>
  <si>
    <t>ENC-865</t>
  </si>
  <si>
    <t>ENC-866</t>
  </si>
  <si>
    <t>2025-02-27</t>
  </si>
  <si>
    <t>ENC-867</t>
  </si>
  <si>
    <t>2026-02-10</t>
  </si>
  <si>
    <t>ENC-868</t>
  </si>
  <si>
    <t>ENC-869</t>
  </si>
  <si>
    <t>2026-09-02</t>
  </si>
  <si>
    <t>ENC-870</t>
  </si>
  <si>
    <t>ENC-871</t>
  </si>
  <si>
    <t>ENC-877</t>
  </si>
  <si>
    <t>ENC-878</t>
  </si>
  <si>
    <t>2025-06-14</t>
  </si>
  <si>
    <t>ENC-879</t>
  </si>
  <si>
    <t>2023-01-15</t>
  </si>
  <si>
    <t>ENC-881</t>
  </si>
  <si>
    <t>ENC-882</t>
  </si>
  <si>
    <t>2022-12-06</t>
  </si>
  <si>
    <t>ENC-883</t>
  </si>
  <si>
    <t>2023-04-28</t>
  </si>
  <si>
    <t>ENC-885</t>
  </si>
  <si>
    <t>2026-07-10</t>
  </si>
  <si>
    <t>ENC-888</t>
  </si>
  <si>
    <t>2024-01-29</t>
  </si>
  <si>
    <t>ENC-892</t>
  </si>
  <si>
    <t>2024-01-01</t>
  </si>
  <si>
    <t>ENC-903</t>
  </si>
  <si>
    <t>ENC-904</t>
  </si>
  <si>
    <t>ENC-905</t>
  </si>
  <si>
    <t>ENC-906</t>
  </si>
  <si>
    <t>2026-03-24</t>
  </si>
  <si>
    <t>ENC-909</t>
  </si>
  <si>
    <t>ENC-910</t>
  </si>
  <si>
    <t>ENC-911</t>
  </si>
  <si>
    <t>2026-04-22</t>
  </si>
  <si>
    <t>ENC-914</t>
  </si>
  <si>
    <t>2022-05-06</t>
  </si>
  <si>
    <t>ENC-917</t>
  </si>
  <si>
    <t>2025-06-17</t>
  </si>
  <si>
    <t>ENC-918</t>
  </si>
  <si>
    <t>ENC-919</t>
  </si>
  <si>
    <t>2023-10-12</t>
  </si>
  <si>
    <t>ENC-920</t>
  </si>
  <si>
    <t>ENC-923</t>
  </si>
  <si>
    <t>2022-12-10</t>
  </si>
  <si>
    <t>ENC-924</t>
  </si>
  <si>
    <t>ENC-928</t>
  </si>
  <si>
    <t>ENC-931</t>
  </si>
  <si>
    <t>2025-10-17</t>
  </si>
  <si>
    <t>ENC-933</t>
  </si>
  <si>
    <t>ENC-934</t>
  </si>
  <si>
    <t>2022-07-13</t>
  </si>
  <si>
    <t>ENC-935</t>
  </si>
  <si>
    <t>2022-02-25</t>
  </si>
  <si>
    <t>ENC-937</t>
  </si>
  <si>
    <t>2023-07-15</t>
  </si>
  <si>
    <t>ENC-939</t>
  </si>
  <si>
    <t>2022-03-22</t>
  </si>
  <si>
    <t>ENC-940</t>
  </si>
  <si>
    <t>2023-04-30</t>
  </si>
  <si>
    <t>ENC-941</t>
  </si>
  <si>
    <t>2022-01-22</t>
  </si>
  <si>
    <t>ENC-942</t>
  </si>
  <si>
    <t>2026-07-26</t>
  </si>
  <si>
    <t>ENC-943</t>
  </si>
  <si>
    <t>ENC-946</t>
  </si>
  <si>
    <t>2024-07-29</t>
  </si>
  <si>
    <t>ENC-947</t>
  </si>
  <si>
    <t>2023-07-08</t>
  </si>
  <si>
    <t>ENC-948</t>
  </si>
  <si>
    <t>2025-09-27</t>
  </si>
  <si>
    <t>ENC-949</t>
  </si>
  <si>
    <t>ENC-950</t>
  </si>
  <si>
    <t>2025-06-02</t>
  </si>
  <si>
    <t>ENC-951</t>
  </si>
  <si>
    <t>2023-05-01</t>
  </si>
  <si>
    <t>ENC-953</t>
  </si>
  <si>
    <t>2022-11-07</t>
  </si>
  <si>
    <t>ENC-955</t>
  </si>
  <si>
    <t>2022-09-14</t>
  </si>
  <si>
    <t>ENC-956</t>
  </si>
  <si>
    <t>ENC-957</t>
  </si>
  <si>
    <t>2025-06-21</t>
  </si>
  <si>
    <t>DiagnosisID</t>
  </si>
  <si>
    <t>ICD10_Code</t>
  </si>
  <si>
    <t>DiagnosisDescription</t>
  </si>
  <si>
    <t>DIAG-1</t>
  </si>
  <si>
    <t>E11.9</t>
  </si>
  <si>
    <t>Type 2 diabetes mellitus without complications</t>
  </si>
  <si>
    <t>DIAG-2</t>
  </si>
  <si>
    <t>K21.9</t>
  </si>
  <si>
    <t>Gastro-esophageal reflux disease without esophagitis</t>
  </si>
  <si>
    <t>DIAG-3</t>
  </si>
  <si>
    <t>DIAG-4</t>
  </si>
  <si>
    <t>J06.9</t>
  </si>
  <si>
    <t>Acute upper respiratory infection, unspecified</t>
  </si>
  <si>
    <t>DIAG-5</t>
  </si>
  <si>
    <t>DIAG-6</t>
  </si>
  <si>
    <t>DIAG-7</t>
  </si>
  <si>
    <t>DIAG-8</t>
  </si>
  <si>
    <t>DIAG-9</t>
  </si>
  <si>
    <t>DIAG-10</t>
  </si>
  <si>
    <t>I10</t>
  </si>
  <si>
    <t>Essential (primary) hypertension</t>
  </si>
  <si>
    <t>DIAG-11</t>
  </si>
  <si>
    <t>DIAG-12</t>
  </si>
  <si>
    <t>DIAG-13</t>
  </si>
  <si>
    <t>DIAG-14</t>
  </si>
  <si>
    <t>M54.5</t>
  </si>
  <si>
    <t>Low back pain</t>
  </si>
  <si>
    <t>DIAG-15</t>
  </si>
  <si>
    <t>DIAG-16</t>
  </si>
  <si>
    <t>DIAG-17</t>
  </si>
  <si>
    <t>DIAG-18</t>
  </si>
  <si>
    <t>DIAG-19</t>
  </si>
  <si>
    <t>DIAG-20</t>
  </si>
  <si>
    <t>DIAG-21</t>
  </si>
  <si>
    <t>DIAG-22</t>
  </si>
  <si>
    <t>DIAG-23</t>
  </si>
  <si>
    <t>DIAG-24</t>
  </si>
  <si>
    <t>DIAG-25</t>
  </si>
  <si>
    <t>DIAG-26</t>
  </si>
  <si>
    <t>DIAG-27</t>
  </si>
  <si>
    <t>DIAG-28</t>
  </si>
  <si>
    <t>DIAG-29</t>
  </si>
  <si>
    <t>DIAG-30</t>
  </si>
  <si>
    <t>DIAG-31</t>
  </si>
  <si>
    <t>DIAG-32</t>
  </si>
  <si>
    <t>DIAG-33</t>
  </si>
  <si>
    <t>DIAG-34</t>
  </si>
  <si>
    <t>DIAG-35</t>
  </si>
  <si>
    <t>DIAG-36</t>
  </si>
  <si>
    <t>DIAG-37</t>
  </si>
  <si>
    <t>DIAG-38</t>
  </si>
  <si>
    <t>DIAG-39</t>
  </si>
  <si>
    <t>DIAG-40</t>
  </si>
  <si>
    <t>DIAG-41</t>
  </si>
  <si>
    <t>DIAG-42</t>
  </si>
  <si>
    <t>DIAG-43</t>
  </si>
  <si>
    <t>DIAG-44</t>
  </si>
  <si>
    <t>DIAG-45</t>
  </si>
  <si>
    <t>DIAG-46</t>
  </si>
  <si>
    <t>DIAG-47</t>
  </si>
  <si>
    <t>DIAG-48</t>
  </si>
  <si>
    <t>DIAG-49</t>
  </si>
  <si>
    <t>DIAG-50</t>
  </si>
  <si>
    <t>DIAG-51</t>
  </si>
  <si>
    <t>DIAG-52</t>
  </si>
  <si>
    <t>DIAG-53</t>
  </si>
  <si>
    <t>DIAG-54</t>
  </si>
  <si>
    <t>DIAG-55</t>
  </si>
  <si>
    <t>DIAG-56</t>
  </si>
  <si>
    <t>DIAG-57</t>
  </si>
  <si>
    <t>DIAG-58</t>
  </si>
  <si>
    <t>DIAG-59</t>
  </si>
  <si>
    <t>DIAG-60</t>
  </si>
  <si>
    <t>DIAG-61</t>
  </si>
  <si>
    <t>DIAG-62</t>
  </si>
  <si>
    <t>DIAG-63</t>
  </si>
  <si>
    <t>DIAG-64</t>
  </si>
  <si>
    <t>DIAG-65</t>
  </si>
  <si>
    <t>DIAG-66</t>
  </si>
  <si>
    <t>DIAG-67</t>
  </si>
  <si>
    <t>DIAG-68</t>
  </si>
  <si>
    <t>DIAG-69</t>
  </si>
  <si>
    <t>DIAG-70</t>
  </si>
  <si>
    <t>DIAG-71</t>
  </si>
  <si>
    <t>DIAG-72</t>
  </si>
  <si>
    <t>DIAG-73</t>
  </si>
  <si>
    <t>DIAG-74</t>
  </si>
  <si>
    <t>DIAG-75</t>
  </si>
  <si>
    <t>DIAG-76</t>
  </si>
  <si>
    <t>DIAG-77</t>
  </si>
  <si>
    <t>DIAG-78</t>
  </si>
  <si>
    <t>DIAG-79</t>
  </si>
  <si>
    <t>DIAG-80</t>
  </si>
  <si>
    <t>DIAG-81</t>
  </si>
  <si>
    <t>DIAG-82</t>
  </si>
  <si>
    <t>DIAG-83</t>
  </si>
  <si>
    <t>DIAG-84</t>
  </si>
  <si>
    <t>DIAG-85</t>
  </si>
  <si>
    <t>DIAG-86</t>
  </si>
  <si>
    <t>DIAG-87</t>
  </si>
  <si>
    <t>DIAG-88</t>
  </si>
  <si>
    <t>DIAG-89</t>
  </si>
  <si>
    <t>DIAG-90</t>
  </si>
  <si>
    <t>DIAG-91</t>
  </si>
  <si>
    <t>DIAG-92</t>
  </si>
  <si>
    <t>DIAG-93</t>
  </si>
  <si>
    <t>DIAG-94</t>
  </si>
  <si>
    <t>DIAG-95</t>
  </si>
  <si>
    <t>DIAG-96</t>
  </si>
  <si>
    <t>DIAG-97</t>
  </si>
  <si>
    <t>DIAG-98</t>
  </si>
  <si>
    <t>DIAG-99</t>
  </si>
  <si>
    <t>DIAG-100</t>
  </si>
  <si>
    <t>DIAG-101</t>
  </si>
  <si>
    <t>DIAG-102</t>
  </si>
  <si>
    <t>DIAG-103</t>
  </si>
  <si>
    <t>DIAG-104</t>
  </si>
  <si>
    <t>DIAG-105</t>
  </si>
  <si>
    <t>DIAG-106</t>
  </si>
  <si>
    <t>DIAG-107</t>
  </si>
  <si>
    <t>DIAG-108</t>
  </si>
  <si>
    <t>DIAG-109</t>
  </si>
  <si>
    <t>DIAG-110</t>
  </si>
  <si>
    <t>DIAG-111</t>
  </si>
  <si>
    <t>DIAG-112</t>
  </si>
  <si>
    <t>DIAG-113</t>
  </si>
  <si>
    <t>DIAG-114</t>
  </si>
  <si>
    <t>DIAG-115</t>
  </si>
  <si>
    <t>DIAG-116</t>
  </si>
  <si>
    <t>DIAG-117</t>
  </si>
  <si>
    <t>DIAG-118</t>
  </si>
  <si>
    <t>DIAG-119</t>
  </si>
  <si>
    <t>DIAG-120</t>
  </si>
  <si>
    <t>DIAG-121</t>
  </si>
  <si>
    <t>DIAG-122</t>
  </si>
  <si>
    <t>DIAG-123</t>
  </si>
  <si>
    <t>DIAG-124</t>
  </si>
  <si>
    <t>DIAG-125</t>
  </si>
  <si>
    <t>DIAG-126</t>
  </si>
  <si>
    <t>DIAG-127</t>
  </si>
  <si>
    <t>DIAG-128</t>
  </si>
  <si>
    <t>DIAG-129</t>
  </si>
  <si>
    <t>DIAG-130</t>
  </si>
  <si>
    <t>DIAG-131</t>
  </si>
  <si>
    <t>DIAG-132</t>
  </si>
  <si>
    <t>DIAG-133</t>
  </si>
  <si>
    <t>DIAG-134</t>
  </si>
  <si>
    <t>DIAG-135</t>
  </si>
  <si>
    <t>DIAG-136</t>
  </si>
  <si>
    <t>DIAG-137</t>
  </si>
  <si>
    <t>DIAG-138</t>
  </si>
  <si>
    <t>DIAG-139</t>
  </si>
  <si>
    <t>DIAG-140</t>
  </si>
  <si>
    <t>DIAG-141</t>
  </si>
  <si>
    <t>DIAG-142</t>
  </si>
  <si>
    <t>DIAG-143</t>
  </si>
  <si>
    <t>DIAG-144</t>
  </si>
  <si>
    <t>DIAG-145</t>
  </si>
  <si>
    <t>DIAG-146</t>
  </si>
  <si>
    <t>DIAG-147</t>
  </si>
  <si>
    <t>DIAG-148</t>
  </si>
  <si>
    <t>DIAG-149</t>
  </si>
  <si>
    <t>DIAG-150</t>
  </si>
  <si>
    <t>DIAG-151</t>
  </si>
  <si>
    <t>DIAG-152</t>
  </si>
  <si>
    <t>DIAG-153</t>
  </si>
  <si>
    <t>DIAG-154</t>
  </si>
  <si>
    <t>DIAG-155</t>
  </si>
  <si>
    <t>DIAG-156</t>
  </si>
  <si>
    <t>DIAG-157</t>
  </si>
  <si>
    <t>DIAG-158</t>
  </si>
  <si>
    <t>DIAG-159</t>
  </si>
  <si>
    <t>DIAG-160</t>
  </si>
  <si>
    <t>DIAG-161</t>
  </si>
  <si>
    <t>DIAG-162</t>
  </si>
  <si>
    <t>DIAG-163</t>
  </si>
  <si>
    <t>DIAG-164</t>
  </si>
  <si>
    <t>DIAG-165</t>
  </si>
  <si>
    <t>DIAG-166</t>
  </si>
  <si>
    <t>DIAG-167</t>
  </si>
  <si>
    <t>DIAG-168</t>
  </si>
  <si>
    <t>DIAG-169</t>
  </si>
  <si>
    <t>DIAG-170</t>
  </si>
  <si>
    <t>DIAG-171</t>
  </si>
  <si>
    <t>DIAG-172</t>
  </si>
  <si>
    <t>DIAG-173</t>
  </si>
  <si>
    <t>DIAG-174</t>
  </si>
  <si>
    <t>DIAG-175</t>
  </si>
  <si>
    <t>DIAG-176</t>
  </si>
  <si>
    <t>DIAG-177</t>
  </si>
  <si>
    <t>DIAG-178</t>
  </si>
  <si>
    <t>DIAG-179</t>
  </si>
  <si>
    <t>DIAG-180</t>
  </si>
  <si>
    <t>DIAG-181</t>
  </si>
  <si>
    <t>DIAG-182</t>
  </si>
  <si>
    <t>DIAG-183</t>
  </si>
  <si>
    <t>DIAG-184</t>
  </si>
  <si>
    <t>DIAG-185</t>
  </si>
  <si>
    <t>DIAG-186</t>
  </si>
  <si>
    <t>DIAG-187</t>
  </si>
  <si>
    <t>DIAG-188</t>
  </si>
  <si>
    <t>DIAG-189</t>
  </si>
  <si>
    <t>DIAG-190</t>
  </si>
  <si>
    <t>DIAG-191</t>
  </si>
  <si>
    <t>DIAG-192</t>
  </si>
  <si>
    <t>DIAG-193</t>
  </si>
  <si>
    <t>DIAG-194</t>
  </si>
  <si>
    <t>DIAG-195</t>
  </si>
  <si>
    <t>DIAG-196</t>
  </si>
  <si>
    <t>DIAG-197</t>
  </si>
  <si>
    <t>DIAG-198</t>
  </si>
  <si>
    <t>DIAG-199</t>
  </si>
  <si>
    <t>DIAG-200</t>
  </si>
  <si>
    <t>DIAG-201</t>
  </si>
  <si>
    <t>DIAG-202</t>
  </si>
  <si>
    <t>DIAG-203</t>
  </si>
  <si>
    <t>DIAG-204</t>
  </si>
  <si>
    <t>DIAG-205</t>
  </si>
  <si>
    <t>DIAG-206</t>
  </si>
  <si>
    <t>DIAG-207</t>
  </si>
  <si>
    <t>DIAG-208</t>
  </si>
  <si>
    <t>DIAG-209</t>
  </si>
  <si>
    <t>DIAG-210</t>
  </si>
  <si>
    <t>DIAG-211</t>
  </si>
  <si>
    <t>DIAG-212</t>
  </si>
  <si>
    <t>DIAG-213</t>
  </si>
  <si>
    <t>DIAG-214</t>
  </si>
  <si>
    <t>DIAG-215</t>
  </si>
  <si>
    <t>DIAG-216</t>
  </si>
  <si>
    <t>DIAG-217</t>
  </si>
  <si>
    <t>DIAG-218</t>
  </si>
  <si>
    <t>DIAG-219</t>
  </si>
  <si>
    <t>DIAG-220</t>
  </si>
  <si>
    <t>DIAG-221</t>
  </si>
  <si>
    <t>DIAG-222</t>
  </si>
  <si>
    <t>DIAG-223</t>
  </si>
  <si>
    <t>DIAG-224</t>
  </si>
  <si>
    <t>DIAG-225</t>
  </si>
  <si>
    <t>DIAG-226</t>
  </si>
  <si>
    <t>DIAG-227</t>
  </si>
  <si>
    <t>DIAG-228</t>
  </si>
  <si>
    <t>DIAG-229</t>
  </si>
  <si>
    <t>DIAG-230</t>
  </si>
  <si>
    <t>DIAG-231</t>
  </si>
  <si>
    <t>DIAG-232</t>
  </si>
  <si>
    <t>DIAG-233</t>
  </si>
  <si>
    <t>DIAG-234</t>
  </si>
  <si>
    <t>DIAG-235</t>
  </si>
  <si>
    <t>DIAG-236</t>
  </si>
  <si>
    <t>DIAG-237</t>
  </si>
  <si>
    <t>DIAG-238</t>
  </si>
  <si>
    <t>DIAG-239</t>
  </si>
  <si>
    <t>DIAG-240</t>
  </si>
  <si>
    <t>DIAG-241</t>
  </si>
  <si>
    <t>DIAG-242</t>
  </si>
  <si>
    <t>DIAG-243</t>
  </si>
  <si>
    <t>DIAG-244</t>
  </si>
  <si>
    <t>DIAG-245</t>
  </si>
  <si>
    <t>DIAG-246</t>
  </si>
  <si>
    <t>DIAG-247</t>
  </si>
  <si>
    <t>DIAG-248</t>
  </si>
  <si>
    <t>DIAG-249</t>
  </si>
  <si>
    <t>DIAG-250</t>
  </si>
  <si>
    <t>DIAG-251</t>
  </si>
  <si>
    <t>DIAG-252</t>
  </si>
  <si>
    <t>DIAG-253</t>
  </si>
  <si>
    <t>DIAG-254</t>
  </si>
  <si>
    <t>DIAG-255</t>
  </si>
  <si>
    <t>DIAG-256</t>
  </si>
  <si>
    <t>DIAG-257</t>
  </si>
  <si>
    <t>DIAG-258</t>
  </si>
  <si>
    <t>DIAG-259</t>
  </si>
  <si>
    <t>DIAG-260</t>
  </si>
  <si>
    <t>DIAG-261</t>
  </si>
  <si>
    <t>DIAG-262</t>
  </si>
  <si>
    <t>DIAG-263</t>
  </si>
  <si>
    <t>DIAG-264</t>
  </si>
  <si>
    <t>DIAG-265</t>
  </si>
  <si>
    <t>DIAG-266</t>
  </si>
  <si>
    <t>DIAG-267</t>
  </si>
  <si>
    <t>DIAG-268</t>
  </si>
  <si>
    <t>DIAG-269</t>
  </si>
  <si>
    <t>DIAG-270</t>
  </si>
  <si>
    <t>DIAG-271</t>
  </si>
  <si>
    <t>DIAG-272</t>
  </si>
  <si>
    <t>DIAG-273</t>
  </si>
  <si>
    <t>DIAG-274</t>
  </si>
  <si>
    <t>DIAG-275</t>
  </si>
  <si>
    <t>DIAG-276</t>
  </si>
  <si>
    <t>DIAG-277</t>
  </si>
  <si>
    <t>DIAG-278</t>
  </si>
  <si>
    <t>DIAG-279</t>
  </si>
  <si>
    <t>DIAG-280</t>
  </si>
  <si>
    <t>DIAG-281</t>
  </si>
  <si>
    <t>DIAG-282</t>
  </si>
  <si>
    <t>DIAG-283</t>
  </si>
  <si>
    <t>DIAG-284</t>
  </si>
  <si>
    <t>DIAG-285</t>
  </si>
  <si>
    <t>DIAG-286</t>
  </si>
  <si>
    <t>DIAG-287</t>
  </si>
  <si>
    <t>DIAG-288</t>
  </si>
  <si>
    <t>DIAG-289</t>
  </si>
  <si>
    <t>DIAG-290</t>
  </si>
  <si>
    <t>DIAG-291</t>
  </si>
  <si>
    <t>DIAG-292</t>
  </si>
  <si>
    <t>DIAG-293</t>
  </si>
  <si>
    <t>DIAG-294</t>
  </si>
  <si>
    <t>DIAG-295</t>
  </si>
  <si>
    <t>DIAG-296</t>
  </si>
  <si>
    <t>DIAG-297</t>
  </si>
  <si>
    <t>DIAG-298</t>
  </si>
  <si>
    <t>DIAG-299</t>
  </si>
  <si>
    <t>DIAG-300</t>
  </si>
  <si>
    <t>DIAG-301</t>
  </si>
  <si>
    <t>DIAG-302</t>
  </si>
  <si>
    <t>DIAG-303</t>
  </si>
  <si>
    <t>DIAG-304</t>
  </si>
  <si>
    <t>DIAG-305</t>
  </si>
  <si>
    <t>DIAG-306</t>
  </si>
  <si>
    <t>DIAG-307</t>
  </si>
  <si>
    <t>DIAG-308</t>
  </si>
  <si>
    <t>DIAG-309</t>
  </si>
  <si>
    <t>DIAG-310</t>
  </si>
  <si>
    <t>DIAG-311</t>
  </si>
  <si>
    <t>DIAG-312</t>
  </si>
  <si>
    <t>DIAG-313</t>
  </si>
  <si>
    <t>DIAG-314</t>
  </si>
  <si>
    <t>DIAG-315</t>
  </si>
  <si>
    <t>DIAG-316</t>
  </si>
  <si>
    <t>DIAG-317</t>
  </si>
  <si>
    <t>DIAG-318</t>
  </si>
  <si>
    <t>DIAG-319</t>
  </si>
  <si>
    <t>DIAG-320</t>
  </si>
  <si>
    <t>DIAG-321</t>
  </si>
  <si>
    <t>DIAG-322</t>
  </si>
  <si>
    <t>DIAG-323</t>
  </si>
  <si>
    <t>DIAG-324</t>
  </si>
  <si>
    <t>DIAG-325</t>
  </si>
  <si>
    <t>DIAG-326</t>
  </si>
  <si>
    <t>DIAG-327</t>
  </si>
  <si>
    <t>DIAG-328</t>
  </si>
  <si>
    <t>DIAG-329</t>
  </si>
  <si>
    <t>DIAG-330</t>
  </si>
  <si>
    <t>DIAG-331</t>
  </si>
  <si>
    <t>DIAG-332</t>
  </si>
  <si>
    <t>DIAG-333</t>
  </si>
  <si>
    <t>DIAG-334</t>
  </si>
  <si>
    <t>DIAG-335</t>
  </si>
  <si>
    <t>DIAG-336</t>
  </si>
  <si>
    <t>DIAG-337</t>
  </si>
  <si>
    <t>DIAG-338</t>
  </si>
  <si>
    <t>DIAG-339</t>
  </si>
  <si>
    <t>DIAG-340</t>
  </si>
  <si>
    <t>DIAG-341</t>
  </si>
  <si>
    <t>DIAG-342</t>
  </si>
  <si>
    <t>DIAG-343</t>
  </si>
  <si>
    <t>DIAG-344</t>
  </si>
  <si>
    <t>DIAG-345</t>
  </si>
  <si>
    <t>DIAG-346</t>
  </si>
  <si>
    <t>DIAG-347</t>
  </si>
  <si>
    <t>DIAG-348</t>
  </si>
  <si>
    <t>DIAG-349</t>
  </si>
  <si>
    <t>DIAG-350</t>
  </si>
  <si>
    <t>DIAG-351</t>
  </si>
  <si>
    <t>DIAG-352</t>
  </si>
  <si>
    <t>DIAG-353</t>
  </si>
  <si>
    <t>DIAG-354</t>
  </si>
  <si>
    <t>DIAG-355</t>
  </si>
  <si>
    <t>DIAG-356</t>
  </si>
  <si>
    <t>DIAG-357</t>
  </si>
  <si>
    <t>DIAG-358</t>
  </si>
  <si>
    <t>DIAG-359</t>
  </si>
  <si>
    <t>DIAG-360</t>
  </si>
  <si>
    <t>DIAG-361</t>
  </si>
  <si>
    <t>DIAG-362</t>
  </si>
  <si>
    <t>DIAG-363</t>
  </si>
  <si>
    <t>DIAG-364</t>
  </si>
  <si>
    <t>DIAG-365</t>
  </si>
  <si>
    <t>DIAG-366</t>
  </si>
  <si>
    <t>DIAG-367</t>
  </si>
  <si>
    <t>DIAG-368</t>
  </si>
  <si>
    <t>DIAG-369</t>
  </si>
  <si>
    <t>DIAG-370</t>
  </si>
  <si>
    <t>DIAG-371</t>
  </si>
  <si>
    <t>DIAG-372</t>
  </si>
  <si>
    <t>DIAG-373</t>
  </si>
  <si>
    <t>DIAG-374</t>
  </si>
  <si>
    <t>DIAG-375</t>
  </si>
  <si>
    <t>DIAG-376</t>
  </si>
  <si>
    <t>DIAG-377</t>
  </si>
  <si>
    <t>DIAG-378</t>
  </si>
  <si>
    <t>DIAG-379</t>
  </si>
  <si>
    <t>DIAG-380</t>
  </si>
  <si>
    <t>DIAG-381</t>
  </si>
  <si>
    <t>DIAG-382</t>
  </si>
  <si>
    <t>DIAG-383</t>
  </si>
  <si>
    <t>DIAG-384</t>
  </si>
  <si>
    <t>DIAG-385</t>
  </si>
  <si>
    <t>DIAG-386</t>
  </si>
  <si>
    <t>DIAG-387</t>
  </si>
  <si>
    <t>DIAG-388</t>
  </si>
  <si>
    <t>DIAG-389</t>
  </si>
  <si>
    <t>DIAG-390</t>
  </si>
  <si>
    <t>DIAG-391</t>
  </si>
  <si>
    <t>DIAG-392</t>
  </si>
  <si>
    <t>DIAG-393</t>
  </si>
  <si>
    <t>DIAG-394</t>
  </si>
  <si>
    <t>DIAG-395</t>
  </si>
  <si>
    <t>DIAG-396</t>
  </si>
  <si>
    <t>DIAG-397</t>
  </si>
  <si>
    <t>DIAG-398</t>
  </si>
  <si>
    <t>DIAG-399</t>
  </si>
  <si>
    <t>DIAG-400</t>
  </si>
  <si>
    <t>DIAG-401</t>
  </si>
  <si>
    <t>DIAG-402</t>
  </si>
  <si>
    <t>DIAG-403</t>
  </si>
  <si>
    <t>DIAG-404</t>
  </si>
  <si>
    <t>DIAG-405</t>
  </si>
  <si>
    <t>DIAG-406</t>
  </si>
  <si>
    <t>DIAG-407</t>
  </si>
  <si>
    <t>DIAG-408</t>
  </si>
  <si>
    <t>DIAG-409</t>
  </si>
  <si>
    <t>DIAG-410</t>
  </si>
  <si>
    <t>DIAG-411</t>
  </si>
  <si>
    <t>DIAG-412</t>
  </si>
  <si>
    <t>DIAG-413</t>
  </si>
  <si>
    <t>DIAG-414</t>
  </si>
  <si>
    <t>DIAG-415</t>
  </si>
  <si>
    <t>DIAG-416</t>
  </si>
  <si>
    <t>DIAG-417</t>
  </si>
  <si>
    <t>DIAG-418</t>
  </si>
  <si>
    <t>DIAG-419</t>
  </si>
  <si>
    <t>DIAG-420</t>
  </si>
  <si>
    <t>DIAG-421</t>
  </si>
  <si>
    <t>DIAG-422</t>
  </si>
  <si>
    <t>DIAG-423</t>
  </si>
  <si>
    <t>DIAG-424</t>
  </si>
  <si>
    <t>DIAG-425</t>
  </si>
  <si>
    <t>DIAG-426</t>
  </si>
  <si>
    <t>DIAG-427</t>
  </si>
  <si>
    <t>DIAG-428</t>
  </si>
  <si>
    <t>DIAG-429</t>
  </si>
  <si>
    <t>DIAG-430</t>
  </si>
  <si>
    <t>DIAG-431</t>
  </si>
  <si>
    <t>DIAG-432</t>
  </si>
  <si>
    <t>DIAG-433</t>
  </si>
  <si>
    <t>DIAG-434</t>
  </si>
  <si>
    <t>DIAG-435</t>
  </si>
  <si>
    <t>DIAG-436</t>
  </si>
  <si>
    <t>DIAG-437</t>
  </si>
  <si>
    <t>DIAG-438</t>
  </si>
  <si>
    <t>DIAG-439</t>
  </si>
  <si>
    <t>DIAG-440</t>
  </si>
  <si>
    <t>DIAG-441</t>
  </si>
  <si>
    <t>DIAG-442</t>
  </si>
  <si>
    <t>DIAG-443</t>
  </si>
  <si>
    <t>DIAG-444</t>
  </si>
  <si>
    <t>DIAG-445</t>
  </si>
  <si>
    <t>DIAG-446</t>
  </si>
  <si>
    <t>DIAG-447</t>
  </si>
  <si>
    <t>DIAG-448</t>
  </si>
  <si>
    <t>DIAG-449</t>
  </si>
  <si>
    <t>DIAG-450</t>
  </si>
  <si>
    <t>DIAG-451</t>
  </si>
  <si>
    <t>DIAG-452</t>
  </si>
  <si>
    <t>DIAG-453</t>
  </si>
  <si>
    <t>DIAG-454</t>
  </si>
  <si>
    <t>DIAG-455</t>
  </si>
  <si>
    <t>DIAG-456</t>
  </si>
  <si>
    <t>DIAG-457</t>
  </si>
  <si>
    <t>DIAG-458</t>
  </si>
  <si>
    <t>DIAG-459</t>
  </si>
  <si>
    <t>DIAG-460</t>
  </si>
  <si>
    <t>DIAG-461</t>
  </si>
  <si>
    <t>DIAG-462</t>
  </si>
  <si>
    <t>DIAG-463</t>
  </si>
  <si>
    <t>DIAG-464</t>
  </si>
  <si>
    <t>DIAG-465</t>
  </si>
  <si>
    <t>DIAG-466</t>
  </si>
  <si>
    <t>DIAG-467</t>
  </si>
  <si>
    <t>DIAG-468</t>
  </si>
  <si>
    <t>DIAG-469</t>
  </si>
  <si>
    <t>DIAG-470</t>
  </si>
  <si>
    <t>DIAG-471</t>
  </si>
  <si>
    <t>DIAG-472</t>
  </si>
  <si>
    <t>DIAG-473</t>
  </si>
  <si>
    <t>DIAG-474</t>
  </si>
  <si>
    <t>DIAG-475</t>
  </si>
  <si>
    <t>DIAG-476</t>
  </si>
  <si>
    <t>DIAG-477</t>
  </si>
  <si>
    <t>DIAG-478</t>
  </si>
  <si>
    <t>DIAG-479</t>
  </si>
  <si>
    <t>DIAG-480</t>
  </si>
  <si>
    <t>DIAG-481</t>
  </si>
  <si>
    <t>DIAG-482</t>
  </si>
  <si>
    <t>DIAG-483</t>
  </si>
  <si>
    <t>DIAG-484</t>
  </si>
  <si>
    <t>DIAG-485</t>
  </si>
  <si>
    <t>DIAG-486</t>
  </si>
  <si>
    <t>DIAG-487</t>
  </si>
  <si>
    <t>DIAG-488</t>
  </si>
  <si>
    <t>DIAG-489</t>
  </si>
  <si>
    <t>DIAG-490</t>
  </si>
  <si>
    <t>DIAG-491</t>
  </si>
  <si>
    <t>DIAG-492</t>
  </si>
  <si>
    <t>DIAG-493</t>
  </si>
  <si>
    <t>DIAG-494</t>
  </si>
  <si>
    <t>DIAG-495</t>
  </si>
  <si>
    <t>DIAG-496</t>
  </si>
  <si>
    <t>DIAG-497</t>
  </si>
  <si>
    <t>DIAG-498</t>
  </si>
  <si>
    <t>DIAG-499</t>
  </si>
  <si>
    <t>DIAG-500</t>
  </si>
  <si>
    <t>CPT_Code</t>
  </si>
  <si>
    <t>ProcedureDescription</t>
  </si>
  <si>
    <t>99213</t>
  </si>
  <si>
    <t>Office visit, established patient, 15 min</t>
  </si>
  <si>
    <t>80053</t>
  </si>
  <si>
    <t>Comprehensive metabolic panel</t>
  </si>
  <si>
    <t>85025</t>
  </si>
  <si>
    <t>Complete blood count (CBC)</t>
  </si>
  <si>
    <t>99203</t>
  </si>
  <si>
    <t>Office visit, new patient, 30 min</t>
  </si>
  <si>
    <t>VitalsID</t>
  </si>
  <si>
    <t>SystolicBP</t>
  </si>
  <si>
    <t>DiastolicBP</t>
  </si>
  <si>
    <t>HeartRate</t>
  </si>
  <si>
    <t>Temperature_F</t>
  </si>
  <si>
    <t>VIT-1</t>
  </si>
  <si>
    <t>VIT-2</t>
  </si>
  <si>
    <t>VIT-3</t>
  </si>
  <si>
    <t>VIT-4</t>
  </si>
  <si>
    <t>VIT-5</t>
  </si>
  <si>
    <t>VIT-6</t>
  </si>
  <si>
    <t>VIT-7</t>
  </si>
  <si>
    <t>VIT-8</t>
  </si>
  <si>
    <t>VIT-9</t>
  </si>
  <si>
    <t>VIT-10</t>
  </si>
  <si>
    <t>VIT-11</t>
  </si>
  <si>
    <t>VIT-12</t>
  </si>
  <si>
    <t>VIT-13</t>
  </si>
  <si>
    <t>VIT-14</t>
  </si>
  <si>
    <t>VIT-15</t>
  </si>
  <si>
    <t>VIT-16</t>
  </si>
  <si>
    <t>VIT-17</t>
  </si>
  <si>
    <t>VIT-18</t>
  </si>
  <si>
    <t>VIT-19</t>
  </si>
  <si>
    <t>VIT-20</t>
  </si>
  <si>
    <t>VIT-21</t>
  </si>
  <si>
    <t>VIT-22</t>
  </si>
  <si>
    <t>VIT-23</t>
  </si>
  <si>
    <t>VIT-24</t>
  </si>
  <si>
    <t>VIT-25</t>
  </si>
  <si>
    <t>VIT-26</t>
  </si>
  <si>
    <t>VIT-27</t>
  </si>
  <si>
    <t>VIT-28</t>
  </si>
  <si>
    <t>VIT-29</t>
  </si>
  <si>
    <t>VIT-30</t>
  </si>
  <si>
    <t>VIT-31</t>
  </si>
  <si>
    <t>VIT-32</t>
  </si>
  <si>
    <t>VIT-33</t>
  </si>
  <si>
    <t>VIT-34</t>
  </si>
  <si>
    <t>VIT-35</t>
  </si>
  <si>
    <t>VIT-36</t>
  </si>
  <si>
    <t>VIT-37</t>
  </si>
  <si>
    <t>VIT-38</t>
  </si>
  <si>
    <t>VIT-39</t>
  </si>
  <si>
    <t>VIT-40</t>
  </si>
  <si>
    <t>VIT-41</t>
  </si>
  <si>
    <t>VIT-42</t>
  </si>
  <si>
    <t>VIT-43</t>
  </si>
  <si>
    <t>VIT-44</t>
  </si>
  <si>
    <t>VIT-45</t>
  </si>
  <si>
    <t>VIT-46</t>
  </si>
  <si>
    <t>VIT-47</t>
  </si>
  <si>
    <t>VIT-48</t>
  </si>
  <si>
    <t>VIT-49</t>
  </si>
  <si>
    <t>VIT-50</t>
  </si>
  <si>
    <t>VIT-51</t>
  </si>
  <si>
    <t>VIT-52</t>
  </si>
  <si>
    <t>VIT-53</t>
  </si>
  <si>
    <t>VIT-54</t>
  </si>
  <si>
    <t>VIT-55</t>
  </si>
  <si>
    <t>VIT-56</t>
  </si>
  <si>
    <t>VIT-57</t>
  </si>
  <si>
    <t>VIT-58</t>
  </si>
  <si>
    <t>VIT-59</t>
  </si>
  <si>
    <t>VIT-60</t>
  </si>
  <si>
    <t>VIT-61</t>
  </si>
  <si>
    <t>VIT-62</t>
  </si>
  <si>
    <t>VIT-63</t>
  </si>
  <si>
    <t>VIT-64</t>
  </si>
  <si>
    <t>VIT-65</t>
  </si>
  <si>
    <t>VIT-66</t>
  </si>
  <si>
    <t>VIT-67</t>
  </si>
  <si>
    <t>VIT-68</t>
  </si>
  <si>
    <t>VIT-69</t>
  </si>
  <si>
    <t>VIT-70</t>
  </si>
  <si>
    <t>VIT-71</t>
  </si>
  <si>
    <t>VIT-72</t>
  </si>
  <si>
    <t>VIT-73</t>
  </si>
  <si>
    <t>VIT-74</t>
  </si>
  <si>
    <t>VIT-75</t>
  </si>
  <si>
    <t>VIT-76</t>
  </si>
  <si>
    <t>VIT-77</t>
  </si>
  <si>
    <t>VIT-78</t>
  </si>
  <si>
    <t>VIT-79</t>
  </si>
  <si>
    <t>VIT-80</t>
  </si>
  <si>
    <t>VIT-81</t>
  </si>
  <si>
    <t>VIT-82</t>
  </si>
  <si>
    <t>VIT-83</t>
  </si>
  <si>
    <t>VIT-84</t>
  </si>
  <si>
    <t>VIT-85</t>
  </si>
  <si>
    <t>VIT-86</t>
  </si>
  <si>
    <t>VIT-87</t>
  </si>
  <si>
    <t>VIT-88</t>
  </si>
  <si>
    <t>VIT-89</t>
  </si>
  <si>
    <t>VIT-90</t>
  </si>
  <si>
    <t>VIT-91</t>
  </si>
  <si>
    <t>VIT-92</t>
  </si>
  <si>
    <t>VIT-93</t>
  </si>
  <si>
    <t>VIT-94</t>
  </si>
  <si>
    <t>VIT-95</t>
  </si>
  <si>
    <t>VIT-96</t>
  </si>
  <si>
    <t>VIT-97</t>
  </si>
  <si>
    <t>VIT-98</t>
  </si>
  <si>
    <t>VIT-99</t>
  </si>
  <si>
    <t>VIT-100</t>
  </si>
  <si>
    <t>VIT-101</t>
  </si>
  <si>
    <t>VIT-102</t>
  </si>
  <si>
    <t>VIT-103</t>
  </si>
  <si>
    <t>VIT-104</t>
  </si>
  <si>
    <t>VIT-105</t>
  </si>
  <si>
    <t>VIT-106</t>
  </si>
  <si>
    <t>VIT-107</t>
  </si>
  <si>
    <t>VIT-108</t>
  </si>
  <si>
    <t>VIT-109</t>
  </si>
  <si>
    <t>VIT-110</t>
  </si>
  <si>
    <t>VIT-111</t>
  </si>
  <si>
    <t>VIT-112</t>
  </si>
  <si>
    <t>VIT-113</t>
  </si>
  <si>
    <t>VIT-114</t>
  </si>
  <si>
    <t>VIT-115</t>
  </si>
  <si>
    <t>VIT-116</t>
  </si>
  <si>
    <t>VIT-117</t>
  </si>
  <si>
    <t>VIT-118</t>
  </si>
  <si>
    <t>VIT-119</t>
  </si>
  <si>
    <t>VIT-120</t>
  </si>
  <si>
    <t>VIT-121</t>
  </si>
  <si>
    <t>VIT-122</t>
  </si>
  <si>
    <t>VIT-123</t>
  </si>
  <si>
    <t>VIT-124</t>
  </si>
  <si>
    <t>VIT-125</t>
  </si>
  <si>
    <t>VIT-126</t>
  </si>
  <si>
    <t>VIT-127</t>
  </si>
  <si>
    <t>VIT-128</t>
  </si>
  <si>
    <t>VIT-129</t>
  </si>
  <si>
    <t>VIT-130</t>
  </si>
  <si>
    <t>VIT-131</t>
  </si>
  <si>
    <t>VIT-132</t>
  </si>
  <si>
    <t>VIT-133</t>
  </si>
  <si>
    <t>VIT-134</t>
  </si>
  <si>
    <t>VIT-135</t>
  </si>
  <si>
    <t>VIT-136</t>
  </si>
  <si>
    <t>VIT-137</t>
  </si>
  <si>
    <t>VIT-138</t>
  </si>
  <si>
    <t>VIT-139</t>
  </si>
  <si>
    <t>VIT-140</t>
  </si>
  <si>
    <t>VIT-141</t>
  </si>
  <si>
    <t>VIT-142</t>
  </si>
  <si>
    <t>VIT-143</t>
  </si>
  <si>
    <t>VIT-144</t>
  </si>
  <si>
    <t>VIT-145</t>
  </si>
  <si>
    <t>VIT-146</t>
  </si>
  <si>
    <t>VIT-147</t>
  </si>
  <si>
    <t>VIT-148</t>
  </si>
  <si>
    <t>VIT-149</t>
  </si>
  <si>
    <t>VIT-150</t>
  </si>
  <si>
    <t>VIT-151</t>
  </si>
  <si>
    <t>VIT-152</t>
  </si>
  <si>
    <t>VIT-153</t>
  </si>
  <si>
    <t>VIT-154</t>
  </si>
  <si>
    <t>VIT-155</t>
  </si>
  <si>
    <t>VIT-156</t>
  </si>
  <si>
    <t>VIT-157</t>
  </si>
  <si>
    <t>VIT-158</t>
  </si>
  <si>
    <t>VIT-159</t>
  </si>
  <si>
    <t>VIT-160</t>
  </si>
  <si>
    <t>VIT-161</t>
  </si>
  <si>
    <t>VIT-162</t>
  </si>
  <si>
    <t>VIT-163</t>
  </si>
  <si>
    <t>VIT-164</t>
  </si>
  <si>
    <t>VIT-165</t>
  </si>
  <si>
    <t>VIT-166</t>
  </si>
  <si>
    <t>VIT-167</t>
  </si>
  <si>
    <t>VIT-168</t>
  </si>
  <si>
    <t>VIT-169</t>
  </si>
  <si>
    <t>VIT-170</t>
  </si>
  <si>
    <t>VIT-171</t>
  </si>
  <si>
    <t>VIT-172</t>
  </si>
  <si>
    <t>VIT-173</t>
  </si>
  <si>
    <t>VIT-174</t>
  </si>
  <si>
    <t>VIT-175</t>
  </si>
  <si>
    <t>VIT-176</t>
  </si>
  <si>
    <t>VIT-177</t>
  </si>
  <si>
    <t>VIT-178</t>
  </si>
  <si>
    <t>VIT-179</t>
  </si>
  <si>
    <t>VIT-180</t>
  </si>
  <si>
    <t>VIT-181</t>
  </si>
  <si>
    <t>VIT-182</t>
  </si>
  <si>
    <t>VIT-183</t>
  </si>
  <si>
    <t>VIT-184</t>
  </si>
  <si>
    <t>VIT-185</t>
  </si>
  <si>
    <t>VIT-186</t>
  </si>
  <si>
    <t>VIT-187</t>
  </si>
  <si>
    <t>VIT-188</t>
  </si>
  <si>
    <t>VIT-189</t>
  </si>
  <si>
    <t>VIT-190</t>
  </si>
  <si>
    <t>VIT-191</t>
  </si>
  <si>
    <t>VIT-192</t>
  </si>
  <si>
    <t>VIT-193</t>
  </si>
  <si>
    <t>VIT-194</t>
  </si>
  <si>
    <t>VIT-195</t>
  </si>
  <si>
    <t>VIT-196</t>
  </si>
  <si>
    <t>VIT-197</t>
  </si>
  <si>
    <t>VIT-198</t>
  </si>
  <si>
    <t>VIT-199</t>
  </si>
  <si>
    <t>VIT-200</t>
  </si>
  <si>
    <t>VIT-201</t>
  </si>
  <si>
    <t>VIT-202</t>
  </si>
  <si>
    <t>VIT-203</t>
  </si>
  <si>
    <t>VIT-204</t>
  </si>
  <si>
    <t>VIT-205</t>
  </si>
  <si>
    <t>VIT-206</t>
  </si>
  <si>
    <t>VIT-207</t>
  </si>
  <si>
    <t>VIT-208</t>
  </si>
  <si>
    <t>VIT-209</t>
  </si>
  <si>
    <t>VIT-210</t>
  </si>
  <si>
    <t>VIT-211</t>
  </si>
  <si>
    <t>VIT-212</t>
  </si>
  <si>
    <t>VIT-213</t>
  </si>
  <si>
    <t>VIT-214</t>
  </si>
  <si>
    <t>VIT-215</t>
  </si>
  <si>
    <t>VIT-216</t>
  </si>
  <si>
    <t>VIT-217</t>
  </si>
  <si>
    <t>VIT-218</t>
  </si>
  <si>
    <t>VIT-219</t>
  </si>
  <si>
    <t>VIT-220</t>
  </si>
  <si>
    <t>VIT-221</t>
  </si>
  <si>
    <t>VIT-222</t>
  </si>
  <si>
    <t>VIT-223</t>
  </si>
  <si>
    <t>VIT-224</t>
  </si>
  <si>
    <t>VIT-225</t>
  </si>
  <si>
    <t>VIT-226</t>
  </si>
  <si>
    <t>VIT-227</t>
  </si>
  <si>
    <t>VIT-228</t>
  </si>
  <si>
    <t>VIT-229</t>
  </si>
  <si>
    <t>VIT-230</t>
  </si>
  <si>
    <t>VIT-231</t>
  </si>
  <si>
    <t>VIT-232</t>
  </si>
  <si>
    <t>VIT-233</t>
  </si>
  <si>
    <t>VIT-234</t>
  </si>
  <si>
    <t>VIT-235</t>
  </si>
  <si>
    <t>VIT-236</t>
  </si>
  <si>
    <t>VIT-237</t>
  </si>
  <si>
    <t>VIT-238</t>
  </si>
  <si>
    <t>VIT-239</t>
  </si>
  <si>
    <t>VIT-240</t>
  </si>
  <si>
    <t>VIT-241</t>
  </si>
  <si>
    <t>VIT-242</t>
  </si>
  <si>
    <t>VIT-243</t>
  </si>
  <si>
    <t>VIT-244</t>
  </si>
  <si>
    <t>VIT-245</t>
  </si>
  <si>
    <t>VIT-246</t>
  </si>
  <si>
    <t>VIT-247</t>
  </si>
  <si>
    <t>VIT-248</t>
  </si>
  <si>
    <t>VIT-249</t>
  </si>
  <si>
    <t>VIT-250</t>
  </si>
  <si>
    <t>VIT-251</t>
  </si>
  <si>
    <t>VIT-252</t>
  </si>
  <si>
    <t>VIT-253</t>
  </si>
  <si>
    <t>VIT-254</t>
  </si>
  <si>
    <t>VIT-255</t>
  </si>
  <si>
    <t>VIT-256</t>
  </si>
  <si>
    <t>VIT-257</t>
  </si>
  <si>
    <t>VIT-258</t>
  </si>
  <si>
    <t>VIT-259</t>
  </si>
  <si>
    <t>VIT-260</t>
  </si>
  <si>
    <t>VIT-261</t>
  </si>
  <si>
    <t>VIT-262</t>
  </si>
  <si>
    <t>VIT-263</t>
  </si>
  <si>
    <t>VIT-264</t>
  </si>
  <si>
    <t>VIT-265</t>
  </si>
  <si>
    <t>VIT-266</t>
  </si>
  <si>
    <t>VIT-267</t>
  </si>
  <si>
    <t>VIT-268</t>
  </si>
  <si>
    <t>VIT-269</t>
  </si>
  <si>
    <t>VIT-270</t>
  </si>
  <si>
    <t>VIT-271</t>
  </si>
  <si>
    <t>VIT-272</t>
  </si>
  <si>
    <t>VIT-273</t>
  </si>
  <si>
    <t>VIT-274</t>
  </si>
  <si>
    <t>VIT-275</t>
  </si>
  <si>
    <t>VIT-276</t>
  </si>
  <si>
    <t>VIT-277</t>
  </si>
  <si>
    <t>VIT-278</t>
  </si>
  <si>
    <t>VIT-279</t>
  </si>
  <si>
    <t>VIT-280</t>
  </si>
  <si>
    <t>VIT-281</t>
  </si>
  <si>
    <t>VIT-282</t>
  </si>
  <si>
    <t>VIT-283</t>
  </si>
  <si>
    <t>VIT-284</t>
  </si>
  <si>
    <t>VIT-285</t>
  </si>
  <si>
    <t>VIT-286</t>
  </si>
  <si>
    <t>VIT-287</t>
  </si>
  <si>
    <t>VIT-288</t>
  </si>
  <si>
    <t>VIT-289</t>
  </si>
  <si>
    <t>VIT-290</t>
  </si>
  <si>
    <t>VIT-291</t>
  </si>
  <si>
    <t>VIT-292</t>
  </si>
  <si>
    <t>VIT-293</t>
  </si>
  <si>
    <t>VIT-294</t>
  </si>
  <si>
    <t>VIT-295</t>
  </si>
  <si>
    <t>VIT-296</t>
  </si>
  <si>
    <t>VIT-297</t>
  </si>
  <si>
    <t>VIT-298</t>
  </si>
  <si>
    <t>VIT-299</t>
  </si>
  <si>
    <t>VIT-300</t>
  </si>
  <si>
    <t>VIT-301</t>
  </si>
  <si>
    <t>VIT-302</t>
  </si>
  <si>
    <t>VIT-303</t>
  </si>
  <si>
    <t>VIT-304</t>
  </si>
  <si>
    <t>VIT-305</t>
  </si>
  <si>
    <t>VIT-306</t>
  </si>
  <si>
    <t>VIT-307</t>
  </si>
  <si>
    <t>VIT-308</t>
  </si>
  <si>
    <t>VIT-309</t>
  </si>
  <si>
    <t>VIT-310</t>
  </si>
  <si>
    <t>VIT-311</t>
  </si>
  <si>
    <t>VIT-312</t>
  </si>
  <si>
    <t>VIT-313</t>
  </si>
  <si>
    <t>VIT-314</t>
  </si>
  <si>
    <t>VIT-315</t>
  </si>
  <si>
    <t>VIT-316</t>
  </si>
  <si>
    <t>VIT-317</t>
  </si>
  <si>
    <t>VIT-318</t>
  </si>
  <si>
    <t>VIT-319</t>
  </si>
  <si>
    <t>VIT-320</t>
  </si>
  <si>
    <t>VIT-321</t>
  </si>
  <si>
    <t>VIT-322</t>
  </si>
  <si>
    <t>VIT-323</t>
  </si>
  <si>
    <t>VIT-324</t>
  </si>
  <si>
    <t>VIT-325</t>
  </si>
  <si>
    <t>VIT-326</t>
  </si>
  <si>
    <t>VIT-327</t>
  </si>
  <si>
    <t>VIT-328</t>
  </si>
  <si>
    <t>VIT-329</t>
  </si>
  <si>
    <t>VIT-330</t>
  </si>
  <si>
    <t>VIT-331</t>
  </si>
  <si>
    <t>VIT-332</t>
  </si>
  <si>
    <t>VIT-333</t>
  </si>
  <si>
    <t>VIT-334</t>
  </si>
  <si>
    <t>VIT-335</t>
  </si>
  <si>
    <t>VIT-336</t>
  </si>
  <si>
    <t>VIT-337</t>
  </si>
  <si>
    <t>VIT-338</t>
  </si>
  <si>
    <t>VIT-339</t>
  </si>
  <si>
    <t>VIT-340</t>
  </si>
  <si>
    <t>VIT-341</t>
  </si>
  <si>
    <t>VIT-342</t>
  </si>
  <si>
    <t>VIT-343</t>
  </si>
  <si>
    <t>VIT-344</t>
  </si>
  <si>
    <t>VIT-345</t>
  </si>
  <si>
    <t>VIT-346</t>
  </si>
  <si>
    <t>VIT-347</t>
  </si>
  <si>
    <t>VIT-348</t>
  </si>
  <si>
    <t>VIT-349</t>
  </si>
  <si>
    <t>VIT-350</t>
  </si>
  <si>
    <t>VIT-351</t>
  </si>
  <si>
    <t>VIT-352</t>
  </si>
  <si>
    <t>VIT-353</t>
  </si>
  <si>
    <t>VIT-354</t>
  </si>
  <si>
    <t>VIT-355</t>
  </si>
  <si>
    <t>VIT-356</t>
  </si>
  <si>
    <t>VIT-357</t>
  </si>
  <si>
    <t>VIT-358</t>
  </si>
  <si>
    <t>VIT-359</t>
  </si>
  <si>
    <t>VIT-360</t>
  </si>
  <si>
    <t>VIT-361</t>
  </si>
  <si>
    <t>VIT-362</t>
  </si>
  <si>
    <t>VIT-363</t>
  </si>
  <si>
    <t>VIT-364</t>
  </si>
  <si>
    <t>VIT-365</t>
  </si>
  <si>
    <t>VIT-366</t>
  </si>
  <si>
    <t>VIT-367</t>
  </si>
  <si>
    <t>VIT-368</t>
  </si>
  <si>
    <t>VIT-369</t>
  </si>
  <si>
    <t>VIT-370</t>
  </si>
  <si>
    <t>VIT-371</t>
  </si>
  <si>
    <t>VIT-372</t>
  </si>
  <si>
    <t>VIT-373</t>
  </si>
  <si>
    <t>VIT-374</t>
  </si>
  <si>
    <t>VIT-375</t>
  </si>
  <si>
    <t>VIT-376</t>
  </si>
  <si>
    <t>VIT-377</t>
  </si>
  <si>
    <t>VIT-378</t>
  </si>
  <si>
    <t>VIT-379</t>
  </si>
  <si>
    <t>VIT-380</t>
  </si>
  <si>
    <t>VIT-381</t>
  </si>
  <si>
    <t>VIT-382</t>
  </si>
  <si>
    <t>VIT-383</t>
  </si>
  <si>
    <t>VIT-384</t>
  </si>
  <si>
    <t>VIT-385</t>
  </si>
  <si>
    <t>VIT-386</t>
  </si>
  <si>
    <t>VIT-387</t>
  </si>
  <si>
    <t>VIT-388</t>
  </si>
  <si>
    <t>VIT-389</t>
  </si>
  <si>
    <t>VIT-390</t>
  </si>
  <si>
    <t>VIT-391</t>
  </si>
  <si>
    <t>VIT-392</t>
  </si>
  <si>
    <t>VIT-393</t>
  </si>
  <si>
    <t>VIT-394</t>
  </si>
  <si>
    <t>VIT-395</t>
  </si>
  <si>
    <t>VIT-396</t>
  </si>
  <si>
    <t>VIT-397</t>
  </si>
  <si>
    <t>VIT-398</t>
  </si>
  <si>
    <t>VIT-399</t>
  </si>
  <si>
    <t>VIT-400</t>
  </si>
  <si>
    <t>VIT-401</t>
  </si>
  <si>
    <t>VIT-402</t>
  </si>
  <si>
    <t>VIT-403</t>
  </si>
  <si>
    <t>VIT-404</t>
  </si>
  <si>
    <t>VIT-405</t>
  </si>
  <si>
    <t>VIT-406</t>
  </si>
  <si>
    <t>VIT-407</t>
  </si>
  <si>
    <t>VIT-408</t>
  </si>
  <si>
    <t>VIT-409</t>
  </si>
  <si>
    <t>VIT-410</t>
  </si>
  <si>
    <t>VIT-411</t>
  </si>
  <si>
    <t>VIT-412</t>
  </si>
  <si>
    <t>VIT-413</t>
  </si>
  <si>
    <t>VIT-414</t>
  </si>
  <si>
    <t>VIT-415</t>
  </si>
  <si>
    <t>VIT-416</t>
  </si>
  <si>
    <t>VIT-417</t>
  </si>
  <si>
    <t>VIT-418</t>
  </si>
  <si>
    <t>VIT-419</t>
  </si>
  <si>
    <t>VIT-420</t>
  </si>
  <si>
    <t>VIT-421</t>
  </si>
  <si>
    <t>VIT-422</t>
  </si>
  <si>
    <t>VIT-423</t>
  </si>
  <si>
    <t>VIT-424</t>
  </si>
  <si>
    <t>VIT-425</t>
  </si>
  <si>
    <t>VIT-426</t>
  </si>
  <si>
    <t>VIT-427</t>
  </si>
  <si>
    <t>VIT-428</t>
  </si>
  <si>
    <t>VIT-429</t>
  </si>
  <si>
    <t>VIT-430</t>
  </si>
  <si>
    <t>VIT-431</t>
  </si>
  <si>
    <t>VIT-432</t>
  </si>
  <si>
    <t>VIT-433</t>
  </si>
  <si>
    <t>VIT-434</t>
  </si>
  <si>
    <t>VIT-435</t>
  </si>
  <si>
    <t>VIT-436</t>
  </si>
  <si>
    <t>VIT-437</t>
  </si>
  <si>
    <t>VIT-438</t>
  </si>
  <si>
    <t>VIT-439</t>
  </si>
  <si>
    <t>VIT-440</t>
  </si>
  <si>
    <t>VIT-441</t>
  </si>
  <si>
    <t>VIT-442</t>
  </si>
  <si>
    <t>VIT-443</t>
  </si>
  <si>
    <t>VIT-444</t>
  </si>
  <si>
    <t>VIT-445</t>
  </si>
  <si>
    <t>VIT-446</t>
  </si>
  <si>
    <t>VIT-447</t>
  </si>
  <si>
    <t>VIT-448</t>
  </si>
  <si>
    <t>VIT-449</t>
  </si>
  <si>
    <t>VIT-450</t>
  </si>
  <si>
    <t>VIT-451</t>
  </si>
  <si>
    <t>VIT-452</t>
  </si>
  <si>
    <t>VIT-453</t>
  </si>
  <si>
    <t>VIT-454</t>
  </si>
  <si>
    <t>VIT-455</t>
  </si>
  <si>
    <t>VIT-456</t>
  </si>
  <si>
    <t>VIT-457</t>
  </si>
  <si>
    <t>VIT-458</t>
  </si>
  <si>
    <t>VIT-459</t>
  </si>
  <si>
    <t>VIT-460</t>
  </si>
  <si>
    <t>VIT-461</t>
  </si>
  <si>
    <t>VIT-462</t>
  </si>
  <si>
    <t>VIT-463</t>
  </si>
  <si>
    <t>VIT-464</t>
  </si>
  <si>
    <t>VIT-465</t>
  </si>
  <si>
    <t>VIT-466</t>
  </si>
  <si>
    <t>VIT-467</t>
  </si>
  <si>
    <t>VIT-468</t>
  </si>
  <si>
    <t>VIT-469</t>
  </si>
  <si>
    <t>VIT-470</t>
  </si>
  <si>
    <t>VIT-471</t>
  </si>
  <si>
    <t>VIT-472</t>
  </si>
  <si>
    <t>VIT-473</t>
  </si>
  <si>
    <t>VIT-474</t>
  </si>
  <si>
    <t>VIT-475</t>
  </si>
  <si>
    <t>VIT-476</t>
  </si>
  <si>
    <t>VIT-477</t>
  </si>
  <si>
    <t>VIT-478</t>
  </si>
  <si>
    <t>VIT-479</t>
  </si>
  <si>
    <t>VIT-480</t>
  </si>
  <si>
    <t>VIT-481</t>
  </si>
  <si>
    <t>VIT-482</t>
  </si>
  <si>
    <t>VIT-483</t>
  </si>
  <si>
    <t>VIT-484</t>
  </si>
  <si>
    <t>VIT-485</t>
  </si>
  <si>
    <t>VIT-486</t>
  </si>
  <si>
    <t>VIT-487</t>
  </si>
  <si>
    <t>VIT-488</t>
  </si>
  <si>
    <t>VIT-489</t>
  </si>
  <si>
    <t>VIT-490</t>
  </si>
  <si>
    <t>VIT-491</t>
  </si>
  <si>
    <t>VIT-492</t>
  </si>
  <si>
    <t>VIT-493</t>
  </si>
  <si>
    <t>VIT-494</t>
  </si>
  <si>
    <t>VIT-495</t>
  </si>
  <si>
    <t>VIT-496</t>
  </si>
  <si>
    <t>VIT-497</t>
  </si>
  <si>
    <t>VIT-498</t>
  </si>
  <si>
    <t>VIT-499</t>
  </si>
  <si>
    <t>VIT-500</t>
  </si>
  <si>
    <t>ChargeID</t>
  </si>
  <si>
    <t>ChargeAmount</t>
  </si>
  <si>
    <t>CHG-1</t>
  </si>
  <si>
    <t>CHG-2</t>
  </si>
  <si>
    <t>CHG-3</t>
  </si>
  <si>
    <t>CHG-4</t>
  </si>
  <si>
    <t>CHG-5</t>
  </si>
  <si>
    <t>CHG-6</t>
  </si>
  <si>
    <t>CHG-7</t>
  </si>
  <si>
    <t>CHG-8</t>
  </si>
  <si>
    <t>CHG-9</t>
  </si>
  <si>
    <t>CHG-10</t>
  </si>
  <si>
    <t>CHG-11</t>
  </si>
  <si>
    <t>CHG-12</t>
  </si>
  <si>
    <t>CHG-13</t>
  </si>
  <si>
    <t>CHG-14</t>
  </si>
  <si>
    <t>CHG-15</t>
  </si>
  <si>
    <t>CHG-16</t>
  </si>
  <si>
    <t>CHG-17</t>
  </si>
  <si>
    <t>CHG-18</t>
  </si>
  <si>
    <t>CHG-19</t>
  </si>
  <si>
    <t>CHG-20</t>
  </si>
  <si>
    <t>CHG-21</t>
  </si>
  <si>
    <t>CHG-22</t>
  </si>
  <si>
    <t>CHG-23</t>
  </si>
  <si>
    <t>CHG-24</t>
  </si>
  <si>
    <t>CHG-25</t>
  </si>
  <si>
    <t>CHG-26</t>
  </si>
  <si>
    <t>CHG-27</t>
  </si>
  <si>
    <t>CHG-28</t>
  </si>
  <si>
    <t>CHG-29</t>
  </si>
  <si>
    <t>CHG-30</t>
  </si>
  <si>
    <t>CHG-31</t>
  </si>
  <si>
    <t>CHG-32</t>
  </si>
  <si>
    <t>CHG-33</t>
  </si>
  <si>
    <t>CHG-34</t>
  </si>
  <si>
    <t>CHG-35</t>
  </si>
  <si>
    <t>CHG-36</t>
  </si>
  <si>
    <t>CHG-37</t>
  </si>
  <si>
    <t>CHG-38</t>
  </si>
  <si>
    <t>CHG-39</t>
  </si>
  <si>
    <t>CHG-40</t>
  </si>
  <si>
    <t>CHG-41</t>
  </si>
  <si>
    <t>CHG-42</t>
  </si>
  <si>
    <t>CHG-43</t>
  </si>
  <si>
    <t>CHG-44</t>
  </si>
  <si>
    <t>CHG-45</t>
  </si>
  <si>
    <t>CHG-46</t>
  </si>
  <si>
    <t>CHG-47</t>
  </si>
  <si>
    <t>CHG-48</t>
  </si>
  <si>
    <t>CHG-49</t>
  </si>
  <si>
    <t>CHG-50</t>
  </si>
  <si>
    <t>CHG-51</t>
  </si>
  <si>
    <t>CHG-52</t>
  </si>
  <si>
    <t>CHG-53</t>
  </si>
  <si>
    <t>CHG-54</t>
  </si>
  <si>
    <t>CHG-55</t>
  </si>
  <si>
    <t>CHG-56</t>
  </si>
  <si>
    <t>CHG-57</t>
  </si>
  <si>
    <t>CHG-58</t>
  </si>
  <si>
    <t>CHG-59</t>
  </si>
  <si>
    <t>CHG-60</t>
  </si>
  <si>
    <t>CHG-61</t>
  </si>
  <si>
    <t>CHG-62</t>
  </si>
  <si>
    <t>CHG-63</t>
  </si>
  <si>
    <t>CHG-64</t>
  </si>
  <si>
    <t>CHG-65</t>
  </si>
  <si>
    <t>CHG-66</t>
  </si>
  <si>
    <t>CHG-67</t>
  </si>
  <si>
    <t>CHG-68</t>
  </si>
  <si>
    <t>CHG-69</t>
  </si>
  <si>
    <t>CHG-70</t>
  </si>
  <si>
    <t>CHG-71</t>
  </si>
  <si>
    <t>CHG-72</t>
  </si>
  <si>
    <t>CHG-73</t>
  </si>
  <si>
    <t>CHG-74</t>
  </si>
  <si>
    <t>CHG-75</t>
  </si>
  <si>
    <t>CHG-76</t>
  </si>
  <si>
    <t>CHG-77</t>
  </si>
  <si>
    <t>CHG-78</t>
  </si>
  <si>
    <t>CHG-79</t>
  </si>
  <si>
    <t>CHG-80</t>
  </si>
  <si>
    <t>CHG-81</t>
  </si>
  <si>
    <t>CHG-82</t>
  </si>
  <si>
    <t>CHG-83</t>
  </si>
  <si>
    <t>CHG-84</t>
  </si>
  <si>
    <t>CHG-85</t>
  </si>
  <si>
    <t>CHG-86</t>
  </si>
  <si>
    <t>CHG-87</t>
  </si>
  <si>
    <t>CHG-88</t>
  </si>
  <si>
    <t>CHG-89</t>
  </si>
  <si>
    <t>CHG-90</t>
  </si>
  <si>
    <t>CHG-91</t>
  </si>
  <si>
    <t>CHG-92</t>
  </si>
  <si>
    <t>CHG-93</t>
  </si>
  <si>
    <t>CHG-94</t>
  </si>
  <si>
    <t>CHG-95</t>
  </si>
  <si>
    <t>CHG-96</t>
  </si>
  <si>
    <t>CHG-97</t>
  </si>
  <si>
    <t>CHG-98</t>
  </si>
  <si>
    <t>CHG-99</t>
  </si>
  <si>
    <t>CHG-100</t>
  </si>
  <si>
    <t>CHG-101</t>
  </si>
  <si>
    <t>CHG-102</t>
  </si>
  <si>
    <t>CHG-103</t>
  </si>
  <si>
    <t>CHG-104</t>
  </si>
  <si>
    <t>CHG-105</t>
  </si>
  <si>
    <t>CHG-106</t>
  </si>
  <si>
    <t>CHG-107</t>
  </si>
  <si>
    <t>CHG-108</t>
  </si>
  <si>
    <t>CHG-109</t>
  </si>
  <si>
    <t>CHG-110</t>
  </si>
  <si>
    <t>CHG-111</t>
  </si>
  <si>
    <t>CHG-112</t>
  </si>
  <si>
    <t>CHG-113</t>
  </si>
  <si>
    <t>CHG-114</t>
  </si>
  <si>
    <t>CHG-115</t>
  </si>
  <si>
    <t>CHG-116</t>
  </si>
  <si>
    <t>CHG-117</t>
  </si>
  <si>
    <t>CHG-118</t>
  </si>
  <si>
    <t>CHG-119</t>
  </si>
  <si>
    <t>CHG-120</t>
  </si>
  <si>
    <t>CHG-121</t>
  </si>
  <si>
    <t>CHG-122</t>
  </si>
  <si>
    <t>CHG-123</t>
  </si>
  <si>
    <t>CHG-124</t>
  </si>
  <si>
    <t>CHG-125</t>
  </si>
  <si>
    <t>CHG-126</t>
  </si>
  <si>
    <t>CHG-127</t>
  </si>
  <si>
    <t>CHG-128</t>
  </si>
  <si>
    <t>CHG-129</t>
  </si>
  <si>
    <t>CHG-130</t>
  </si>
  <si>
    <t>CHG-131</t>
  </si>
  <si>
    <t>CHG-132</t>
  </si>
  <si>
    <t>CHG-133</t>
  </si>
  <si>
    <t>CHG-134</t>
  </si>
  <si>
    <t>CHG-135</t>
  </si>
  <si>
    <t>CHG-136</t>
  </si>
  <si>
    <t>CHG-137</t>
  </si>
  <si>
    <t>CHG-138</t>
  </si>
  <si>
    <t>CHG-139</t>
  </si>
  <si>
    <t>CHG-140</t>
  </si>
  <si>
    <t>CHG-141</t>
  </si>
  <si>
    <t>CHG-142</t>
  </si>
  <si>
    <t>CHG-143</t>
  </si>
  <si>
    <t>CHG-144</t>
  </si>
  <si>
    <t>CHG-145</t>
  </si>
  <si>
    <t>CHG-146</t>
  </si>
  <si>
    <t>CHG-147</t>
  </si>
  <si>
    <t>CHG-148</t>
  </si>
  <si>
    <t>CHG-149</t>
  </si>
  <si>
    <t>CHG-150</t>
  </si>
  <si>
    <t>CHG-151</t>
  </si>
  <si>
    <t>CHG-152</t>
  </si>
  <si>
    <t>CHG-153</t>
  </si>
  <si>
    <t>CHG-154</t>
  </si>
  <si>
    <t>CHG-155</t>
  </si>
  <si>
    <t>CHG-156</t>
  </si>
  <si>
    <t>CHG-157</t>
  </si>
  <si>
    <t>CHG-158</t>
  </si>
  <si>
    <t>CHG-159</t>
  </si>
  <si>
    <t>CHG-160</t>
  </si>
  <si>
    <t>CHG-161</t>
  </si>
  <si>
    <t>CHG-162</t>
  </si>
  <si>
    <t>CHG-163</t>
  </si>
  <si>
    <t>CHG-164</t>
  </si>
  <si>
    <t>CHG-165</t>
  </si>
  <si>
    <t>CHG-166</t>
  </si>
  <si>
    <t>CHG-167</t>
  </si>
  <si>
    <t>CHG-168</t>
  </si>
  <si>
    <t>CHG-169</t>
  </si>
  <si>
    <t>CHG-170</t>
  </si>
  <si>
    <t>CHG-171</t>
  </si>
  <si>
    <t>CHG-172</t>
  </si>
  <si>
    <t>CHG-173</t>
  </si>
  <si>
    <t>CHG-174</t>
  </si>
  <si>
    <t>CHG-175</t>
  </si>
  <si>
    <t>CHG-176</t>
  </si>
  <si>
    <t>CHG-177</t>
  </si>
  <si>
    <t>CHG-178</t>
  </si>
  <si>
    <t>CHG-179</t>
  </si>
  <si>
    <t>CHG-180</t>
  </si>
  <si>
    <t>CHG-181</t>
  </si>
  <si>
    <t>CHG-182</t>
  </si>
  <si>
    <t>CHG-183</t>
  </si>
  <si>
    <t>CHG-184</t>
  </si>
  <si>
    <t>CHG-185</t>
  </si>
  <si>
    <t>CHG-186</t>
  </si>
  <si>
    <t>CHG-187</t>
  </si>
  <si>
    <t>CHG-188</t>
  </si>
  <si>
    <t>CHG-189</t>
  </si>
  <si>
    <t>CHG-190</t>
  </si>
  <si>
    <t>CHG-191</t>
  </si>
  <si>
    <t>CHG-192</t>
  </si>
  <si>
    <t>CHG-193</t>
  </si>
  <si>
    <t>CHG-194</t>
  </si>
  <si>
    <t>CHG-195</t>
  </si>
  <si>
    <t>CHG-196</t>
  </si>
  <si>
    <t>CHG-197</t>
  </si>
  <si>
    <t>CHG-198</t>
  </si>
  <si>
    <t>CHG-199</t>
  </si>
  <si>
    <t>CHG-200</t>
  </si>
  <si>
    <t>CHG-201</t>
  </si>
  <si>
    <t>CHG-202</t>
  </si>
  <si>
    <t>CHG-203</t>
  </si>
  <si>
    <t>CHG-204</t>
  </si>
  <si>
    <t>CHG-205</t>
  </si>
  <si>
    <t>CHG-206</t>
  </si>
  <si>
    <t>CHG-207</t>
  </si>
  <si>
    <t>CHG-208</t>
  </si>
  <si>
    <t>CHG-209</t>
  </si>
  <si>
    <t>CHG-210</t>
  </si>
  <si>
    <t>CHG-211</t>
  </si>
  <si>
    <t>CHG-212</t>
  </si>
  <si>
    <t>CHG-213</t>
  </si>
  <si>
    <t>CHG-214</t>
  </si>
  <si>
    <t>CHG-215</t>
  </si>
  <si>
    <t>CHG-216</t>
  </si>
  <si>
    <t>CHG-217</t>
  </si>
  <si>
    <t>CHG-218</t>
  </si>
  <si>
    <t>CHG-219</t>
  </si>
  <si>
    <t>CHG-220</t>
  </si>
  <si>
    <t>CHG-221</t>
  </si>
  <si>
    <t>CHG-222</t>
  </si>
  <si>
    <t>CHG-223</t>
  </si>
  <si>
    <t>CHG-224</t>
  </si>
  <si>
    <t>CHG-225</t>
  </si>
  <si>
    <t>CHG-226</t>
  </si>
  <si>
    <t>CHG-227</t>
  </si>
  <si>
    <t>CHG-228</t>
  </si>
  <si>
    <t>CHG-229</t>
  </si>
  <si>
    <t>CHG-230</t>
  </si>
  <si>
    <t>CHG-231</t>
  </si>
  <si>
    <t>CHG-232</t>
  </si>
  <si>
    <t>CHG-233</t>
  </si>
  <si>
    <t>CHG-234</t>
  </si>
  <si>
    <t>CHG-235</t>
  </si>
  <si>
    <t>CHG-236</t>
  </si>
  <si>
    <t>CHG-237</t>
  </si>
  <si>
    <t>CHG-238</t>
  </si>
  <si>
    <t>CHG-239</t>
  </si>
  <si>
    <t>CHG-240</t>
  </si>
  <si>
    <t>CHG-241</t>
  </si>
  <si>
    <t>CHG-242</t>
  </si>
  <si>
    <t>CHG-243</t>
  </si>
  <si>
    <t>CHG-244</t>
  </si>
  <si>
    <t>CHG-245</t>
  </si>
  <si>
    <t>CHG-246</t>
  </si>
  <si>
    <t>CHG-247</t>
  </si>
  <si>
    <t>CHG-248</t>
  </si>
  <si>
    <t>CHG-249</t>
  </si>
  <si>
    <t>CHG-250</t>
  </si>
  <si>
    <t>CHG-251</t>
  </si>
  <si>
    <t>CHG-252</t>
  </si>
  <si>
    <t>CHG-253</t>
  </si>
  <si>
    <t>CHG-254</t>
  </si>
  <si>
    <t>CHG-255</t>
  </si>
  <si>
    <t>CHG-256</t>
  </si>
  <si>
    <t>CHG-257</t>
  </si>
  <si>
    <t>CHG-258</t>
  </si>
  <si>
    <t>CHG-259</t>
  </si>
  <si>
    <t>CHG-260</t>
  </si>
  <si>
    <t>CHG-261</t>
  </si>
  <si>
    <t>CHG-262</t>
  </si>
  <si>
    <t>CHG-263</t>
  </si>
  <si>
    <t>CHG-264</t>
  </si>
  <si>
    <t>CHG-265</t>
  </si>
  <si>
    <t>CHG-266</t>
  </si>
  <si>
    <t>CHG-267</t>
  </si>
  <si>
    <t>CHG-268</t>
  </si>
  <si>
    <t>CHG-269</t>
  </si>
  <si>
    <t>CHG-270</t>
  </si>
  <si>
    <t>CHG-271</t>
  </si>
  <si>
    <t>CHG-272</t>
  </si>
  <si>
    <t>CHG-273</t>
  </si>
  <si>
    <t>CHG-274</t>
  </si>
  <si>
    <t>CHG-275</t>
  </si>
  <si>
    <t>CHG-276</t>
  </si>
  <si>
    <t>CHG-277</t>
  </si>
  <si>
    <t>CHG-278</t>
  </si>
  <si>
    <t>CHG-279</t>
  </si>
  <si>
    <t>CHG-280</t>
  </si>
  <si>
    <t>CHG-281</t>
  </si>
  <si>
    <t>CHG-282</t>
  </si>
  <si>
    <t>CHG-283</t>
  </si>
  <si>
    <t>CHG-284</t>
  </si>
  <si>
    <t>CHG-285</t>
  </si>
  <si>
    <t>CHG-286</t>
  </si>
  <si>
    <t>CHG-287</t>
  </si>
  <si>
    <t>CHG-288</t>
  </si>
  <si>
    <t>CHG-289</t>
  </si>
  <si>
    <t>CHG-290</t>
  </si>
  <si>
    <t>CHG-291</t>
  </si>
  <si>
    <t>CHG-292</t>
  </si>
  <si>
    <t>CHG-293</t>
  </si>
  <si>
    <t>CHG-294</t>
  </si>
  <si>
    <t>CHG-295</t>
  </si>
  <si>
    <t>CHG-296</t>
  </si>
  <si>
    <t>CHG-297</t>
  </si>
  <si>
    <t>CHG-298</t>
  </si>
  <si>
    <t>CHG-299</t>
  </si>
  <si>
    <t>CHG-300</t>
  </si>
  <si>
    <t>CHG-301</t>
  </si>
  <si>
    <t>CHG-302</t>
  </si>
  <si>
    <t>CHG-303</t>
  </si>
  <si>
    <t>CHG-304</t>
  </si>
  <si>
    <t>CHG-305</t>
  </si>
  <si>
    <t>CHG-306</t>
  </si>
  <si>
    <t>CHG-307</t>
  </si>
  <si>
    <t>CHG-308</t>
  </si>
  <si>
    <t>CHG-309</t>
  </si>
  <si>
    <t>CHG-310</t>
  </si>
  <si>
    <t>CHG-311</t>
  </si>
  <si>
    <t>CHG-312</t>
  </si>
  <si>
    <t>CHG-313</t>
  </si>
  <si>
    <t>CHG-314</t>
  </si>
  <si>
    <t>CHG-315</t>
  </si>
  <si>
    <t>CHG-316</t>
  </si>
  <si>
    <t>CHG-317</t>
  </si>
  <si>
    <t>CHG-318</t>
  </si>
  <si>
    <t>CHG-319</t>
  </si>
  <si>
    <t>CHG-320</t>
  </si>
  <si>
    <t>CHG-321</t>
  </si>
  <si>
    <t>CHG-322</t>
  </si>
  <si>
    <t>CHG-323</t>
  </si>
  <si>
    <t>CHG-324</t>
  </si>
  <si>
    <t>CHG-325</t>
  </si>
  <si>
    <t>CHG-326</t>
  </si>
  <si>
    <t>CHG-327</t>
  </si>
  <si>
    <t>CHG-328</t>
  </si>
  <si>
    <t>CHG-329</t>
  </si>
  <si>
    <t>CHG-330</t>
  </si>
  <si>
    <t>CHG-331</t>
  </si>
  <si>
    <t>CHG-332</t>
  </si>
  <si>
    <t>CHG-333</t>
  </si>
  <si>
    <t>CHG-334</t>
  </si>
  <si>
    <t>CHG-335</t>
  </si>
  <si>
    <t>CHG-336</t>
  </si>
  <si>
    <t>CHG-337</t>
  </si>
  <si>
    <t>CHG-338</t>
  </si>
  <si>
    <t>CHG-339</t>
  </si>
  <si>
    <t>CHG-340</t>
  </si>
  <si>
    <t>CHG-341</t>
  </si>
  <si>
    <t>CHG-342</t>
  </si>
  <si>
    <t>CHG-343</t>
  </si>
  <si>
    <t>CHG-344</t>
  </si>
  <si>
    <t>CHG-345</t>
  </si>
  <si>
    <t>CHG-346</t>
  </si>
  <si>
    <t>CHG-347</t>
  </si>
  <si>
    <t>CHG-348</t>
  </si>
  <si>
    <t>CHG-349</t>
  </si>
  <si>
    <t>CHG-350</t>
  </si>
  <si>
    <t>CHG-351</t>
  </si>
  <si>
    <t>CHG-352</t>
  </si>
  <si>
    <t>CHG-353</t>
  </si>
  <si>
    <t>CHG-354</t>
  </si>
  <si>
    <t>CHG-355</t>
  </si>
  <si>
    <t>CHG-356</t>
  </si>
  <si>
    <t>CHG-357</t>
  </si>
  <si>
    <t>CHG-358</t>
  </si>
  <si>
    <t>CHG-359</t>
  </si>
  <si>
    <t>CHG-360</t>
  </si>
  <si>
    <t>CHG-361</t>
  </si>
  <si>
    <t>CHG-362</t>
  </si>
  <si>
    <t>CHG-363</t>
  </si>
  <si>
    <t>CHG-364</t>
  </si>
  <si>
    <t>CHG-365</t>
  </si>
  <si>
    <t>CHG-366</t>
  </si>
  <si>
    <t>CHG-367</t>
  </si>
  <si>
    <t>CHG-368</t>
  </si>
  <si>
    <t>CHG-369</t>
  </si>
  <si>
    <t>CHG-370</t>
  </si>
  <si>
    <t>CHG-371</t>
  </si>
  <si>
    <t>CHG-372</t>
  </si>
  <si>
    <t>CHG-373</t>
  </si>
  <si>
    <t>CHG-374</t>
  </si>
  <si>
    <t>CHG-375</t>
  </si>
  <si>
    <t>CHG-376</t>
  </si>
  <si>
    <t>CHG-377</t>
  </si>
  <si>
    <t>CHG-378</t>
  </si>
  <si>
    <t>CHG-379</t>
  </si>
  <si>
    <t>CHG-380</t>
  </si>
  <si>
    <t>CHG-381</t>
  </si>
  <si>
    <t>CHG-382</t>
  </si>
  <si>
    <t>CHG-383</t>
  </si>
  <si>
    <t>CHG-384</t>
  </si>
  <si>
    <t>CHG-385</t>
  </si>
  <si>
    <t>CHG-386</t>
  </si>
  <si>
    <t>CHG-387</t>
  </si>
  <si>
    <t>CHG-388</t>
  </si>
  <si>
    <t>CHG-389</t>
  </si>
  <si>
    <t>CHG-390</t>
  </si>
  <si>
    <t>CHG-391</t>
  </si>
  <si>
    <t>CHG-392</t>
  </si>
  <si>
    <t>CHG-393</t>
  </si>
  <si>
    <t>CHG-394</t>
  </si>
  <si>
    <t>CHG-395</t>
  </si>
  <si>
    <t>CHG-396</t>
  </si>
  <si>
    <t>CHG-397</t>
  </si>
  <si>
    <t>CHG-398</t>
  </si>
  <si>
    <t>CHG-399</t>
  </si>
  <si>
    <t>CHG-400</t>
  </si>
  <si>
    <t>CHG-401</t>
  </si>
  <si>
    <t>CHG-402</t>
  </si>
  <si>
    <t>CHG-403</t>
  </si>
  <si>
    <t>CHG-404</t>
  </si>
  <si>
    <t>CHG-405</t>
  </si>
  <si>
    <t>CHG-406</t>
  </si>
  <si>
    <t>CHG-407</t>
  </si>
  <si>
    <t>CHG-408</t>
  </si>
  <si>
    <t>CHG-409</t>
  </si>
  <si>
    <t>CHG-410</t>
  </si>
  <si>
    <t>CHG-411</t>
  </si>
  <si>
    <t>CHG-412</t>
  </si>
  <si>
    <t>CHG-413</t>
  </si>
  <si>
    <t>CHG-414</t>
  </si>
  <si>
    <t>CHG-415</t>
  </si>
  <si>
    <t>CHG-416</t>
  </si>
  <si>
    <t>CHG-417</t>
  </si>
  <si>
    <t>CHG-418</t>
  </si>
  <si>
    <t>CHG-419</t>
  </si>
  <si>
    <t>CHG-420</t>
  </si>
  <si>
    <t>CHG-421</t>
  </si>
  <si>
    <t>CHG-422</t>
  </si>
  <si>
    <t>CHG-423</t>
  </si>
  <si>
    <t>CHG-424</t>
  </si>
  <si>
    <t>CHG-425</t>
  </si>
  <si>
    <t>CHG-426</t>
  </si>
  <si>
    <t>CHG-427</t>
  </si>
  <si>
    <t>CHG-428</t>
  </si>
  <si>
    <t>CHG-429</t>
  </si>
  <si>
    <t>CHG-430</t>
  </si>
  <si>
    <t>CHG-431</t>
  </si>
  <si>
    <t>CHG-432</t>
  </si>
  <si>
    <t>CHG-433</t>
  </si>
  <si>
    <t>CHG-434</t>
  </si>
  <si>
    <t>CHG-435</t>
  </si>
  <si>
    <t>CHG-436</t>
  </si>
  <si>
    <t>CHG-437</t>
  </si>
  <si>
    <t>CHG-438</t>
  </si>
  <si>
    <t>CHG-439</t>
  </si>
  <si>
    <t>CHG-440</t>
  </si>
  <si>
    <t>CHG-441</t>
  </si>
  <si>
    <t>CHG-442</t>
  </si>
  <si>
    <t>CHG-443</t>
  </si>
  <si>
    <t>CHG-444</t>
  </si>
  <si>
    <t>CHG-445</t>
  </si>
  <si>
    <t>CHG-446</t>
  </si>
  <si>
    <t>CHG-447</t>
  </si>
  <si>
    <t>CHG-448</t>
  </si>
  <si>
    <t>CHG-449</t>
  </si>
  <si>
    <t>CHG-450</t>
  </si>
  <si>
    <t>CHG-451</t>
  </si>
  <si>
    <t>CHG-452</t>
  </si>
  <si>
    <t>CHG-453</t>
  </si>
  <si>
    <t>CHG-454</t>
  </si>
  <si>
    <t>CHG-455</t>
  </si>
  <si>
    <t>CHG-456</t>
  </si>
  <si>
    <t>CHG-457</t>
  </si>
  <si>
    <t>CHG-458</t>
  </si>
  <si>
    <t>CHG-459</t>
  </si>
  <si>
    <t>CHG-460</t>
  </si>
  <si>
    <t>CHG-461</t>
  </si>
  <si>
    <t>CHG-462</t>
  </si>
  <si>
    <t>CHG-463</t>
  </si>
  <si>
    <t>CHG-464</t>
  </si>
  <si>
    <t>CHG-465</t>
  </si>
  <si>
    <t>CHG-466</t>
  </si>
  <si>
    <t>CHG-467</t>
  </si>
  <si>
    <t>CHG-468</t>
  </si>
  <si>
    <t>CHG-469</t>
  </si>
  <si>
    <t>CHG-470</t>
  </si>
  <si>
    <t>CHG-471</t>
  </si>
  <si>
    <t>CHG-472</t>
  </si>
  <si>
    <t>CHG-473</t>
  </si>
  <si>
    <t>CHG-474</t>
  </si>
  <si>
    <t>CHG-475</t>
  </si>
  <si>
    <t>CHG-476</t>
  </si>
  <si>
    <t>CHG-477</t>
  </si>
  <si>
    <t>CHG-478</t>
  </si>
  <si>
    <t>CHG-479</t>
  </si>
  <si>
    <t>CHG-480</t>
  </si>
  <si>
    <t>CHG-481</t>
  </si>
  <si>
    <t>CHG-482</t>
  </si>
  <si>
    <t>CHG-483</t>
  </si>
  <si>
    <t>CHG-484</t>
  </si>
  <si>
    <t>CHG-485</t>
  </si>
  <si>
    <t>CHG-486</t>
  </si>
  <si>
    <t>CHG-487</t>
  </si>
  <si>
    <t>CHG-488</t>
  </si>
  <si>
    <t>CHG-489</t>
  </si>
  <si>
    <t>CHG-490</t>
  </si>
  <si>
    <t>CHG-491</t>
  </si>
  <si>
    <t>CHG-492</t>
  </si>
  <si>
    <t>CHG-493</t>
  </si>
  <si>
    <t>CHG-494</t>
  </si>
  <si>
    <t>CHG-495</t>
  </si>
  <si>
    <t>CHG-496</t>
  </si>
  <si>
    <t>CHG-497</t>
  </si>
  <si>
    <t>CHG-498</t>
  </si>
  <si>
    <t>CHG-499</t>
  </si>
  <si>
    <t>CHG-500</t>
  </si>
  <si>
    <t>CHG-501</t>
  </si>
  <si>
    <t>CHG-502</t>
  </si>
  <si>
    <t>CHG-503</t>
  </si>
  <si>
    <t>CHG-504</t>
  </si>
  <si>
    <t>CHG-506</t>
  </si>
  <si>
    <t>CHG-508</t>
  </si>
  <si>
    <t>CHG-509</t>
  </si>
  <si>
    <t>CHG-510</t>
  </si>
  <si>
    <t>CHG-511</t>
  </si>
  <si>
    <t>CHG-512</t>
  </si>
  <si>
    <t>CHG-513</t>
  </si>
  <si>
    <t>CHG-514</t>
  </si>
  <si>
    <t>CHG-515</t>
  </si>
  <si>
    <t>CHG-516</t>
  </si>
  <si>
    <t>CHG-517</t>
  </si>
  <si>
    <t>CHG-519</t>
  </si>
  <si>
    <t>CHG-520</t>
  </si>
  <si>
    <t>CHG-521</t>
  </si>
  <si>
    <t>CHG-522</t>
  </si>
  <si>
    <t>CHG-523</t>
  </si>
  <si>
    <t>CHG-524</t>
  </si>
  <si>
    <t>CHG-525</t>
  </si>
  <si>
    <t>CHG-526</t>
  </si>
  <si>
    <t>CHG-527</t>
  </si>
  <si>
    <t>CHG-529</t>
  </si>
  <si>
    <t>CHG-530</t>
  </si>
  <si>
    <t>CHG-532</t>
  </si>
  <si>
    <t>CHG-533</t>
  </si>
  <si>
    <t>CHG-534</t>
  </si>
  <si>
    <t>CHG-535</t>
  </si>
  <si>
    <t>CHG-536</t>
  </si>
  <si>
    <t>CHG-537</t>
  </si>
  <si>
    <t>CHG-538</t>
  </si>
  <si>
    <t>CHG-539</t>
  </si>
  <si>
    <t>CHG-540</t>
  </si>
  <si>
    <t>CHG-542</t>
  </si>
  <si>
    <t>CHG-543</t>
  </si>
  <si>
    <t>CHG-544</t>
  </si>
  <si>
    <t>CHG-545</t>
  </si>
  <si>
    <t>CHG-546</t>
  </si>
  <si>
    <t>CHG-547</t>
  </si>
  <si>
    <t>CHG-548</t>
  </si>
  <si>
    <t>CHG-549</t>
  </si>
  <si>
    <t>CHG-550</t>
  </si>
  <si>
    <t>CHG-552</t>
  </si>
  <si>
    <t>CHG-553</t>
  </si>
  <si>
    <t>CHG-554</t>
  </si>
  <si>
    <t>CHG-555</t>
  </si>
  <si>
    <t>CHG-556</t>
  </si>
  <si>
    <t>CHG-557</t>
  </si>
  <si>
    <t>CHG-558</t>
  </si>
  <si>
    <t>CHG-559</t>
  </si>
  <si>
    <t>CHG-560</t>
  </si>
  <si>
    <t>CHG-561</t>
  </si>
  <si>
    <t>CHG-562</t>
  </si>
  <si>
    <t>CHG-563</t>
  </si>
  <si>
    <t>CHG-564</t>
  </si>
  <si>
    <t>CHG-565</t>
  </si>
  <si>
    <t>CHG-566</t>
  </si>
  <si>
    <t>ClaimID</t>
  </si>
  <si>
    <t>InsuranceProvider</t>
  </si>
  <si>
    <t>AmountBilled</t>
  </si>
  <si>
    <t>AmountPaid</t>
  </si>
  <si>
    <t>Status</t>
  </si>
  <si>
    <t>CLM-1</t>
  </si>
  <si>
    <t>Aetna</t>
  </si>
  <si>
    <t>Paid</t>
  </si>
  <si>
    <t>CLM-2</t>
  </si>
  <si>
    <t>CLM-3</t>
  </si>
  <si>
    <t>CLM-4</t>
  </si>
  <si>
    <t>CLM-5</t>
  </si>
  <si>
    <t>CLM-6</t>
  </si>
  <si>
    <t>CLM-7</t>
  </si>
  <si>
    <t>CLM-8</t>
  </si>
  <si>
    <t>CLM-9</t>
  </si>
  <si>
    <t>CLM-10</t>
  </si>
  <si>
    <t>CLM-11</t>
  </si>
  <si>
    <t>CLM-12</t>
  </si>
  <si>
    <t>CLM-13</t>
  </si>
  <si>
    <t>CLM-14</t>
  </si>
  <si>
    <t>CLM-15</t>
  </si>
  <si>
    <t>CLM-16</t>
  </si>
  <si>
    <t>CLM-17</t>
  </si>
  <si>
    <t>CLM-18</t>
  </si>
  <si>
    <t>CLM-19</t>
  </si>
  <si>
    <t>CLM-20</t>
  </si>
  <si>
    <t>CLM-21</t>
  </si>
  <si>
    <t>CLM-22</t>
  </si>
  <si>
    <t>CLM-23</t>
  </si>
  <si>
    <t>CLM-24</t>
  </si>
  <si>
    <t>CLM-25</t>
  </si>
  <si>
    <t>CLM-26</t>
  </si>
  <si>
    <t>CLM-27</t>
  </si>
  <si>
    <t>CLM-28</t>
  </si>
  <si>
    <t>CLM-29</t>
  </si>
  <si>
    <t>CLM-30</t>
  </si>
  <si>
    <t>CLM-31</t>
  </si>
  <si>
    <t>CLM-32</t>
  </si>
  <si>
    <t>CLM-33</t>
  </si>
  <si>
    <t>CLM-34</t>
  </si>
  <si>
    <t>CLM-35</t>
  </si>
  <si>
    <t>CLM-36</t>
  </si>
  <si>
    <t>CLM-37</t>
  </si>
  <si>
    <t>CLM-38</t>
  </si>
  <si>
    <t>CLM-39</t>
  </si>
  <si>
    <t>CLM-40</t>
  </si>
  <si>
    <t>CLM-41</t>
  </si>
  <si>
    <t>CLM-42</t>
  </si>
  <si>
    <t>CLM-43</t>
  </si>
  <si>
    <t>CLM-44</t>
  </si>
  <si>
    <t>CLM-45</t>
  </si>
  <si>
    <t>CLM-46</t>
  </si>
  <si>
    <t>CLM-47</t>
  </si>
  <si>
    <t>CLM-48</t>
  </si>
  <si>
    <t>CLM-49</t>
  </si>
  <si>
    <t>CLM-50</t>
  </si>
  <si>
    <t>CLM-51</t>
  </si>
  <si>
    <t>CLM-52</t>
  </si>
  <si>
    <t>CLM-53</t>
  </si>
  <si>
    <t>CLM-54</t>
  </si>
  <si>
    <t>CLM-55</t>
  </si>
  <si>
    <t>CLM-56</t>
  </si>
  <si>
    <t>CLM-57</t>
  </si>
  <si>
    <t>CLM-58</t>
  </si>
  <si>
    <t>CLM-59</t>
  </si>
  <si>
    <t>CLM-60</t>
  </si>
  <si>
    <t>CLM-61</t>
  </si>
  <si>
    <t>CLM-62</t>
  </si>
  <si>
    <t>CLM-63</t>
  </si>
  <si>
    <t>CLM-64</t>
  </si>
  <si>
    <t>CLM-65</t>
  </si>
  <si>
    <t>CLM-66</t>
  </si>
  <si>
    <t>CLM-67</t>
  </si>
  <si>
    <t>CLM-68</t>
  </si>
  <si>
    <t>CLM-69</t>
  </si>
  <si>
    <t>CLM-70</t>
  </si>
  <si>
    <t>CLM-71</t>
  </si>
  <si>
    <t>CLM-72</t>
  </si>
  <si>
    <t>CLM-73</t>
  </si>
  <si>
    <t>CLM-74</t>
  </si>
  <si>
    <t>CLM-75</t>
  </si>
  <si>
    <t>CLM-76</t>
  </si>
  <si>
    <t>CLM-77</t>
  </si>
  <si>
    <t>CLM-78</t>
  </si>
  <si>
    <t>CLM-79</t>
  </si>
  <si>
    <t>CLM-80</t>
  </si>
  <si>
    <t>CLM-81</t>
  </si>
  <si>
    <t>CLM-82</t>
  </si>
  <si>
    <t>CLM-83</t>
  </si>
  <si>
    <t>CLM-84</t>
  </si>
  <si>
    <t>CLM-85</t>
  </si>
  <si>
    <t>CLM-86</t>
  </si>
  <si>
    <t>CLM-87</t>
  </si>
  <si>
    <t>CLM-88</t>
  </si>
  <si>
    <t>CLM-89</t>
  </si>
  <si>
    <t>CLM-90</t>
  </si>
  <si>
    <t>CLM-91</t>
  </si>
  <si>
    <t>CLM-92</t>
  </si>
  <si>
    <t>CLM-93</t>
  </si>
  <si>
    <t>CLM-94</t>
  </si>
  <si>
    <t>CLM-95</t>
  </si>
  <si>
    <t>CLM-96</t>
  </si>
  <si>
    <t>CLM-97</t>
  </si>
  <si>
    <t>CLM-98</t>
  </si>
  <si>
    <t>CLM-99</t>
  </si>
  <si>
    <t>CLM-100</t>
  </si>
  <si>
    <t>CLM-101</t>
  </si>
  <si>
    <t>CLM-102</t>
  </si>
  <si>
    <t>CLM-103</t>
  </si>
  <si>
    <t>CLM-104</t>
  </si>
  <si>
    <t>CLM-105</t>
  </si>
  <si>
    <t>CLM-106</t>
  </si>
  <si>
    <t>CLM-107</t>
  </si>
  <si>
    <t>CLM-108</t>
  </si>
  <si>
    <t>CLM-109</t>
  </si>
  <si>
    <t>CLM-110</t>
  </si>
  <si>
    <t>CLM-111</t>
  </si>
  <si>
    <t>CLM-112</t>
  </si>
  <si>
    <t>CLM-113</t>
  </si>
  <si>
    <t>CLM-114</t>
  </si>
  <si>
    <t>CLM-115</t>
  </si>
  <si>
    <t>CLM-116</t>
  </si>
  <si>
    <t>CLM-117</t>
  </si>
  <si>
    <t>CLM-118</t>
  </si>
  <si>
    <t>CLM-119</t>
  </si>
  <si>
    <t>CLM-120</t>
  </si>
  <si>
    <t>CLM-121</t>
  </si>
  <si>
    <t>CLM-122</t>
  </si>
  <si>
    <t>CLM-123</t>
  </si>
  <si>
    <t>CLM-124</t>
  </si>
  <si>
    <t>CLM-125</t>
  </si>
  <si>
    <t>CLM-126</t>
  </si>
  <si>
    <t>CLM-127</t>
  </si>
  <si>
    <t>CLM-128</t>
  </si>
  <si>
    <t>CLM-129</t>
  </si>
  <si>
    <t>CLM-130</t>
  </si>
  <si>
    <t>CLM-131</t>
  </si>
  <si>
    <t>CLM-132</t>
  </si>
  <si>
    <t>CLM-133</t>
  </si>
  <si>
    <t>CLM-134</t>
  </si>
  <si>
    <t>CLM-135</t>
  </si>
  <si>
    <t>CLM-136</t>
  </si>
  <si>
    <t>CLM-137</t>
  </si>
  <si>
    <t>CLM-138</t>
  </si>
  <si>
    <t>CLM-139</t>
  </si>
  <si>
    <t>CLM-140</t>
  </si>
  <si>
    <t>CLM-141</t>
  </si>
  <si>
    <t>CLM-142</t>
  </si>
  <si>
    <t>CLM-143</t>
  </si>
  <si>
    <t>CLM-144</t>
  </si>
  <si>
    <t>CLM-145</t>
  </si>
  <si>
    <t>CLM-146</t>
  </si>
  <si>
    <t>CLM-147</t>
  </si>
  <si>
    <t>CLM-148</t>
  </si>
  <si>
    <t>CLM-149</t>
  </si>
  <si>
    <t>CLM-150</t>
  </si>
  <si>
    <t>CLM-151</t>
  </si>
  <si>
    <t>CLM-152</t>
  </si>
  <si>
    <t>CLM-153</t>
  </si>
  <si>
    <t>CLM-154</t>
  </si>
  <si>
    <t>CLM-155</t>
  </si>
  <si>
    <t>CLM-156</t>
  </si>
  <si>
    <t>CLM-157</t>
  </si>
  <si>
    <t>CLM-158</t>
  </si>
  <si>
    <t>CLM-159</t>
  </si>
  <si>
    <t>CLM-160</t>
  </si>
  <si>
    <t>CLM-161</t>
  </si>
  <si>
    <t>CLM-162</t>
  </si>
  <si>
    <t>CLM-163</t>
  </si>
  <si>
    <t>CLM-164</t>
  </si>
  <si>
    <t>CLM-165</t>
  </si>
  <si>
    <t>CLM-166</t>
  </si>
  <si>
    <t>CLM-167</t>
  </si>
  <si>
    <t>CLM-168</t>
  </si>
  <si>
    <t>CLM-169</t>
  </si>
  <si>
    <t>CLM-170</t>
  </si>
  <si>
    <t>CLM-171</t>
  </si>
  <si>
    <t>CLM-172</t>
  </si>
  <si>
    <t>CLM-173</t>
  </si>
  <si>
    <t>CLM-174</t>
  </si>
  <si>
    <t>CLM-175</t>
  </si>
  <si>
    <t>CLM-176</t>
  </si>
  <si>
    <t>CLM-177</t>
  </si>
  <si>
    <t>CLM-178</t>
  </si>
  <si>
    <t>CLM-179</t>
  </si>
  <si>
    <t>CLM-180</t>
  </si>
  <si>
    <t>CLM-181</t>
  </si>
  <si>
    <t>CLM-182</t>
  </si>
  <si>
    <t>CLM-183</t>
  </si>
  <si>
    <t>CLM-184</t>
  </si>
  <si>
    <t>CLM-185</t>
  </si>
  <si>
    <t>CLM-186</t>
  </si>
  <si>
    <t>CLM-187</t>
  </si>
  <si>
    <t>CLM-188</t>
  </si>
  <si>
    <t>CLM-189</t>
  </si>
  <si>
    <t>CLM-190</t>
  </si>
  <si>
    <t>CLM-191</t>
  </si>
  <si>
    <t>CLM-192</t>
  </si>
  <si>
    <t>CLM-193</t>
  </si>
  <si>
    <t>CLM-194</t>
  </si>
  <si>
    <t>CLM-195</t>
  </si>
  <si>
    <t>CLM-196</t>
  </si>
  <si>
    <t>CLM-197</t>
  </si>
  <si>
    <t>CLM-198</t>
  </si>
  <si>
    <t>CLM-199</t>
  </si>
  <si>
    <t>CLM-200</t>
  </si>
  <si>
    <t>CLM-201</t>
  </si>
  <si>
    <t>CLM-202</t>
  </si>
  <si>
    <t>CLM-203</t>
  </si>
  <si>
    <t>CLM-204</t>
  </si>
  <si>
    <t>CLM-205</t>
  </si>
  <si>
    <t>CLM-206</t>
  </si>
  <si>
    <t>CLM-207</t>
  </si>
  <si>
    <t>CLM-208</t>
  </si>
  <si>
    <t>CLM-209</t>
  </si>
  <si>
    <t>CLM-210</t>
  </si>
  <si>
    <t>CLM-211</t>
  </si>
  <si>
    <t>CLM-212</t>
  </si>
  <si>
    <t>CLM-213</t>
  </si>
  <si>
    <t>CLM-214</t>
  </si>
  <si>
    <t>CLM-215</t>
  </si>
  <si>
    <t>CLM-216</t>
  </si>
  <si>
    <t>CLM-217</t>
  </si>
  <si>
    <t>CLM-218</t>
  </si>
  <si>
    <t>CLM-219</t>
  </si>
  <si>
    <t>CLM-220</t>
  </si>
  <si>
    <t>CLM-221</t>
  </si>
  <si>
    <t>CLM-222</t>
  </si>
  <si>
    <t>CLM-223</t>
  </si>
  <si>
    <t>CLM-224</t>
  </si>
  <si>
    <t>CLM-225</t>
  </si>
  <si>
    <t>CLM-226</t>
  </si>
  <si>
    <t>CLM-227</t>
  </si>
  <si>
    <t>CLM-228</t>
  </si>
  <si>
    <t>CLM-229</t>
  </si>
  <si>
    <t>CLM-230</t>
  </si>
  <si>
    <t>CLM-231</t>
  </si>
  <si>
    <t>CLM-232</t>
  </si>
  <si>
    <t>CLM-233</t>
  </si>
  <si>
    <t>CLM-234</t>
  </si>
  <si>
    <t>CLM-235</t>
  </si>
  <si>
    <t>CLM-236</t>
  </si>
  <si>
    <t>CLM-237</t>
  </si>
  <si>
    <t>CLM-238</t>
  </si>
  <si>
    <t>CLM-239</t>
  </si>
  <si>
    <t>CLM-240</t>
  </si>
  <si>
    <t>CLM-241</t>
  </si>
  <si>
    <t>CLM-242</t>
  </si>
  <si>
    <t>CLM-243</t>
  </si>
  <si>
    <t>CLM-244</t>
  </si>
  <si>
    <t>CLM-245</t>
  </si>
  <si>
    <t>CLM-246</t>
  </si>
  <si>
    <t>CLM-247</t>
  </si>
  <si>
    <t>CLM-248</t>
  </si>
  <si>
    <t>CLM-249</t>
  </si>
  <si>
    <t>CLM-250</t>
  </si>
  <si>
    <t>CLM-251</t>
  </si>
  <si>
    <t>CLM-252</t>
  </si>
  <si>
    <t>CLM-253</t>
  </si>
  <si>
    <t>CLM-254</t>
  </si>
  <si>
    <t>CLM-255</t>
  </si>
  <si>
    <t>CLM-256</t>
  </si>
  <si>
    <t>CLM-257</t>
  </si>
  <si>
    <t>CLM-258</t>
  </si>
  <si>
    <t>CLM-259</t>
  </si>
  <si>
    <t>CLM-260</t>
  </si>
  <si>
    <t>CLM-261</t>
  </si>
  <si>
    <t>CLM-262</t>
  </si>
  <si>
    <t>CLM-263</t>
  </si>
  <si>
    <t>CLM-264</t>
  </si>
  <si>
    <t>CLM-265</t>
  </si>
  <si>
    <t>CLM-266</t>
  </si>
  <si>
    <t>CLM-267</t>
  </si>
  <si>
    <t>CLM-268</t>
  </si>
  <si>
    <t>CLM-269</t>
  </si>
  <si>
    <t>CLM-270</t>
  </si>
  <si>
    <t>CLM-271</t>
  </si>
  <si>
    <t>CLM-272</t>
  </si>
  <si>
    <t>CLM-273</t>
  </si>
  <si>
    <t>CLM-274</t>
  </si>
  <si>
    <t>CLM-275</t>
  </si>
  <si>
    <t>CLM-276</t>
  </si>
  <si>
    <t>CLM-277</t>
  </si>
  <si>
    <t>CLM-278</t>
  </si>
  <si>
    <t>CLM-279</t>
  </si>
  <si>
    <t>CLM-280</t>
  </si>
  <si>
    <t>CLM-281</t>
  </si>
  <si>
    <t>CLM-282</t>
  </si>
  <si>
    <t>CLM-283</t>
  </si>
  <si>
    <t>CLM-284</t>
  </si>
  <si>
    <t>CLM-285</t>
  </si>
  <si>
    <t>CLM-286</t>
  </si>
  <si>
    <t>CLM-287</t>
  </si>
  <si>
    <t>CLM-288</t>
  </si>
  <si>
    <t>CLM-289</t>
  </si>
  <si>
    <t>CLM-290</t>
  </si>
  <si>
    <t>CLM-291</t>
  </si>
  <si>
    <t>CLM-292</t>
  </si>
  <si>
    <t>CLM-293</t>
  </si>
  <si>
    <t>CLM-294</t>
  </si>
  <si>
    <t>CLM-295</t>
  </si>
  <si>
    <t>CLM-296</t>
  </si>
  <si>
    <t>CLM-297</t>
  </si>
  <si>
    <t>CLM-298</t>
  </si>
  <si>
    <t>CLM-299</t>
  </si>
  <si>
    <t>CLM-300</t>
  </si>
  <si>
    <t>CLM-301</t>
  </si>
  <si>
    <t>CLM-302</t>
  </si>
  <si>
    <t>CLM-303</t>
  </si>
  <si>
    <t>CLM-304</t>
  </si>
  <si>
    <t>CLM-305</t>
  </si>
  <si>
    <t>CLM-306</t>
  </si>
  <si>
    <t>CLM-307</t>
  </si>
  <si>
    <t>CLM-308</t>
  </si>
  <si>
    <t>CLM-309</t>
  </si>
  <si>
    <t>CLM-310</t>
  </si>
  <si>
    <t>CLM-311</t>
  </si>
  <si>
    <t>CLM-312</t>
  </si>
  <si>
    <t>CLM-313</t>
  </si>
  <si>
    <t>CLM-314</t>
  </si>
  <si>
    <t>CLM-315</t>
  </si>
  <si>
    <t>CLM-316</t>
  </si>
  <si>
    <t>CLM-317</t>
  </si>
  <si>
    <t>CLM-318</t>
  </si>
  <si>
    <t>CLM-319</t>
  </si>
  <si>
    <t>CLM-320</t>
  </si>
  <si>
    <t>CLM-321</t>
  </si>
  <si>
    <t>CLM-322</t>
  </si>
  <si>
    <t>CLM-323</t>
  </si>
  <si>
    <t>CLM-324</t>
  </si>
  <si>
    <t>CLM-325</t>
  </si>
  <si>
    <t>CLM-326</t>
  </si>
  <si>
    <t>CLM-327</t>
  </si>
  <si>
    <t>CLM-328</t>
  </si>
  <si>
    <t>CLM-329</t>
  </si>
  <si>
    <t>CLM-330</t>
  </si>
  <si>
    <t>CLM-331</t>
  </si>
  <si>
    <t>CLM-332</t>
  </si>
  <si>
    <t>CLM-333</t>
  </si>
  <si>
    <t>CLM-334</t>
  </si>
  <si>
    <t>CLM-335</t>
  </si>
  <si>
    <t>CLM-336</t>
  </si>
  <si>
    <t>CLM-337</t>
  </si>
  <si>
    <t>CLM-338</t>
  </si>
  <si>
    <t>CLM-339</t>
  </si>
  <si>
    <t>CLM-340</t>
  </si>
  <si>
    <t>CLM-341</t>
  </si>
  <si>
    <t>CLM-342</t>
  </si>
  <si>
    <t>CLM-343</t>
  </si>
  <si>
    <t>CLM-344</t>
  </si>
  <si>
    <t>CLM-345</t>
  </si>
  <si>
    <t>CLM-346</t>
  </si>
  <si>
    <t>CLM-347</t>
  </si>
  <si>
    <t>CLM-348</t>
  </si>
  <si>
    <t>CLM-349</t>
  </si>
  <si>
    <t>CLM-350</t>
  </si>
  <si>
    <t>CLM-351</t>
  </si>
  <si>
    <t>CLM-352</t>
  </si>
  <si>
    <t>CLM-353</t>
  </si>
  <si>
    <t>CLM-354</t>
  </si>
  <si>
    <t>CLM-355</t>
  </si>
  <si>
    <t>CLM-356</t>
  </si>
  <si>
    <t>CLM-357</t>
  </si>
  <si>
    <t>CLM-358</t>
  </si>
  <si>
    <t>CLM-359</t>
  </si>
  <si>
    <t>CLM-360</t>
  </si>
  <si>
    <t>CLM-361</t>
  </si>
  <si>
    <t>CLM-362</t>
  </si>
  <si>
    <t>CLM-363</t>
  </si>
  <si>
    <t>CLM-364</t>
  </si>
  <si>
    <t>CLM-365</t>
  </si>
  <si>
    <t>CLM-366</t>
  </si>
  <si>
    <t>CLM-367</t>
  </si>
  <si>
    <t>CLM-368</t>
  </si>
  <si>
    <t>CLM-369</t>
  </si>
  <si>
    <t>CLM-370</t>
  </si>
  <si>
    <t>CLM-371</t>
  </si>
  <si>
    <t>CLM-372</t>
  </si>
  <si>
    <t>CLM-373</t>
  </si>
  <si>
    <t>CLM-374</t>
  </si>
  <si>
    <t>CLM-375</t>
  </si>
  <si>
    <t>CLM-376</t>
  </si>
  <si>
    <t>CLM-377</t>
  </si>
  <si>
    <t>CLM-378</t>
  </si>
  <si>
    <t>CLM-379</t>
  </si>
  <si>
    <t>CLM-380</t>
  </si>
  <si>
    <t>CLM-381</t>
  </si>
  <si>
    <t>CLM-382</t>
  </si>
  <si>
    <t>CLM-383</t>
  </si>
  <si>
    <t>CLM-384</t>
  </si>
  <si>
    <t>CLM-385</t>
  </si>
  <si>
    <t>CLM-386</t>
  </si>
  <si>
    <t>CLM-387</t>
  </si>
  <si>
    <t>CLM-388</t>
  </si>
  <si>
    <t>CLM-389</t>
  </si>
  <si>
    <t>CLM-390</t>
  </si>
  <si>
    <t>CLM-391</t>
  </si>
  <si>
    <t>CLM-392</t>
  </si>
  <si>
    <t>CLM-393</t>
  </si>
  <si>
    <t>CLM-394</t>
  </si>
  <si>
    <t>CLM-395</t>
  </si>
  <si>
    <t>CLM-396</t>
  </si>
  <si>
    <t>CLM-397</t>
  </si>
  <si>
    <t>CLM-398</t>
  </si>
  <si>
    <t>CLM-399</t>
  </si>
  <si>
    <t>CLM-400</t>
  </si>
  <si>
    <t>CLM-401</t>
  </si>
  <si>
    <t>CLM-402</t>
  </si>
  <si>
    <t>CLM-403</t>
  </si>
  <si>
    <t>CLM-404</t>
  </si>
  <si>
    <t>CLM-405</t>
  </si>
  <si>
    <t>CLM-406</t>
  </si>
  <si>
    <t>CLM-407</t>
  </si>
  <si>
    <t>CLM-408</t>
  </si>
  <si>
    <t>CLM-409</t>
  </si>
  <si>
    <t>CLM-410</t>
  </si>
  <si>
    <t>CLM-411</t>
  </si>
  <si>
    <t>CLM-412</t>
  </si>
  <si>
    <t>CLM-413</t>
  </si>
  <si>
    <t>CLM-414</t>
  </si>
  <si>
    <t>CLM-415</t>
  </si>
  <si>
    <t>CLM-416</t>
  </si>
  <si>
    <t>CLM-417</t>
  </si>
  <si>
    <t>CLM-418</t>
  </si>
  <si>
    <t>CLM-419</t>
  </si>
  <si>
    <t>CLM-420</t>
  </si>
  <si>
    <t>CLM-421</t>
  </si>
  <si>
    <t>CLM-422</t>
  </si>
  <si>
    <t>CLM-423</t>
  </si>
  <si>
    <t>CLM-424</t>
  </si>
  <si>
    <t>CLM-425</t>
  </si>
  <si>
    <t>CLM-426</t>
  </si>
  <si>
    <t>CLM-427</t>
  </si>
  <si>
    <t>CLM-428</t>
  </si>
  <si>
    <t>CLM-429</t>
  </si>
  <si>
    <t>CLM-430</t>
  </si>
  <si>
    <t>CLM-431</t>
  </si>
  <si>
    <t>CLM-432</t>
  </si>
  <si>
    <t>CLM-433</t>
  </si>
  <si>
    <t>CLM-434</t>
  </si>
  <si>
    <t>CLM-435</t>
  </si>
  <si>
    <t>CLM-436</t>
  </si>
  <si>
    <t>CLM-437</t>
  </si>
  <si>
    <t>CLM-438</t>
  </si>
  <si>
    <t>CLM-439</t>
  </si>
  <si>
    <t>CLM-440</t>
  </si>
  <si>
    <t>CLM-441</t>
  </si>
  <si>
    <t>CLM-442</t>
  </si>
  <si>
    <t>CLM-443</t>
  </si>
  <si>
    <t>CLM-444</t>
  </si>
  <si>
    <t>CLM-445</t>
  </si>
  <si>
    <t>CLM-446</t>
  </si>
  <si>
    <t>CLM-447</t>
  </si>
  <si>
    <t>CLM-448</t>
  </si>
  <si>
    <t>CLM-449</t>
  </si>
  <si>
    <t>CLM-450</t>
  </si>
  <si>
    <t>CLM-451</t>
  </si>
  <si>
    <t>CLM-452</t>
  </si>
  <si>
    <t>CLM-453</t>
  </si>
  <si>
    <t>CLM-454</t>
  </si>
  <si>
    <t>CLM-455</t>
  </si>
  <si>
    <t>CLM-456</t>
  </si>
  <si>
    <t>CLM-457</t>
  </si>
  <si>
    <t>CLM-458</t>
  </si>
  <si>
    <t>CLM-459</t>
  </si>
  <si>
    <t>CLM-460</t>
  </si>
  <si>
    <t>CLM-461</t>
  </si>
  <si>
    <t>CLM-462</t>
  </si>
  <si>
    <t>CLM-463</t>
  </si>
  <si>
    <t>CLM-464</t>
  </si>
  <si>
    <t>CLM-465</t>
  </si>
  <si>
    <t>CLM-466</t>
  </si>
  <si>
    <t>CLM-467</t>
  </si>
  <si>
    <t>CLM-468</t>
  </si>
  <si>
    <t>CLM-469</t>
  </si>
  <si>
    <t>CLM-470</t>
  </si>
  <si>
    <t>CLM-471</t>
  </si>
  <si>
    <t>CLM-472</t>
  </si>
  <si>
    <t>CLM-473</t>
  </si>
  <si>
    <t>CLM-474</t>
  </si>
  <si>
    <t>CLM-475</t>
  </si>
  <si>
    <t>CLM-476</t>
  </si>
  <si>
    <t>CLM-477</t>
  </si>
  <si>
    <t>CLM-478</t>
  </si>
  <si>
    <t>CLM-479</t>
  </si>
  <si>
    <t>CLM-480</t>
  </si>
  <si>
    <t>CLM-481</t>
  </si>
  <si>
    <t>CLM-482</t>
  </si>
  <si>
    <t>CLM-483</t>
  </si>
  <si>
    <t>CLM-484</t>
  </si>
  <si>
    <t>CLM-485</t>
  </si>
  <si>
    <t>CLM-486</t>
  </si>
  <si>
    <t>CLM-487</t>
  </si>
  <si>
    <t>CLM-488</t>
  </si>
  <si>
    <t>CLM-489</t>
  </si>
  <si>
    <t>CLM-490</t>
  </si>
  <si>
    <t>CLM-491</t>
  </si>
  <si>
    <t>CLM-492</t>
  </si>
  <si>
    <t>CLM-493</t>
  </si>
  <si>
    <t>CLM-494</t>
  </si>
  <si>
    <t>CLM-495</t>
  </si>
  <si>
    <t>CLM-496</t>
  </si>
  <si>
    <t>CLM-497</t>
  </si>
  <si>
    <t>CLM-498</t>
  </si>
  <si>
    <t>CLM-499</t>
  </si>
  <si>
    <t>CLM-500</t>
  </si>
  <si>
    <t>Specialty</t>
  </si>
  <si>
    <t>Dr. Patricia Singh</t>
  </si>
  <si>
    <t>Cardiology</t>
  </si>
  <si>
    <t>Dr. Michael Patel</t>
  </si>
  <si>
    <t>General Practice</t>
  </si>
  <si>
    <t>Dr. Mary Williams</t>
  </si>
  <si>
    <t>Dr. Aarav Brown</t>
  </si>
  <si>
    <t>Pediatrics</t>
  </si>
  <si>
    <t>Dr. John Singh</t>
  </si>
  <si>
    <t>Oncology</t>
  </si>
  <si>
    <t>Dr. Mary Patel</t>
  </si>
  <si>
    <t>Dr. Jennifer Jones</t>
  </si>
  <si>
    <t>Dermatology</t>
  </si>
  <si>
    <t>Dr. James Brown</t>
  </si>
  <si>
    <t>Gastroenterology</t>
  </si>
  <si>
    <t>Dr. John Garcia</t>
  </si>
  <si>
    <t>Dr. Mary Smith</t>
  </si>
  <si>
    <t>Dr. Jennifer Brown</t>
  </si>
  <si>
    <t>Dr. Mary Jones</t>
  </si>
  <si>
    <t>Dr. Robert Smith</t>
  </si>
  <si>
    <t>Dr. Patricia Patel</t>
  </si>
  <si>
    <t>Dr. Aarav Garcia</t>
  </si>
  <si>
    <t>Dr. Aarav Singh</t>
  </si>
  <si>
    <t>Dr. Michael Garcia</t>
  </si>
  <si>
    <t>Dr. Jennifer Johnson</t>
  </si>
  <si>
    <t>Neurology</t>
  </si>
  <si>
    <t>Dr. James Williams</t>
  </si>
  <si>
    <t>Dr. John Brown</t>
  </si>
  <si>
    <t>Dr. Priya Williams</t>
  </si>
  <si>
    <t>Dr. Mary Singh</t>
  </si>
  <si>
    <t>Dr. Patricia Johnson</t>
  </si>
  <si>
    <t>Dr. Linda Patel</t>
  </si>
  <si>
    <t>Dr. Robert Jones</t>
  </si>
  <si>
    <t>Dr. Priya Garcia</t>
  </si>
  <si>
    <t>PrescriptionID</t>
  </si>
  <si>
    <t>MedicationID</t>
  </si>
  <si>
    <t>PharmacyID</t>
  </si>
  <si>
    <t>DatePrescribed</t>
  </si>
  <si>
    <t>Quantity</t>
  </si>
  <si>
    <t>Refills</t>
  </si>
  <si>
    <t>RX-1</t>
  </si>
  <si>
    <t>MED01</t>
  </si>
  <si>
    <t>PHARM-04</t>
  </si>
  <si>
    <t>RX-2</t>
  </si>
  <si>
    <t>MED03</t>
  </si>
  <si>
    <t>PHARM-01</t>
  </si>
  <si>
    <t>RX-3</t>
  </si>
  <si>
    <t>PHARM-02</t>
  </si>
  <si>
    <t>RX-4</t>
  </si>
  <si>
    <t>MED02</t>
  </si>
  <si>
    <t>PHARM-03</t>
  </si>
  <si>
    <t>RX-5</t>
  </si>
  <si>
    <t>RX-6</t>
  </si>
  <si>
    <t>RX-7</t>
  </si>
  <si>
    <t>MED04</t>
  </si>
  <si>
    <t>RX-8</t>
  </si>
  <si>
    <t>RX-9</t>
  </si>
  <si>
    <t>RX-10</t>
  </si>
  <si>
    <t>RX-11</t>
  </si>
  <si>
    <t>RX-12</t>
  </si>
  <si>
    <t>RX-13</t>
  </si>
  <si>
    <t>RX-14</t>
  </si>
  <si>
    <t>RX-15</t>
  </si>
  <si>
    <t>RX-16</t>
  </si>
  <si>
    <t>RX-17</t>
  </si>
  <si>
    <t>RX-18</t>
  </si>
  <si>
    <t>RX-19</t>
  </si>
  <si>
    <t>RX-20</t>
  </si>
  <si>
    <t>RX-21</t>
  </si>
  <si>
    <t>RX-22</t>
  </si>
  <si>
    <t>RX-23</t>
  </si>
  <si>
    <t>RX-24</t>
  </si>
  <si>
    <t>RX-25</t>
  </si>
  <si>
    <t>RX-26</t>
  </si>
  <si>
    <t>RX-27</t>
  </si>
  <si>
    <t>RX-28</t>
  </si>
  <si>
    <t>RX-29</t>
  </si>
  <si>
    <t>RX-30</t>
  </si>
  <si>
    <t>RX-31</t>
  </si>
  <si>
    <t>RX-32</t>
  </si>
  <si>
    <t>RX-33</t>
  </si>
  <si>
    <t>RX-34</t>
  </si>
  <si>
    <t>RX-35</t>
  </si>
  <si>
    <t>RX-36</t>
  </si>
  <si>
    <t>RX-37</t>
  </si>
  <si>
    <t>RX-38</t>
  </si>
  <si>
    <t>RX-39</t>
  </si>
  <si>
    <t>RX-40</t>
  </si>
  <si>
    <t>RX-41</t>
  </si>
  <si>
    <t>RX-42</t>
  </si>
  <si>
    <t>RX-43</t>
  </si>
  <si>
    <t>RX-44</t>
  </si>
  <si>
    <t>RX-45</t>
  </si>
  <si>
    <t>RX-46</t>
  </si>
  <si>
    <t>RX-47</t>
  </si>
  <si>
    <t>RX-48</t>
  </si>
  <si>
    <t>RX-49</t>
  </si>
  <si>
    <t>RX-50</t>
  </si>
  <si>
    <t>RX-51</t>
  </si>
  <si>
    <t>RX-52</t>
  </si>
  <si>
    <t>RX-53</t>
  </si>
  <si>
    <t>RX-54</t>
  </si>
  <si>
    <t>RX-55</t>
  </si>
  <si>
    <t>RX-56</t>
  </si>
  <si>
    <t>RX-57</t>
  </si>
  <si>
    <t>RX-58</t>
  </si>
  <si>
    <t>RX-59</t>
  </si>
  <si>
    <t>RX-60</t>
  </si>
  <si>
    <t>RX-61</t>
  </si>
  <si>
    <t>RX-62</t>
  </si>
  <si>
    <t>RX-63</t>
  </si>
  <si>
    <t>RX-64</t>
  </si>
  <si>
    <t>RX-65</t>
  </si>
  <si>
    <t>RX-66</t>
  </si>
  <si>
    <t>RX-67</t>
  </si>
  <si>
    <t>RX-68</t>
  </si>
  <si>
    <t>RX-69</t>
  </si>
  <si>
    <t>RX-70</t>
  </si>
  <si>
    <t>RX-71</t>
  </si>
  <si>
    <t>RX-72</t>
  </si>
  <si>
    <t>RX-73</t>
  </si>
  <si>
    <t>RX-74</t>
  </si>
  <si>
    <t>RX-75</t>
  </si>
  <si>
    <t>RX-76</t>
  </si>
  <si>
    <t>RX-77</t>
  </si>
  <si>
    <t>RX-78</t>
  </si>
  <si>
    <t>RX-79</t>
  </si>
  <si>
    <t>RX-80</t>
  </si>
  <si>
    <t>RX-81</t>
  </si>
  <si>
    <t>RX-82</t>
  </si>
  <si>
    <t>RX-83</t>
  </si>
  <si>
    <t>RX-84</t>
  </si>
  <si>
    <t>RX-85</t>
  </si>
  <si>
    <t>RX-86</t>
  </si>
  <si>
    <t>RX-87</t>
  </si>
  <si>
    <t>RX-88</t>
  </si>
  <si>
    <t>RX-89</t>
  </si>
  <si>
    <t>RX-90</t>
  </si>
  <si>
    <t>RX-91</t>
  </si>
  <si>
    <t>RX-92</t>
  </si>
  <si>
    <t>RX-93</t>
  </si>
  <si>
    <t>RX-94</t>
  </si>
  <si>
    <t>RX-95</t>
  </si>
  <si>
    <t>RX-96</t>
  </si>
  <si>
    <t>RX-97</t>
  </si>
  <si>
    <t>RX-98</t>
  </si>
  <si>
    <t>RX-99</t>
  </si>
  <si>
    <t>RX-100</t>
  </si>
  <si>
    <t>RX-101</t>
  </si>
  <si>
    <t>RX-102</t>
  </si>
  <si>
    <t>RX-103</t>
  </si>
  <si>
    <t>RX-104</t>
  </si>
  <si>
    <t>RX-105</t>
  </si>
  <si>
    <t>RX-106</t>
  </si>
  <si>
    <t>RX-107</t>
  </si>
  <si>
    <t>RX-108</t>
  </si>
  <si>
    <t>RX-109</t>
  </si>
  <si>
    <t>RX-110</t>
  </si>
  <si>
    <t>RX-111</t>
  </si>
  <si>
    <t>RX-112</t>
  </si>
  <si>
    <t>RX-113</t>
  </si>
  <si>
    <t>RX-114</t>
  </si>
  <si>
    <t>RX-115</t>
  </si>
  <si>
    <t>RX-116</t>
  </si>
  <si>
    <t>RX-117</t>
  </si>
  <si>
    <t>RX-118</t>
  </si>
  <si>
    <t>RX-119</t>
  </si>
  <si>
    <t>RX-120</t>
  </si>
  <si>
    <t>RX-121</t>
  </si>
  <si>
    <t>RX-122</t>
  </si>
  <si>
    <t>RX-123</t>
  </si>
  <si>
    <t>RX-124</t>
  </si>
  <si>
    <t>RX-125</t>
  </si>
  <si>
    <t>RX-126</t>
  </si>
  <si>
    <t>RX-127</t>
  </si>
  <si>
    <t>RX-128</t>
  </si>
  <si>
    <t>RX-129</t>
  </si>
  <si>
    <t>RX-130</t>
  </si>
  <si>
    <t>RX-131</t>
  </si>
  <si>
    <t>RX-132</t>
  </si>
  <si>
    <t>RX-133</t>
  </si>
  <si>
    <t>RX-134</t>
  </si>
  <si>
    <t>RX-135</t>
  </si>
  <si>
    <t>RX-136</t>
  </si>
  <si>
    <t>RX-137</t>
  </si>
  <si>
    <t>RX-138</t>
  </si>
  <si>
    <t>RX-139</t>
  </si>
  <si>
    <t>RX-140</t>
  </si>
  <si>
    <t>RX-141</t>
  </si>
  <si>
    <t>RX-142</t>
  </si>
  <si>
    <t>RX-143</t>
  </si>
  <si>
    <t>RX-144</t>
  </si>
  <si>
    <t>RX-145</t>
  </si>
  <si>
    <t>RX-146</t>
  </si>
  <si>
    <t>RX-147</t>
  </si>
  <si>
    <t>RX-148</t>
  </si>
  <si>
    <t>RX-149</t>
  </si>
  <si>
    <t>RX-150</t>
  </si>
  <si>
    <t>RX-151</t>
  </si>
  <si>
    <t>RX-152</t>
  </si>
  <si>
    <t>RX-153</t>
  </si>
  <si>
    <t>RX-154</t>
  </si>
  <si>
    <t>RX-155</t>
  </si>
  <si>
    <t>RX-156</t>
  </si>
  <si>
    <t>RX-157</t>
  </si>
  <si>
    <t>RX-158</t>
  </si>
  <si>
    <t>RX-159</t>
  </si>
  <si>
    <t>RX-160</t>
  </si>
  <si>
    <t>RX-161</t>
  </si>
  <si>
    <t>RX-162</t>
  </si>
  <si>
    <t>RX-163</t>
  </si>
  <si>
    <t>RX-164</t>
  </si>
  <si>
    <t>RX-165</t>
  </si>
  <si>
    <t>RX-166</t>
  </si>
  <si>
    <t>RX-167</t>
  </si>
  <si>
    <t>RX-168</t>
  </si>
  <si>
    <t>RX-169</t>
  </si>
  <si>
    <t>RX-170</t>
  </si>
  <si>
    <t>RX-171</t>
  </si>
  <si>
    <t>RX-172</t>
  </si>
  <si>
    <t>RX-173</t>
  </si>
  <si>
    <t>RX-174</t>
  </si>
  <si>
    <t>RX-175</t>
  </si>
  <si>
    <t>RX-176</t>
  </si>
  <si>
    <t>RX-177</t>
  </si>
  <si>
    <t>RX-178</t>
  </si>
  <si>
    <t>RX-179</t>
  </si>
  <si>
    <t>RX-180</t>
  </si>
  <si>
    <t>RX-181</t>
  </si>
  <si>
    <t>RX-182</t>
  </si>
  <si>
    <t>RX-183</t>
  </si>
  <si>
    <t>RX-184</t>
  </si>
  <si>
    <t>RX-185</t>
  </si>
  <si>
    <t>RX-186</t>
  </si>
  <si>
    <t>RX-187</t>
  </si>
  <si>
    <t>RX-188</t>
  </si>
  <si>
    <t>RX-189</t>
  </si>
  <si>
    <t>RX-190</t>
  </si>
  <si>
    <t>RX-191</t>
  </si>
  <si>
    <t>RX-192</t>
  </si>
  <si>
    <t>RX-193</t>
  </si>
  <si>
    <t>RX-194</t>
  </si>
  <si>
    <t>RX-195</t>
  </si>
  <si>
    <t>RX-196</t>
  </si>
  <si>
    <t>RX-197</t>
  </si>
  <si>
    <t>RX-198</t>
  </si>
  <si>
    <t>RX-199</t>
  </si>
  <si>
    <t>RX-200</t>
  </si>
  <si>
    <t>RX-201</t>
  </si>
  <si>
    <t>RX-202</t>
  </si>
  <si>
    <t>RX-203</t>
  </si>
  <si>
    <t>RX-204</t>
  </si>
  <si>
    <t>RX-205</t>
  </si>
  <si>
    <t>RX-206</t>
  </si>
  <si>
    <t>RX-207</t>
  </si>
  <si>
    <t>RX-208</t>
  </si>
  <si>
    <t>RX-209</t>
  </si>
  <si>
    <t>RX-210</t>
  </si>
  <si>
    <t>RX-211</t>
  </si>
  <si>
    <t>RX-212</t>
  </si>
  <si>
    <t>RX-213</t>
  </si>
  <si>
    <t>RX-214</t>
  </si>
  <si>
    <t>RX-215</t>
  </si>
  <si>
    <t>RX-216</t>
  </si>
  <si>
    <t>RX-217</t>
  </si>
  <si>
    <t>RX-218</t>
  </si>
  <si>
    <t>RX-219</t>
  </si>
  <si>
    <t>RX-220</t>
  </si>
  <si>
    <t>RX-221</t>
  </si>
  <si>
    <t>RX-222</t>
  </si>
  <si>
    <t>RX-223</t>
  </si>
  <si>
    <t>RX-224</t>
  </si>
  <si>
    <t>RX-225</t>
  </si>
  <si>
    <t>RX-226</t>
  </si>
  <si>
    <t>RX-227</t>
  </si>
  <si>
    <t>RX-228</t>
  </si>
  <si>
    <t>RX-229</t>
  </si>
  <si>
    <t>RX-230</t>
  </si>
  <si>
    <t>RX-231</t>
  </si>
  <si>
    <t>RX-232</t>
  </si>
  <si>
    <t>RX-233</t>
  </si>
  <si>
    <t>RX-234</t>
  </si>
  <si>
    <t>RX-235</t>
  </si>
  <si>
    <t>RX-236</t>
  </si>
  <si>
    <t>RX-237</t>
  </si>
  <si>
    <t>RX-238</t>
  </si>
  <si>
    <t>RX-239</t>
  </si>
  <si>
    <t>RX-240</t>
  </si>
  <si>
    <t>RX-241</t>
  </si>
  <si>
    <t>RX-242</t>
  </si>
  <si>
    <t>RX-243</t>
  </si>
  <si>
    <t>RX-244</t>
  </si>
  <si>
    <t>RX-245</t>
  </si>
  <si>
    <t>RX-246</t>
  </si>
  <si>
    <t>RX-247</t>
  </si>
  <si>
    <t>RX-248</t>
  </si>
  <si>
    <t>RX-249</t>
  </si>
  <si>
    <t>RX-250</t>
  </si>
  <si>
    <t>RX-251</t>
  </si>
  <si>
    <t>RX-252</t>
  </si>
  <si>
    <t>RX-253</t>
  </si>
  <si>
    <t>RX-254</t>
  </si>
  <si>
    <t>RX-255</t>
  </si>
  <si>
    <t>RX-256</t>
  </si>
  <si>
    <t>RX-257</t>
  </si>
  <si>
    <t>RX-258</t>
  </si>
  <si>
    <t>RX-259</t>
  </si>
  <si>
    <t>RX-260</t>
  </si>
  <si>
    <t>RX-261</t>
  </si>
  <si>
    <t>RX-262</t>
  </si>
  <si>
    <t>RX-263</t>
  </si>
  <si>
    <t>RX-264</t>
  </si>
  <si>
    <t>RX-265</t>
  </si>
  <si>
    <t>RX-266</t>
  </si>
  <si>
    <t>RX-267</t>
  </si>
  <si>
    <t>RX-268</t>
  </si>
  <si>
    <t>RX-269</t>
  </si>
  <si>
    <t>RX-270</t>
  </si>
  <si>
    <t>RX-271</t>
  </si>
  <si>
    <t>RX-272</t>
  </si>
  <si>
    <t>RX-273</t>
  </si>
  <si>
    <t>RX-274</t>
  </si>
  <si>
    <t>RX-275</t>
  </si>
  <si>
    <t>RX-276</t>
  </si>
  <si>
    <t>RX-277</t>
  </si>
  <si>
    <t>RX-278</t>
  </si>
  <si>
    <t>RX-279</t>
  </si>
  <si>
    <t>RX-280</t>
  </si>
  <si>
    <t>RX-281</t>
  </si>
  <si>
    <t>RX-282</t>
  </si>
  <si>
    <t>RX-283</t>
  </si>
  <si>
    <t>RX-284</t>
  </si>
  <si>
    <t>RX-285</t>
  </si>
  <si>
    <t>RX-286</t>
  </si>
  <si>
    <t>RX-287</t>
  </si>
  <si>
    <t>RX-288</t>
  </si>
  <si>
    <t>RX-289</t>
  </si>
  <si>
    <t>RX-290</t>
  </si>
  <si>
    <t>RX-291</t>
  </si>
  <si>
    <t>RX-292</t>
  </si>
  <si>
    <t>RX-293</t>
  </si>
  <si>
    <t>RX-294</t>
  </si>
  <si>
    <t>RX-295</t>
  </si>
  <si>
    <t>RX-296</t>
  </si>
  <si>
    <t>RX-297</t>
  </si>
  <si>
    <t>RX-298</t>
  </si>
  <si>
    <t>RX-299</t>
  </si>
  <si>
    <t>RX-300</t>
  </si>
  <si>
    <t>RX-301</t>
  </si>
  <si>
    <t>RX-302</t>
  </si>
  <si>
    <t>RX-303</t>
  </si>
  <si>
    <t>RX-304</t>
  </si>
  <si>
    <t>RX-305</t>
  </si>
  <si>
    <t>RX-306</t>
  </si>
  <si>
    <t>RX-307</t>
  </si>
  <si>
    <t>RX-308</t>
  </si>
  <si>
    <t>RX-309</t>
  </si>
  <si>
    <t>RX-310</t>
  </si>
  <si>
    <t>RX-311</t>
  </si>
  <si>
    <t>RX-312</t>
  </si>
  <si>
    <t>RX-313</t>
  </si>
  <si>
    <t>RX-314</t>
  </si>
  <si>
    <t>RX-315</t>
  </si>
  <si>
    <t>RX-316</t>
  </si>
  <si>
    <t>RX-317</t>
  </si>
  <si>
    <t>RX-318</t>
  </si>
  <si>
    <t>RX-319</t>
  </si>
  <si>
    <t>RX-320</t>
  </si>
  <si>
    <t>RX-321</t>
  </si>
  <si>
    <t>RX-322</t>
  </si>
  <si>
    <t>RX-323</t>
  </si>
  <si>
    <t>RX-324</t>
  </si>
  <si>
    <t>RX-325</t>
  </si>
  <si>
    <t>RX-326</t>
  </si>
  <si>
    <t>RX-327</t>
  </si>
  <si>
    <t>RX-328</t>
  </si>
  <si>
    <t>RX-329</t>
  </si>
  <si>
    <t>RX-330</t>
  </si>
  <si>
    <t>RX-331</t>
  </si>
  <si>
    <t>RX-332</t>
  </si>
  <si>
    <t>RX-333</t>
  </si>
  <si>
    <t>RX-334</t>
  </si>
  <si>
    <t>RX-335</t>
  </si>
  <si>
    <t>RX-336</t>
  </si>
  <si>
    <t>RX-337</t>
  </si>
  <si>
    <t>RX-338</t>
  </si>
  <si>
    <t>RX-339</t>
  </si>
  <si>
    <t>RX-340</t>
  </si>
  <si>
    <t>RX-341</t>
  </si>
  <si>
    <t>RX-342</t>
  </si>
  <si>
    <t>RX-343</t>
  </si>
  <si>
    <t>RX-344</t>
  </si>
  <si>
    <t>RX-345</t>
  </si>
  <si>
    <t>RX-346</t>
  </si>
  <si>
    <t>RX-347</t>
  </si>
  <si>
    <t>RX-348</t>
  </si>
  <si>
    <t>RX-349</t>
  </si>
  <si>
    <t>RX-350</t>
  </si>
  <si>
    <t>RX-351</t>
  </si>
  <si>
    <t>RX-352</t>
  </si>
  <si>
    <t>RX-353</t>
  </si>
  <si>
    <t>RX-354</t>
  </si>
  <si>
    <t>RX-355</t>
  </si>
  <si>
    <t>RX-356</t>
  </si>
  <si>
    <t>RX-357</t>
  </si>
  <si>
    <t>RX-358</t>
  </si>
  <si>
    <t>RX-359</t>
  </si>
  <si>
    <t>RX-360</t>
  </si>
  <si>
    <t>RX-361</t>
  </si>
  <si>
    <t>RX-362</t>
  </si>
  <si>
    <t>RX-363</t>
  </si>
  <si>
    <t>RX-364</t>
  </si>
  <si>
    <t>RX-365</t>
  </si>
  <si>
    <t>RX-366</t>
  </si>
  <si>
    <t>RX-367</t>
  </si>
  <si>
    <t>RX-368</t>
  </si>
  <si>
    <t>RX-369</t>
  </si>
  <si>
    <t>RX-370</t>
  </si>
  <si>
    <t>RX-371</t>
  </si>
  <si>
    <t>RX-372</t>
  </si>
  <si>
    <t>RX-373</t>
  </si>
  <si>
    <t>RX-374</t>
  </si>
  <si>
    <t>RX-375</t>
  </si>
  <si>
    <t>RX-376</t>
  </si>
  <si>
    <t>RX-377</t>
  </si>
  <si>
    <t>RX-378</t>
  </si>
  <si>
    <t>RX-379</t>
  </si>
  <si>
    <t>RX-380</t>
  </si>
  <si>
    <t>RX-381</t>
  </si>
  <si>
    <t>RX-382</t>
  </si>
  <si>
    <t>RX-383</t>
  </si>
  <si>
    <t>RX-384</t>
  </si>
  <si>
    <t>RX-385</t>
  </si>
  <si>
    <t>RX-386</t>
  </si>
  <si>
    <t>RX-387</t>
  </si>
  <si>
    <t>RX-388</t>
  </si>
  <si>
    <t>RX-389</t>
  </si>
  <si>
    <t>RX-390</t>
  </si>
  <si>
    <t>RX-391</t>
  </si>
  <si>
    <t>RX-392</t>
  </si>
  <si>
    <t>RX-393</t>
  </si>
  <si>
    <t>RX-394</t>
  </si>
  <si>
    <t>RX-395</t>
  </si>
  <si>
    <t>RX-396</t>
  </si>
  <si>
    <t>RX-397</t>
  </si>
  <si>
    <t>RX-398</t>
  </si>
  <si>
    <t>RX-399</t>
  </si>
  <si>
    <t>RX-400</t>
  </si>
  <si>
    <t>RX-401</t>
  </si>
  <si>
    <t>RX-402</t>
  </si>
  <si>
    <t>RX-403</t>
  </si>
  <si>
    <t>RX-404</t>
  </si>
  <si>
    <t>RX-405</t>
  </si>
  <si>
    <t>RX-406</t>
  </si>
  <si>
    <t>RX-407</t>
  </si>
  <si>
    <t>RX-408</t>
  </si>
  <si>
    <t>RX-409</t>
  </si>
  <si>
    <t>RX-410</t>
  </si>
  <si>
    <t>RX-411</t>
  </si>
  <si>
    <t>RX-412</t>
  </si>
  <si>
    <t>RX-413</t>
  </si>
  <si>
    <t>RX-414</t>
  </si>
  <si>
    <t>RX-415</t>
  </si>
  <si>
    <t>RX-416</t>
  </si>
  <si>
    <t>RX-417</t>
  </si>
  <si>
    <t>RX-418</t>
  </si>
  <si>
    <t>RX-419</t>
  </si>
  <si>
    <t>RX-420</t>
  </si>
  <si>
    <t>RX-421</t>
  </si>
  <si>
    <t>RX-422</t>
  </si>
  <si>
    <t>RX-423</t>
  </si>
  <si>
    <t>RX-424</t>
  </si>
  <si>
    <t>RX-425</t>
  </si>
  <si>
    <t>RX-426</t>
  </si>
  <si>
    <t>RX-427</t>
  </si>
  <si>
    <t>RX-428</t>
  </si>
  <si>
    <t>RX-429</t>
  </si>
  <si>
    <t>RX-430</t>
  </si>
  <si>
    <t>RX-431</t>
  </si>
  <si>
    <t>RX-432</t>
  </si>
  <si>
    <t>RX-433</t>
  </si>
  <si>
    <t>RX-434</t>
  </si>
  <si>
    <t>RX-435</t>
  </si>
  <si>
    <t>RX-436</t>
  </si>
  <si>
    <t>RX-437</t>
  </si>
  <si>
    <t>RX-438</t>
  </si>
  <si>
    <t>RX-439</t>
  </si>
  <si>
    <t>RX-440</t>
  </si>
  <si>
    <t>RX-441</t>
  </si>
  <si>
    <t>RX-442</t>
  </si>
  <si>
    <t>RX-443</t>
  </si>
  <si>
    <t>RX-444</t>
  </si>
  <si>
    <t>RX-445</t>
  </si>
  <si>
    <t>RX-446</t>
  </si>
  <si>
    <t>RX-447</t>
  </si>
  <si>
    <t>RX-448</t>
  </si>
  <si>
    <t>RX-449</t>
  </si>
  <si>
    <t>RX-450</t>
  </si>
  <si>
    <t>RX-451</t>
  </si>
  <si>
    <t>RX-452</t>
  </si>
  <si>
    <t>RX-453</t>
  </si>
  <si>
    <t>RX-454</t>
  </si>
  <si>
    <t>RX-455</t>
  </si>
  <si>
    <t>RX-456</t>
  </si>
  <si>
    <t>RX-457</t>
  </si>
  <si>
    <t>RX-458</t>
  </si>
  <si>
    <t>RX-459</t>
  </si>
  <si>
    <t>RX-460</t>
  </si>
  <si>
    <t>RX-461</t>
  </si>
  <si>
    <t>RX-462</t>
  </si>
  <si>
    <t>RX-463</t>
  </si>
  <si>
    <t>RX-464</t>
  </si>
  <si>
    <t>RX-465</t>
  </si>
  <si>
    <t>RX-466</t>
  </si>
  <si>
    <t>RX-467</t>
  </si>
  <si>
    <t>RX-468</t>
  </si>
  <si>
    <t>RX-469</t>
  </si>
  <si>
    <t>RX-470</t>
  </si>
  <si>
    <t>RX-471</t>
  </si>
  <si>
    <t>RX-472</t>
  </si>
  <si>
    <t>RX-473</t>
  </si>
  <si>
    <t>RX-474</t>
  </si>
  <si>
    <t>RX-475</t>
  </si>
  <si>
    <t>RX-476</t>
  </si>
  <si>
    <t>RX-477</t>
  </si>
  <si>
    <t>RX-478</t>
  </si>
  <si>
    <t>RX-479</t>
  </si>
  <si>
    <t>RX-480</t>
  </si>
  <si>
    <t>RX-481</t>
  </si>
  <si>
    <t>RX-482</t>
  </si>
  <si>
    <t>RX-483</t>
  </si>
  <si>
    <t>RX-484</t>
  </si>
  <si>
    <t>RX-485</t>
  </si>
  <si>
    <t>RX-486</t>
  </si>
  <si>
    <t>RX-487</t>
  </si>
  <si>
    <t>RX-488</t>
  </si>
  <si>
    <t>RX-489</t>
  </si>
  <si>
    <t>RX-490</t>
  </si>
  <si>
    <t>RX-491</t>
  </si>
  <si>
    <t>RX-492</t>
  </si>
  <si>
    <t>RX-493</t>
  </si>
  <si>
    <t>RX-494</t>
  </si>
  <si>
    <t>RX-495</t>
  </si>
  <si>
    <t>RX-496</t>
  </si>
  <si>
    <t>RX-497</t>
  </si>
  <si>
    <t>RX-498</t>
  </si>
  <si>
    <t>RX-499</t>
  </si>
  <si>
    <t>RX-500</t>
  </si>
  <si>
    <t>Sheet</t>
  </si>
  <si>
    <t>Data Rows</t>
  </si>
  <si>
    <t>Columns</t>
  </si>
  <si>
    <t>Exact Duplicate Rows</t>
  </si>
  <si>
    <t>Duplicate Primary Keys</t>
  </si>
  <si>
    <t>Blank Primary Keys</t>
  </si>
  <si>
    <t>Missing Cells</t>
  </si>
  <si>
    <t>Action</t>
  </si>
  <si>
    <t>PatientsMaster</t>
  </si>
  <si>
    <t>Diagnoses</t>
  </si>
  <si>
    <t>Procedures</t>
  </si>
  <si>
    <t>VitalsLog</t>
  </si>
  <si>
    <t>Charges</t>
  </si>
  <si>
    <t>InsuranceClaims</t>
  </si>
  <si>
    <t>ProvidersMaster</t>
  </si>
  <si>
    <t>Prescriptions</t>
  </si>
  <si>
    <t>AgeAtEncounter</t>
  </si>
  <si>
    <t>EncounterYear</t>
  </si>
  <si>
    <t>PulsePressure</t>
  </si>
  <si>
    <t>OutstandingBalance</t>
  </si>
  <si>
    <t>PaidRate</t>
  </si>
  <si>
    <t>TotalUnitsAuthorized</t>
  </si>
  <si>
    <t>Grand Total</t>
  </si>
  <si>
    <t>Count of PatientID</t>
  </si>
  <si>
    <t>Sum of ChargeAmount</t>
  </si>
  <si>
    <t>Count of DiagnosisID</t>
  </si>
  <si>
    <t>Encounter Volume by Year and Type</t>
  </si>
  <si>
    <t>Charges by CPT Code</t>
  </si>
  <si>
    <t>Diagnosis Frequency</t>
  </si>
  <si>
    <t>Cleaned: 500 rows; 3 calculated fields; sorted by encounter date</t>
  </si>
  <si>
    <t>Cleaned: 500 rows; sorted by ICD-10</t>
  </si>
  <si>
    <t>Deduplicated: 500 to 4 unique CPT mappings</t>
  </si>
  <si>
    <t>Cleaned: 500 rows; pulse pressure added; sorted by systolic BP</t>
  </si>
  <si>
    <t>Cleaned: 500 rows; CPT description added; sorted by charge</t>
  </si>
  <si>
    <t>Cleaned: 500 rows; balance and paid rate added; sorted by billed</t>
  </si>
  <si>
    <t>Cleaned: 30 rows; sorted by specialty and name</t>
  </si>
  <si>
    <t>Cleaned: 500 rows; total units added; sorted by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</si>
</sst>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"/>
    <numFmt numFmtId="166" formatCode="&quot;$&quot;#,##0.00"/>
    <numFmt numFmtId="167" formatCode="0.0%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Aptos"/>
    </font>
    <font>
      <b/>
      <sz val="12"/>
      <color rgb="FFFFFFFF"/>
      <name val="Aptos"/>
    </font>
    <font>
      <b/>
      <sz val="14"/>
      <color rgb="FFFFFFFF"/>
      <name val="Aptos"/>
    </font>
  </fonts>
  <fills count="3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/>
    <xf numFmtId="164" fontId="1" fillId="0" borderId="0" xfId="0" applyNumberFormat="1" applyFont="1"/>
    <xf numFmtId="1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0" fontId="1" fillId="0" borderId="0" xfId="0" pivotButton="1" applyFont="1"/>
    <xf numFmtId="0" fontId="1" fillId="0" borderId="0" xfId="0" applyFont="1" applyAlignment="1">
      <alignment wrapText="1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88"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  <numFmt numFmtId="0" formatCode="General"/>
    </dxf>
    <dxf>
      <font>
        <name val="Aptos"/>
      </font>
    </dxf>
    <dxf>
      <font>
        <name val="Aptos"/>
      </font>
    </dxf>
    <dxf>
      <font>
        <name val="Aptos"/>
      </font>
      <numFmt numFmtId="164" formatCode="yyyy\-mm\-dd"/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  <numFmt numFmtId="167" formatCode="0.0%"/>
    </dxf>
    <dxf>
      <font>
        <name val="Aptos"/>
      </font>
      <numFmt numFmtId="166" formatCode="&quot;$&quot;#,##0.00"/>
    </dxf>
    <dxf>
      <font>
        <name val="Aptos"/>
      </font>
    </dxf>
    <dxf>
      <font>
        <name val="Aptos"/>
      </font>
      <numFmt numFmtId="166" formatCode="&quot;$&quot;#,##0.00"/>
    </dxf>
    <dxf>
      <font>
        <name val="Aptos"/>
      </font>
      <numFmt numFmtId="166" formatCode="&quot;$&quot;#,##0.00"/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  <numFmt numFmtId="0" formatCode="General"/>
    </dxf>
    <dxf>
      <font>
        <name val="Aptos"/>
      </font>
      <numFmt numFmtId="166" formatCode="&quot;$&quot;#,##0.00"/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  <numFmt numFmtId="0" formatCode="General"/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  <numFmt numFmtId="1" formatCode="0"/>
    </dxf>
    <dxf>
      <font>
        <name val="Aptos"/>
      </font>
      <numFmt numFmtId="1" formatCode="0"/>
    </dxf>
    <dxf>
      <font>
        <name val="Aptos"/>
      </font>
    </dxf>
    <dxf>
      <font>
        <name val="Aptos"/>
      </font>
      <numFmt numFmtId="164" formatCode="yyyy\-mm\-dd"/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  <numFmt numFmtId="164" formatCode="yyyy\-mm\-dd"/>
    </dxf>
    <dxf>
      <font>
        <name val="Aptos"/>
      </font>
    </dxf>
    <dxf>
      <font>
        <name val="Aptos"/>
      </font>
      <numFmt numFmtId="0" formatCode="General"/>
    </dxf>
    <dxf>
      <font>
        <name val="Aptos"/>
      </font>
    </dxf>
    <dxf>
      <font>
        <name val="Aptos"/>
      </font>
    </dxf>
    <dxf>
      <font>
        <name val="Aptos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lcome" refreshedDate="46293.638235648148" createdVersion="8" refreshedVersion="8" minRefreshableVersion="3" recordCount="500" xr:uid="{808A30D3-D91E-42F6-932B-AA3F19A54B85}">
  <cacheSource type="worksheet">
    <worksheetSource name="tblCleanPatients"/>
  </cacheSource>
  <cacheFields count="13">
    <cacheField name="PatientID" numFmtId="0">
      <sharedItems/>
    </cacheField>
    <cacheField name="EncounterID" numFmtId="0">
      <sharedItems/>
    </cacheField>
    <cacheField name="FullName" numFmtId="0">
      <sharedItems/>
    </cacheField>
    <cacheField name="DateOfBirth" numFmtId="164">
      <sharedItems containsSemiMixedTypes="0" containsNonDate="0" containsDate="1" containsString="0" minDate="1940-03-10T00:00:00" maxDate="2009-09-18T00:00:00"/>
    </cacheField>
    <cacheField name="Gender" numFmtId="0">
      <sharedItems/>
    </cacheField>
    <cacheField name="BloodType" numFmtId="0">
      <sharedItems/>
    </cacheField>
    <cacheField name="Address" numFmtId="0">
      <sharedItems/>
    </cacheField>
    <cacheField name="Phone" numFmtId="0">
      <sharedItems/>
    </cacheField>
    <cacheField name="FacilityID" numFmtId="0">
      <sharedItems/>
    </cacheField>
    <cacheField name="EncounterDate" numFmtId="164">
      <sharedItems containsSemiMixedTypes="0" containsNonDate="0" containsDate="1" containsString="0" minDate="2022-01-01T00:00:00" maxDate="2026-09-25T00:00:00"/>
    </cacheField>
    <cacheField name="EncounterType" numFmtId="0">
      <sharedItems count="4">
        <s v="Emergency"/>
        <s v="Hospital Admission"/>
        <s v="Office Visit"/>
        <s v="Telehealth"/>
      </sharedItems>
    </cacheField>
    <cacheField name="AgeAtEncounter" numFmtId="1">
      <sharedItems containsSemiMixedTypes="0" containsString="0" containsNumber="1" containsInteger="1" minValue="13" maxValue="85"/>
    </cacheField>
    <cacheField name="EncounterYear" numFmtId="1">
      <sharedItems containsSemiMixedTypes="0" containsString="0" containsNumber="1" containsInteger="1" minValue="2022" maxValue="2026" count="5">
        <n v="2026"/>
        <n v="2025"/>
        <n v="2024"/>
        <n v="2023"/>
        <n v="202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lcome" refreshedDate="46293.638386342594" createdVersion="8" refreshedVersion="8" minRefreshableVersion="3" recordCount="500" xr:uid="{58447332-D540-4837-B354-9191DAE001D9}">
  <cacheSource type="worksheet">
    <worksheetSource name="tblCleanCharges"/>
  </cacheSource>
  <cacheFields count="5">
    <cacheField name="ChargeID" numFmtId="0">
      <sharedItems/>
    </cacheField>
    <cacheField name="EncounterID" numFmtId="0">
      <sharedItems/>
    </cacheField>
    <cacheField name="CPT_Code" numFmtId="0">
      <sharedItems containsSemiMixedTypes="0" containsString="0" containsNumber="1" containsInteger="1" minValue="80053" maxValue="99213" count="4">
        <n v="80053"/>
        <n v="85025"/>
        <n v="99213"/>
        <n v="99203"/>
      </sharedItems>
    </cacheField>
    <cacheField name="ChargeAmount" numFmtId="166">
      <sharedItems containsSemiMixedTypes="0" containsString="0" containsNumber="1" minValue="50.26" maxValue="499.36"/>
    </cacheField>
    <cacheField name="ProcedureDescrip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lcome" refreshedDate="46293.638477893517" createdVersion="8" refreshedVersion="8" minRefreshableVersion="3" recordCount="500" xr:uid="{556C3C3F-81DD-494B-88D8-BA0221D44142}">
  <cacheSource type="worksheet">
    <worksheetSource name="tblCleanDiagnoses"/>
  </cacheSource>
  <cacheFields count="4">
    <cacheField name="DiagnosisID" numFmtId="0">
      <sharedItems/>
    </cacheField>
    <cacheField name="EncounterID" numFmtId="0">
      <sharedItems/>
    </cacheField>
    <cacheField name="ICD10_Code" numFmtId="0">
      <sharedItems count="5">
        <s v="E11.9"/>
        <s v="I10"/>
        <s v="J06.9"/>
        <s v="K21.9"/>
        <s v="M54.5"/>
      </sharedItems>
    </cacheField>
    <cacheField name="DiagnosisDescrip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PAT-1147"/>
    <s v="ENC-147"/>
    <s v="Patricia Jones"/>
    <d v="1968-10-07T00:00:00"/>
    <s v="Male"/>
    <s v="O+"/>
    <s v="8847 Main St"/>
    <s v="555-107-4113"/>
    <s v="HOS-01"/>
    <d v="2026-09-24T00:00:00"/>
    <x v="0"/>
    <n v="57"/>
    <x v="0"/>
  </r>
  <r>
    <s v="PAT-1278"/>
    <s v="ENC-278"/>
    <s v="Jennifer Johnson"/>
    <d v="1962-01-20T00:00:00"/>
    <s v="Non-binary"/>
    <s v="O-"/>
    <s v="7523 Main St"/>
    <s v="555-512-6129"/>
    <s v="CLI-01"/>
    <d v="2026-09-20T00:00:00"/>
    <x v="1"/>
    <n v="64"/>
    <x v="0"/>
  </r>
  <r>
    <s v="PAT-1440"/>
    <s v="ENC-440"/>
    <s v="Patricia Garcia"/>
    <d v="1957-04-26T00:00:00"/>
    <s v="Male"/>
    <s v="A+"/>
    <s v="9507 Main St"/>
    <s v="555-369-9258"/>
    <s v="HOS-01"/>
    <d v="2026-09-18T00:00:00"/>
    <x v="2"/>
    <n v="69"/>
    <x v="0"/>
  </r>
  <r>
    <s v="PAT-1454"/>
    <s v="ENC-454"/>
    <s v="Michael Jones"/>
    <d v="1942-01-02T00:00:00"/>
    <s v="Non-binary"/>
    <s v="A-"/>
    <s v="9059 Main St"/>
    <s v="555-642-1713"/>
    <s v="HOS-01"/>
    <d v="2026-09-14T00:00:00"/>
    <x v="3"/>
    <n v="84"/>
    <x v="0"/>
  </r>
  <r>
    <s v="PAT-1006"/>
    <s v="ENC-6"/>
    <s v="Linda Williams"/>
    <d v="1968-02-03T00:00:00"/>
    <s v="Male"/>
    <s v="B+"/>
    <s v="5019 Main St"/>
    <s v="555-171-4357"/>
    <s v="CLI-01"/>
    <d v="2026-08-30T00:00:00"/>
    <x v="1"/>
    <n v="58"/>
    <x v="0"/>
  </r>
  <r>
    <s v="PAT-1045"/>
    <s v="ENC-45"/>
    <s v="Priya Patel"/>
    <d v="1961-05-05T00:00:00"/>
    <s v="Male"/>
    <s v="AB+"/>
    <s v="2791 Main St"/>
    <s v="555-841-8975"/>
    <s v="HOS-01"/>
    <d v="2026-08-30T00:00:00"/>
    <x v="0"/>
    <n v="65"/>
    <x v="0"/>
  </r>
  <r>
    <s v="PAT-1061"/>
    <s v="ENC-61"/>
    <s v="Priya Patel"/>
    <d v="1996-01-11T00:00:00"/>
    <s v="Male"/>
    <s v="AB-"/>
    <s v="4894 Main St"/>
    <s v="555-255-1969"/>
    <s v="CLI-01"/>
    <d v="2026-08-29T00:00:00"/>
    <x v="0"/>
    <n v="30"/>
    <x v="0"/>
  </r>
  <r>
    <s v="PAT-1288"/>
    <s v="ENC-288"/>
    <s v="Priya Smith"/>
    <d v="1968-05-23T00:00:00"/>
    <s v="Non-binary"/>
    <s v="A+"/>
    <s v="6699 Main St"/>
    <s v="555-607-2696"/>
    <s v="CLI-01"/>
    <d v="2026-08-29T00:00:00"/>
    <x v="0"/>
    <n v="58"/>
    <x v="0"/>
  </r>
  <r>
    <s v="PAT-1329"/>
    <s v="ENC-329"/>
    <s v="Jennifer Smith"/>
    <d v="2003-10-21T00:00:00"/>
    <s v="Non-binary"/>
    <s v="B+"/>
    <s v="1729 Main St"/>
    <s v="555-519-6626"/>
    <s v="HOS-01"/>
    <d v="2026-08-27T00:00:00"/>
    <x v="0"/>
    <n v="22"/>
    <x v="0"/>
  </r>
  <r>
    <s v="PAT-1206"/>
    <s v="ENC-206"/>
    <s v="Priya Singh"/>
    <d v="1959-11-26T00:00:00"/>
    <s v="Non-binary"/>
    <s v="O+"/>
    <s v="4134 Main St"/>
    <s v="555-528-3405"/>
    <s v="HOS-01"/>
    <d v="2026-08-24T00:00:00"/>
    <x v="3"/>
    <n v="66"/>
    <x v="0"/>
  </r>
  <r>
    <s v="PAT-1342"/>
    <s v="ENC-342"/>
    <s v="John Williams"/>
    <d v="1964-08-30T00:00:00"/>
    <s v="Female"/>
    <s v="B-"/>
    <s v="4838 Main St"/>
    <s v="555-539-8084"/>
    <s v="CLI-01"/>
    <d v="2026-08-22T00:00:00"/>
    <x v="3"/>
    <n v="61"/>
    <x v="0"/>
  </r>
  <r>
    <s v="PAT-1022"/>
    <s v="ENC-22"/>
    <s v="John Singh"/>
    <d v="1971-02-25T00:00:00"/>
    <s v="Female"/>
    <s v="AB-"/>
    <s v="5074 Main St"/>
    <s v="555-411-9305"/>
    <s v="HOS-01"/>
    <d v="2026-08-15T00:00:00"/>
    <x v="0"/>
    <n v="55"/>
    <x v="0"/>
  </r>
  <r>
    <s v="PAT-1130"/>
    <s v="ENC-130"/>
    <s v="Robert Williams"/>
    <d v="1965-05-23T00:00:00"/>
    <s v="Non-binary"/>
    <s v="A+"/>
    <s v="6694 Main St"/>
    <s v="555-474-9344"/>
    <s v="CLI-01"/>
    <d v="2026-08-15T00:00:00"/>
    <x v="1"/>
    <n v="61"/>
    <x v="0"/>
  </r>
  <r>
    <s v="PAT-1374"/>
    <s v="ENC-374"/>
    <s v="Mary Singh"/>
    <d v="1947-10-13T00:00:00"/>
    <s v="Male"/>
    <s v="B+"/>
    <s v="9173 Main St"/>
    <s v="555-424-4766"/>
    <s v="HOS-01"/>
    <d v="2026-08-10T00:00:00"/>
    <x v="3"/>
    <n v="78"/>
    <x v="0"/>
  </r>
  <r>
    <s v="PAT-1469"/>
    <s v="ENC-469"/>
    <s v="Priya Jones"/>
    <d v="1982-10-03T00:00:00"/>
    <s v="Female"/>
    <s v="B+"/>
    <s v="3659 Main St"/>
    <s v="555-644-6792"/>
    <s v="HOS-01"/>
    <d v="2026-08-09T00:00:00"/>
    <x v="3"/>
    <n v="43"/>
    <x v="0"/>
  </r>
  <r>
    <s v="PAT-1096"/>
    <s v="ENC-96"/>
    <s v="Patricia Patel"/>
    <d v="1964-03-22T00:00:00"/>
    <s v="Female"/>
    <s v="AB-"/>
    <s v="1390 Main St"/>
    <s v="555-246-3539"/>
    <s v="HOS-01"/>
    <d v="2026-07-30T00:00:00"/>
    <x v="2"/>
    <n v="62"/>
    <x v="0"/>
  </r>
  <r>
    <s v="PAT-1106"/>
    <s v="ENC-106"/>
    <s v="Priya Garcia"/>
    <d v="1955-09-01T00:00:00"/>
    <s v="Non-binary"/>
    <s v="AB-"/>
    <s v="7486 Main St"/>
    <s v="555-996-4935"/>
    <s v="HOS-01"/>
    <d v="2026-07-29T00:00:00"/>
    <x v="3"/>
    <n v="70"/>
    <x v="0"/>
  </r>
  <r>
    <s v="PAT-1292"/>
    <s v="ENC-292"/>
    <s v="Jennifer Jones"/>
    <d v="1948-10-19T00:00:00"/>
    <s v="Non-binary"/>
    <s v="AB+"/>
    <s v="8332 Main St"/>
    <s v="555-816-1552"/>
    <s v="CLI-01"/>
    <d v="2026-07-29T00:00:00"/>
    <x v="1"/>
    <n v="77"/>
    <x v="0"/>
  </r>
  <r>
    <s v="PAT-1224"/>
    <s v="ENC-224"/>
    <s v="John Williams"/>
    <d v="1979-06-21T00:00:00"/>
    <s v="Male"/>
    <s v="AB-"/>
    <s v="2581 Main St"/>
    <s v="555-478-9260"/>
    <s v="HOS-01"/>
    <d v="2026-07-28T00:00:00"/>
    <x v="2"/>
    <n v="47"/>
    <x v="0"/>
  </r>
  <r>
    <s v="PAT-1495"/>
    <s v="ENC-495"/>
    <s v="Aarav Brown"/>
    <d v="1966-09-01T00:00:00"/>
    <s v="Male"/>
    <s v="A-"/>
    <s v="9007 Main St"/>
    <s v="555-875-3301"/>
    <s v="CLI-01"/>
    <d v="2026-07-23T00:00:00"/>
    <x v="1"/>
    <n v="59"/>
    <x v="0"/>
  </r>
  <r>
    <s v="PAT-1221"/>
    <s v="ENC-221"/>
    <s v="Mary Johnson"/>
    <d v="1953-01-31T00:00:00"/>
    <s v="Non-binary"/>
    <s v="B+"/>
    <s v="7257 Main St"/>
    <s v="555-757-9529"/>
    <s v="CLI-01"/>
    <d v="2026-07-17T00:00:00"/>
    <x v="1"/>
    <n v="73"/>
    <x v="0"/>
  </r>
  <r>
    <s v="PAT-1257"/>
    <s v="ENC-257"/>
    <s v="James Johnson"/>
    <d v="1953-02-25T00:00:00"/>
    <s v="Non-binary"/>
    <s v="O-"/>
    <s v="2873 Main St"/>
    <s v="555-807-6753"/>
    <s v="HOS-01"/>
    <d v="2026-07-17T00:00:00"/>
    <x v="3"/>
    <n v="73"/>
    <x v="0"/>
  </r>
  <r>
    <s v="PAT-1448"/>
    <s v="ENC-448"/>
    <s v="Linda Johnson"/>
    <d v="2004-07-02T00:00:00"/>
    <s v="Female"/>
    <s v="O+"/>
    <s v="4844 Main St"/>
    <s v="555-600-3575"/>
    <s v="HOS-01"/>
    <d v="2026-07-17T00:00:00"/>
    <x v="3"/>
    <n v="22"/>
    <x v="0"/>
  </r>
  <r>
    <s v="PAT-1013"/>
    <s v="ENC-13"/>
    <s v="John Johnson"/>
    <d v="2008-08-15T00:00:00"/>
    <s v="Non-binary"/>
    <s v="AB+"/>
    <s v="3784 Main St"/>
    <s v="555-334-5031"/>
    <s v="HOS-01"/>
    <d v="2026-07-13T00:00:00"/>
    <x v="2"/>
    <n v="17"/>
    <x v="0"/>
  </r>
  <r>
    <s v="PAT-1237"/>
    <s v="ENC-237"/>
    <s v="Patricia Singh"/>
    <d v="1967-11-19T00:00:00"/>
    <s v="Male"/>
    <s v="A+"/>
    <s v="6531 Main St"/>
    <s v="555-422-4902"/>
    <s v="CLI-01"/>
    <d v="2026-07-09T00:00:00"/>
    <x v="0"/>
    <n v="58"/>
    <x v="0"/>
  </r>
  <r>
    <s v="PAT-1131"/>
    <s v="ENC-131"/>
    <s v="John Johnson"/>
    <d v="1992-08-10T00:00:00"/>
    <s v="Male"/>
    <s v="B+"/>
    <s v="8593 Main St"/>
    <s v="555-361-3653"/>
    <s v="HOS-01"/>
    <d v="2026-07-07T00:00:00"/>
    <x v="0"/>
    <n v="33"/>
    <x v="0"/>
  </r>
  <r>
    <s v="PAT-1287"/>
    <s v="ENC-287"/>
    <s v="Priya Singh"/>
    <d v="1950-12-31T00:00:00"/>
    <s v="Male"/>
    <s v="A+"/>
    <s v="1579 Main St"/>
    <s v="555-314-4688"/>
    <s v="CLI-01"/>
    <d v="2026-07-04T00:00:00"/>
    <x v="3"/>
    <n v="75"/>
    <x v="0"/>
  </r>
  <r>
    <s v="PAT-1231"/>
    <s v="ENC-231"/>
    <s v="John Brown"/>
    <d v="1976-11-03T00:00:00"/>
    <s v="Female"/>
    <s v="B-"/>
    <s v="2800 Main St"/>
    <s v="555-772-8850"/>
    <s v="HOS-01"/>
    <d v="2026-07-02T00:00:00"/>
    <x v="3"/>
    <n v="49"/>
    <x v="0"/>
  </r>
  <r>
    <s v="PAT-1026"/>
    <s v="ENC-26"/>
    <s v="Jennifer Garcia"/>
    <d v="1980-06-03T00:00:00"/>
    <s v="Non-binary"/>
    <s v="A-"/>
    <s v="6587 Main St"/>
    <s v="555-762-3236"/>
    <s v="HOS-01"/>
    <d v="2026-07-01T00:00:00"/>
    <x v="2"/>
    <n v="46"/>
    <x v="0"/>
  </r>
  <r>
    <s v="PAT-1477"/>
    <s v="ENC-477"/>
    <s v="Linda Smith"/>
    <d v="1964-09-24T00:00:00"/>
    <s v="Female"/>
    <s v="B+"/>
    <s v="8255 Main St"/>
    <s v="555-615-5999"/>
    <s v="HOS-01"/>
    <d v="2026-06-25T00:00:00"/>
    <x v="3"/>
    <n v="61"/>
    <x v="0"/>
  </r>
  <r>
    <s v="PAT-1219"/>
    <s v="ENC-219"/>
    <s v="Mary Williams"/>
    <d v="1972-02-12T00:00:00"/>
    <s v="Female"/>
    <s v="O+"/>
    <s v="2523 Main St"/>
    <s v="555-113-3486"/>
    <s v="HOS-01"/>
    <d v="2026-06-24T00:00:00"/>
    <x v="0"/>
    <n v="54"/>
    <x v="0"/>
  </r>
  <r>
    <s v="PAT-1305"/>
    <s v="ENC-305"/>
    <s v="John Garcia"/>
    <d v="1971-08-17T00:00:00"/>
    <s v="Non-binary"/>
    <s v="O-"/>
    <s v="8275 Main St"/>
    <s v="555-737-8953"/>
    <s v="CLI-01"/>
    <d v="2026-06-24T00:00:00"/>
    <x v="2"/>
    <n v="54"/>
    <x v="0"/>
  </r>
  <r>
    <s v="PAT-1044"/>
    <s v="ENC-44"/>
    <s v="James Singh"/>
    <d v="1972-03-24T00:00:00"/>
    <s v="Female"/>
    <s v="O-"/>
    <s v="7316 Main St"/>
    <s v="555-541-6775"/>
    <s v="HOS-01"/>
    <d v="2026-06-23T00:00:00"/>
    <x v="0"/>
    <n v="54"/>
    <x v="0"/>
  </r>
  <r>
    <s v="PAT-1479"/>
    <s v="ENC-479"/>
    <s v="Robert Garcia"/>
    <d v="1961-02-19T00:00:00"/>
    <s v="Male"/>
    <s v="A-"/>
    <s v="1952 Main St"/>
    <s v="555-648-7777"/>
    <s v="CLI-01"/>
    <d v="2026-06-22T00:00:00"/>
    <x v="2"/>
    <n v="65"/>
    <x v="0"/>
  </r>
  <r>
    <s v="PAT-1316"/>
    <s v="ENC-316"/>
    <s v="Michael Johnson"/>
    <d v="1949-01-30T00:00:00"/>
    <s v="Female"/>
    <s v="AB-"/>
    <s v="3284 Main St"/>
    <s v="555-782-8632"/>
    <s v="HOS-01"/>
    <d v="2026-06-21T00:00:00"/>
    <x v="1"/>
    <n v="77"/>
    <x v="0"/>
  </r>
  <r>
    <s v="PAT-1250"/>
    <s v="ENC-250"/>
    <s v="Jennifer Jones"/>
    <d v="1995-06-12T00:00:00"/>
    <s v="Non-binary"/>
    <s v="A+"/>
    <s v="4824 Main St"/>
    <s v="555-127-1926"/>
    <s v="HOS-01"/>
    <d v="2026-06-14T00:00:00"/>
    <x v="3"/>
    <n v="31"/>
    <x v="0"/>
  </r>
  <r>
    <s v="PAT-1176"/>
    <s v="ENC-176"/>
    <s v="Jennifer Singh"/>
    <d v="1968-02-18T00:00:00"/>
    <s v="Female"/>
    <s v="AB-"/>
    <s v="4510 Main St"/>
    <s v="555-806-5142"/>
    <s v="HOS-01"/>
    <d v="2026-06-07T00:00:00"/>
    <x v="0"/>
    <n v="58"/>
    <x v="0"/>
  </r>
  <r>
    <s v="PAT-1417"/>
    <s v="ENC-417"/>
    <s v="Patricia Jones"/>
    <d v="1960-09-13T00:00:00"/>
    <s v="Male"/>
    <s v="B-"/>
    <s v="5054 Main St"/>
    <s v="555-943-4947"/>
    <s v="CLI-01"/>
    <d v="2026-06-06T00:00:00"/>
    <x v="1"/>
    <n v="65"/>
    <x v="0"/>
  </r>
  <r>
    <s v="PAT-1362"/>
    <s v="ENC-362"/>
    <s v="Aarav Johnson"/>
    <d v="1991-01-27T00:00:00"/>
    <s v="Male"/>
    <s v="AB-"/>
    <s v="7964 Main St"/>
    <s v="555-743-3660"/>
    <s v="HOS-01"/>
    <d v="2026-05-23T00:00:00"/>
    <x v="2"/>
    <n v="35"/>
    <x v="0"/>
  </r>
  <r>
    <s v="PAT-1105"/>
    <s v="ENC-105"/>
    <s v="Aarav Garcia"/>
    <d v="1998-05-07T00:00:00"/>
    <s v="Male"/>
    <s v="A-"/>
    <s v="1848 Main St"/>
    <s v="555-133-6515"/>
    <s v="HOS-01"/>
    <d v="2026-05-21T00:00:00"/>
    <x v="0"/>
    <n v="28"/>
    <x v="0"/>
  </r>
  <r>
    <s v="PAT-1333"/>
    <s v="ENC-333"/>
    <s v="Patricia Williams"/>
    <d v="1951-04-12T00:00:00"/>
    <s v="Non-binary"/>
    <s v="AB+"/>
    <s v="1923 Main St"/>
    <s v="555-173-6053"/>
    <s v="CLI-01"/>
    <d v="2026-05-18T00:00:00"/>
    <x v="0"/>
    <n v="75"/>
    <x v="0"/>
  </r>
  <r>
    <s v="PAT-1160"/>
    <s v="ENC-160"/>
    <s v="Mary Garcia"/>
    <d v="1961-01-03T00:00:00"/>
    <s v="Non-binary"/>
    <s v="AB-"/>
    <s v="8049 Main St"/>
    <s v="555-715-4685"/>
    <s v="CLI-01"/>
    <d v="2026-05-17T00:00:00"/>
    <x v="3"/>
    <n v="65"/>
    <x v="0"/>
  </r>
  <r>
    <s v="PAT-1142"/>
    <s v="ENC-142"/>
    <s v="Linda Garcia"/>
    <d v="1941-08-31T00:00:00"/>
    <s v="Male"/>
    <s v="AB+"/>
    <s v="7327 Main St"/>
    <s v="555-210-5188"/>
    <s v="HOS-01"/>
    <d v="2026-05-16T00:00:00"/>
    <x v="0"/>
    <n v="84"/>
    <x v="0"/>
  </r>
  <r>
    <s v="PAT-1279"/>
    <s v="ENC-279"/>
    <s v="Mary Patel"/>
    <d v="1970-11-22T00:00:00"/>
    <s v="Non-binary"/>
    <s v="O-"/>
    <s v="5819 Main St"/>
    <s v="555-470-6138"/>
    <s v="HOS-01"/>
    <d v="2026-05-13T00:00:00"/>
    <x v="3"/>
    <n v="55"/>
    <x v="0"/>
  </r>
  <r>
    <s v="PAT-1453"/>
    <s v="ENC-453"/>
    <s v="Patricia Smith"/>
    <d v="1970-10-17T00:00:00"/>
    <s v="Male"/>
    <s v="AB+"/>
    <s v="5894 Main St"/>
    <s v="555-764-7534"/>
    <s v="HOS-01"/>
    <d v="2026-05-10T00:00:00"/>
    <x v="3"/>
    <n v="55"/>
    <x v="0"/>
  </r>
  <r>
    <s v="PAT-1107"/>
    <s v="ENC-107"/>
    <s v="Priya Brown"/>
    <d v="1962-06-17T00:00:00"/>
    <s v="Female"/>
    <s v="A+"/>
    <s v="5515 Main St"/>
    <s v="555-738-6745"/>
    <s v="CLI-01"/>
    <d v="2026-05-09T00:00:00"/>
    <x v="2"/>
    <n v="63"/>
    <x v="0"/>
  </r>
  <r>
    <s v="PAT-1444"/>
    <s v="ENC-444"/>
    <s v="Priya Williams"/>
    <d v="1988-05-31T00:00:00"/>
    <s v="Female"/>
    <s v="A-"/>
    <s v="1376 Main St"/>
    <s v="555-240-2091"/>
    <s v="HOS-01"/>
    <d v="2026-05-03T00:00:00"/>
    <x v="3"/>
    <n v="37"/>
    <x v="0"/>
  </r>
  <r>
    <s v="PAT-1227"/>
    <s v="ENC-227"/>
    <s v="Michael Singh"/>
    <d v="1966-08-05T00:00:00"/>
    <s v="Female"/>
    <s v="B-"/>
    <s v="7810 Main St"/>
    <s v="555-418-6711"/>
    <s v="CLI-01"/>
    <d v="2026-04-25T00:00:00"/>
    <x v="0"/>
    <n v="59"/>
    <x v="0"/>
  </r>
  <r>
    <s v="PAT-1496"/>
    <s v="ENC-496"/>
    <s v="Priya Smith"/>
    <d v="1984-09-06T00:00:00"/>
    <s v="Female"/>
    <s v="AB+"/>
    <s v="8615 Main St"/>
    <s v="555-704-1312"/>
    <s v="CLI-01"/>
    <d v="2026-04-24T00:00:00"/>
    <x v="1"/>
    <n v="41"/>
    <x v="0"/>
  </r>
  <r>
    <s v="PAT-1179"/>
    <s v="ENC-179"/>
    <s v="Michael Brown"/>
    <d v="1941-08-12T00:00:00"/>
    <s v="Male"/>
    <s v="B+"/>
    <s v="3379 Main St"/>
    <s v="555-911-5752"/>
    <s v="CLI-01"/>
    <d v="2026-04-09T00:00:00"/>
    <x v="0"/>
    <n v="84"/>
    <x v="0"/>
  </r>
  <r>
    <s v="PAT-1392"/>
    <s v="ENC-392"/>
    <s v="James Williams"/>
    <d v="1959-02-24T00:00:00"/>
    <s v="Female"/>
    <s v="A+"/>
    <s v="4885 Main St"/>
    <s v="555-874-3708"/>
    <s v="CLI-01"/>
    <d v="2026-04-08T00:00:00"/>
    <x v="1"/>
    <n v="67"/>
    <x v="0"/>
  </r>
  <r>
    <s v="PAT-1247"/>
    <s v="ENC-247"/>
    <s v="Mary Patel"/>
    <d v="1968-10-23T00:00:00"/>
    <s v="Female"/>
    <s v="B-"/>
    <s v="6979 Main St"/>
    <s v="555-839-9086"/>
    <s v="CLI-01"/>
    <d v="2026-04-03T00:00:00"/>
    <x v="1"/>
    <n v="57"/>
    <x v="0"/>
  </r>
  <r>
    <s v="PAT-1451"/>
    <s v="ENC-451"/>
    <s v="Priya Smith"/>
    <d v="2001-11-24T00:00:00"/>
    <s v="Female"/>
    <s v="O+"/>
    <s v="2341 Main St"/>
    <s v="555-242-2306"/>
    <s v="HOS-01"/>
    <d v="2026-03-31T00:00:00"/>
    <x v="0"/>
    <n v="24"/>
    <x v="0"/>
  </r>
  <r>
    <s v="PAT-1186"/>
    <s v="ENC-186"/>
    <s v="Aarav Patel"/>
    <d v="1997-07-13T00:00:00"/>
    <s v="Non-binary"/>
    <s v="A-"/>
    <s v="6140 Main St"/>
    <s v="555-438-7490"/>
    <s v="HOS-01"/>
    <d v="2026-03-27T00:00:00"/>
    <x v="1"/>
    <n v="28"/>
    <x v="0"/>
  </r>
  <r>
    <s v="PAT-1150"/>
    <s v="ENC-150"/>
    <s v="Linda Brown"/>
    <d v="1957-05-16T00:00:00"/>
    <s v="Female"/>
    <s v="B+"/>
    <s v="3737 Main St"/>
    <s v="555-780-5771"/>
    <s v="HOS-01"/>
    <d v="2026-03-26T00:00:00"/>
    <x v="3"/>
    <n v="68"/>
    <x v="0"/>
  </r>
  <r>
    <s v="PAT-1428"/>
    <s v="ENC-428"/>
    <s v="Aarav Johnson"/>
    <d v="1989-09-08T00:00:00"/>
    <s v="Female"/>
    <s v="O+"/>
    <s v="7103 Main St"/>
    <s v="555-449-6445"/>
    <s v="HOS-01"/>
    <d v="2026-03-17T00:00:00"/>
    <x v="3"/>
    <n v="36"/>
    <x v="0"/>
  </r>
  <r>
    <s v="PAT-1429"/>
    <s v="ENC-429"/>
    <s v="Priya Brown"/>
    <d v="1982-01-26T00:00:00"/>
    <s v="Female"/>
    <s v="A+"/>
    <s v="5441 Main St"/>
    <s v="555-621-8018"/>
    <s v="CLI-01"/>
    <d v="2026-03-16T00:00:00"/>
    <x v="0"/>
    <n v="44"/>
    <x v="0"/>
  </r>
  <r>
    <s v="PAT-1359"/>
    <s v="ENC-359"/>
    <s v="Linda Singh"/>
    <d v="1940-05-29T00:00:00"/>
    <s v="Female"/>
    <s v="O+"/>
    <s v="9065 Main St"/>
    <s v="555-259-7743"/>
    <s v="HOS-01"/>
    <d v="2026-03-05T00:00:00"/>
    <x v="3"/>
    <n v="85"/>
    <x v="0"/>
  </r>
  <r>
    <s v="PAT-1120"/>
    <s v="ENC-120"/>
    <s v="Linda Johnson"/>
    <d v="1967-05-09T00:00:00"/>
    <s v="Male"/>
    <s v="B+"/>
    <s v="4425 Main St"/>
    <s v="555-958-4887"/>
    <s v="HOS-01"/>
    <d v="2026-02-28T00:00:00"/>
    <x v="2"/>
    <n v="58"/>
    <x v="0"/>
  </r>
  <r>
    <s v="PAT-1393"/>
    <s v="ENC-393"/>
    <s v="Mary Jones"/>
    <d v="1979-04-30T00:00:00"/>
    <s v="Non-binary"/>
    <s v="AB+"/>
    <s v="1296 Main St"/>
    <s v="555-564-1530"/>
    <s v="HOS-01"/>
    <d v="2026-02-26T00:00:00"/>
    <x v="1"/>
    <n v="46"/>
    <x v="0"/>
  </r>
  <r>
    <s v="PAT-1499"/>
    <s v="ENC-499"/>
    <s v="Jennifer Williams"/>
    <d v="1968-10-06T00:00:00"/>
    <s v="Female"/>
    <s v="O+"/>
    <s v="916 Main St"/>
    <s v="555-787-4572"/>
    <s v="HOS-01"/>
    <d v="2026-02-20T00:00:00"/>
    <x v="3"/>
    <n v="57"/>
    <x v="0"/>
  </r>
  <r>
    <s v="PAT-1233"/>
    <s v="ENC-233"/>
    <s v="Aarav Johnson"/>
    <d v="1954-07-26T00:00:00"/>
    <s v="Female"/>
    <s v="B-"/>
    <s v="3610 Main St"/>
    <s v="555-686-2143"/>
    <s v="HOS-01"/>
    <d v="2026-02-17T00:00:00"/>
    <x v="0"/>
    <n v="71"/>
    <x v="0"/>
  </r>
  <r>
    <s v="PAT-1261"/>
    <s v="ENC-261"/>
    <s v="Michael Patel"/>
    <d v="1988-02-19T00:00:00"/>
    <s v="Female"/>
    <s v="AB-"/>
    <s v="5777 Main St"/>
    <s v="555-952-3934"/>
    <s v="HOS-01"/>
    <d v="2026-02-15T00:00:00"/>
    <x v="0"/>
    <n v="37"/>
    <x v="0"/>
  </r>
  <r>
    <s v="PAT-1161"/>
    <s v="ENC-161"/>
    <s v="Jennifer Garcia"/>
    <d v="1995-08-06T00:00:00"/>
    <s v="Female"/>
    <s v="A-"/>
    <s v="8796 Main St"/>
    <s v="555-170-2149"/>
    <s v="HOS-01"/>
    <d v="2026-02-08T00:00:00"/>
    <x v="1"/>
    <n v="30"/>
    <x v="0"/>
  </r>
  <r>
    <s v="PAT-1328"/>
    <s v="ENC-328"/>
    <s v="John Garcia"/>
    <d v="2003-11-23T00:00:00"/>
    <s v="Female"/>
    <s v="O+"/>
    <s v="5434 Main St"/>
    <s v="555-842-3239"/>
    <s v="CLI-01"/>
    <d v="2026-02-02T00:00:00"/>
    <x v="3"/>
    <n v="22"/>
    <x v="0"/>
  </r>
  <r>
    <s v="PAT-1263"/>
    <s v="ENC-263"/>
    <s v="Jennifer Garcia"/>
    <d v="1956-01-21T00:00:00"/>
    <s v="Female"/>
    <s v="AB+"/>
    <s v="3293 Main St"/>
    <s v="555-712-9555"/>
    <s v="CLI-01"/>
    <d v="2026-02-01T00:00:00"/>
    <x v="2"/>
    <n v="70"/>
    <x v="0"/>
  </r>
  <r>
    <s v="PAT-1253"/>
    <s v="ENC-253"/>
    <s v="Aarav Singh"/>
    <d v="1965-04-07T00:00:00"/>
    <s v="Non-binary"/>
    <s v="AB-"/>
    <s v="8518 Main St"/>
    <s v="555-959-4698"/>
    <s v="CLI-01"/>
    <d v="2026-01-21T00:00:00"/>
    <x v="1"/>
    <n v="60"/>
    <x v="0"/>
  </r>
  <r>
    <s v="PAT-1487"/>
    <s v="ENC-487"/>
    <s v="Priya Johnson"/>
    <d v="1958-08-25T00:00:00"/>
    <s v="Non-binary"/>
    <s v="B+"/>
    <s v="6273 Main St"/>
    <s v="555-442-1419"/>
    <s v="CLI-01"/>
    <d v="2026-01-15T00:00:00"/>
    <x v="3"/>
    <n v="67"/>
    <x v="0"/>
  </r>
  <r>
    <s v="PAT-1491"/>
    <s v="ENC-491"/>
    <s v="Patricia Johnson"/>
    <d v="1962-03-12T00:00:00"/>
    <s v="Non-binary"/>
    <s v="A+"/>
    <s v="1357 Main St"/>
    <s v="555-519-2553"/>
    <s v="HOS-01"/>
    <d v="2026-01-08T00:00:00"/>
    <x v="2"/>
    <n v="63"/>
    <x v="0"/>
  </r>
  <r>
    <s v="PAT-1413"/>
    <s v="ENC-413"/>
    <s v="Michael Singh"/>
    <d v="1957-09-03T00:00:00"/>
    <s v="Non-binary"/>
    <s v="B-"/>
    <s v="6370 Main St"/>
    <s v="555-613-2636"/>
    <s v="CLI-01"/>
    <d v="2026-01-05T00:00:00"/>
    <x v="2"/>
    <n v="68"/>
    <x v="0"/>
  </r>
  <r>
    <s v="PAT-1391"/>
    <s v="ENC-391"/>
    <s v="Priya Williams"/>
    <d v="1942-04-04T00:00:00"/>
    <s v="Non-binary"/>
    <s v="A+"/>
    <s v="734 Main St"/>
    <s v="555-905-4775"/>
    <s v="CLI-01"/>
    <d v="2026-01-01T00:00:00"/>
    <x v="1"/>
    <n v="83"/>
    <x v="0"/>
  </r>
  <r>
    <s v="PAT-1285"/>
    <s v="ENC-285"/>
    <s v="Patricia Singh"/>
    <d v="1988-06-23T00:00:00"/>
    <s v="Non-binary"/>
    <s v="AB+"/>
    <s v="8894 Main St"/>
    <s v="555-136-7805"/>
    <s v="HOS-01"/>
    <d v="2025-12-29T00:00:00"/>
    <x v="3"/>
    <n v="37"/>
    <x v="1"/>
  </r>
  <r>
    <s v="PAT-1032"/>
    <s v="ENC-32"/>
    <s v="Jennifer Patel"/>
    <d v="1955-06-19T00:00:00"/>
    <s v="Male"/>
    <s v="A+"/>
    <s v="3329 Main St"/>
    <s v="555-300-2158"/>
    <s v="HOS-01"/>
    <d v="2025-12-25T00:00:00"/>
    <x v="0"/>
    <n v="70"/>
    <x v="1"/>
  </r>
  <r>
    <s v="PAT-1126"/>
    <s v="ENC-126"/>
    <s v="Jennifer Smith"/>
    <d v="1971-09-02T00:00:00"/>
    <s v="Male"/>
    <s v="A-"/>
    <s v="5761 Main St"/>
    <s v="555-476-8494"/>
    <s v="HOS-01"/>
    <d v="2025-12-17T00:00:00"/>
    <x v="3"/>
    <n v="54"/>
    <x v="1"/>
  </r>
  <r>
    <s v="PAT-1425"/>
    <s v="ENC-425"/>
    <s v="Linda Johnson"/>
    <d v="1952-03-20T00:00:00"/>
    <s v="Non-binary"/>
    <s v="AB+"/>
    <s v="6003 Main St"/>
    <s v="555-225-5553"/>
    <s v="CLI-01"/>
    <d v="2025-12-17T00:00:00"/>
    <x v="0"/>
    <n v="73"/>
    <x v="1"/>
  </r>
  <r>
    <s v="PAT-1228"/>
    <s v="ENC-228"/>
    <s v="Jennifer Patel"/>
    <d v="1971-04-09T00:00:00"/>
    <s v="Non-binary"/>
    <s v="B+"/>
    <s v="8820 Main St"/>
    <s v="555-248-3603"/>
    <s v="CLI-01"/>
    <d v="2025-12-16T00:00:00"/>
    <x v="3"/>
    <n v="54"/>
    <x v="1"/>
  </r>
  <r>
    <s v="PAT-1314"/>
    <s v="ENC-314"/>
    <s v="Aarav Brown"/>
    <d v="1945-12-29T00:00:00"/>
    <s v="Female"/>
    <s v="O-"/>
    <s v="2344 Main St"/>
    <s v="555-659-5676"/>
    <s v="CLI-01"/>
    <d v="2025-12-16T00:00:00"/>
    <x v="0"/>
    <n v="79"/>
    <x v="1"/>
  </r>
  <r>
    <s v="PAT-1260"/>
    <s v="ENC-260"/>
    <s v="Aarav Garcia"/>
    <d v="1993-09-17T00:00:00"/>
    <s v="Non-binary"/>
    <s v="O-"/>
    <s v="1068 Main St"/>
    <s v="555-851-5895"/>
    <s v="CLI-01"/>
    <d v="2025-12-15T00:00:00"/>
    <x v="2"/>
    <n v="32"/>
    <x v="1"/>
  </r>
  <r>
    <s v="PAT-1033"/>
    <s v="ENC-33"/>
    <s v="John Johnson"/>
    <d v="2001-04-02T00:00:00"/>
    <s v="Male"/>
    <s v="A-"/>
    <s v="1175 Main St"/>
    <s v="555-246-7696"/>
    <s v="HOS-01"/>
    <d v="2025-12-06T00:00:00"/>
    <x v="2"/>
    <n v="24"/>
    <x v="1"/>
  </r>
  <r>
    <s v="PAT-1019"/>
    <s v="ENC-19"/>
    <s v="Patricia Williams"/>
    <d v="2008-09-15T00:00:00"/>
    <s v="Non-binary"/>
    <s v="O+"/>
    <s v="139 Main St"/>
    <s v="555-824-3110"/>
    <s v="CLI-01"/>
    <d v="2025-12-04T00:00:00"/>
    <x v="0"/>
    <n v="17"/>
    <x v="1"/>
  </r>
  <r>
    <s v="PAT-1312"/>
    <s v="ENC-312"/>
    <s v="Patricia Johnson"/>
    <d v="1946-09-17T00:00:00"/>
    <s v="Non-binary"/>
    <s v="B-"/>
    <s v="5666 Main St"/>
    <s v="555-482-6332"/>
    <s v="HOS-01"/>
    <d v="2025-12-04T00:00:00"/>
    <x v="2"/>
    <n v="79"/>
    <x v="1"/>
  </r>
  <r>
    <s v="PAT-1318"/>
    <s v="ENC-318"/>
    <s v="Patricia Singh"/>
    <d v="1979-05-25T00:00:00"/>
    <s v="Non-binary"/>
    <s v="AB-"/>
    <s v="6357 Main St"/>
    <s v="555-308-6559"/>
    <s v="HOS-01"/>
    <d v="2025-12-01T00:00:00"/>
    <x v="2"/>
    <n v="46"/>
    <x v="1"/>
  </r>
  <r>
    <s v="PAT-1133"/>
    <s v="ENC-133"/>
    <s v="Mary Williams"/>
    <d v="1968-12-15T00:00:00"/>
    <s v="Male"/>
    <s v="B-"/>
    <s v="2022 Main St"/>
    <s v="555-118-8950"/>
    <s v="HOS-01"/>
    <d v="2025-11-26T00:00:00"/>
    <x v="2"/>
    <n v="56"/>
    <x v="1"/>
  </r>
  <r>
    <s v="PAT-1054"/>
    <s v="ENC-54"/>
    <s v="Priya Singh"/>
    <d v="1963-10-06T00:00:00"/>
    <s v="Non-binary"/>
    <s v="O+"/>
    <s v="5831 Main St"/>
    <s v="555-618-3733"/>
    <s v="HOS-01"/>
    <d v="2025-11-22T00:00:00"/>
    <x v="2"/>
    <n v="62"/>
    <x v="1"/>
  </r>
  <r>
    <s v="PAT-1464"/>
    <s v="ENC-464"/>
    <s v="Michael Johnson"/>
    <d v="1977-11-03T00:00:00"/>
    <s v="Female"/>
    <s v="O-"/>
    <s v="4501 Main St"/>
    <s v="555-149-3907"/>
    <s v="CLI-01"/>
    <d v="2025-11-18T00:00:00"/>
    <x v="2"/>
    <n v="48"/>
    <x v="1"/>
  </r>
  <r>
    <s v="PAT-1386"/>
    <s v="ENC-386"/>
    <s v="Robert Garcia"/>
    <d v="1965-01-05T00:00:00"/>
    <s v="Male"/>
    <s v="A-"/>
    <s v="4324 Main St"/>
    <s v="555-359-4164"/>
    <s v="HOS-01"/>
    <d v="2025-11-17T00:00:00"/>
    <x v="0"/>
    <n v="60"/>
    <x v="1"/>
  </r>
  <r>
    <s v="PAT-1087"/>
    <s v="ENC-87"/>
    <s v="Aarav Singh"/>
    <d v="1965-12-16T00:00:00"/>
    <s v="Male"/>
    <s v="B+"/>
    <s v="1373 Main St"/>
    <s v="555-796-5502"/>
    <s v="HOS-01"/>
    <d v="2025-11-14T00:00:00"/>
    <x v="3"/>
    <n v="59"/>
    <x v="1"/>
  </r>
  <r>
    <s v="PAT-1041"/>
    <s v="ENC-41"/>
    <s v="Michael Patel"/>
    <d v="1985-02-23T00:00:00"/>
    <s v="Male"/>
    <s v="A+"/>
    <s v="8321 Main St"/>
    <s v="555-399-4410"/>
    <s v="HOS-01"/>
    <d v="2025-11-09T00:00:00"/>
    <x v="1"/>
    <n v="40"/>
    <x v="1"/>
  </r>
  <r>
    <s v="PAT-1085"/>
    <s v="ENC-85"/>
    <s v="Priya Garcia"/>
    <d v="1964-10-29T00:00:00"/>
    <s v="Non-binary"/>
    <s v="AB-"/>
    <s v="3611 Main St"/>
    <s v="555-496-2811"/>
    <s v="HOS-01"/>
    <d v="2025-11-09T00:00:00"/>
    <x v="2"/>
    <n v="61"/>
    <x v="1"/>
  </r>
  <r>
    <s v="PAT-1164"/>
    <s v="ENC-164"/>
    <s v="John Jones"/>
    <d v="1994-07-29T00:00:00"/>
    <s v="Male"/>
    <s v="O+"/>
    <s v="7953 Main St"/>
    <s v="555-668-3849"/>
    <s v="HOS-01"/>
    <d v="2025-11-06T00:00:00"/>
    <x v="3"/>
    <n v="31"/>
    <x v="1"/>
  </r>
  <r>
    <s v="PAT-1419"/>
    <s v="ENC-419"/>
    <s v="Mary Patel"/>
    <d v="1943-03-29T00:00:00"/>
    <s v="Non-binary"/>
    <s v="AB+"/>
    <s v="2955 Main St"/>
    <s v="555-921-1822"/>
    <s v="CLI-01"/>
    <d v="2025-11-02T00:00:00"/>
    <x v="3"/>
    <n v="82"/>
    <x v="1"/>
  </r>
  <r>
    <s v="PAT-1438"/>
    <s v="ENC-438"/>
    <s v="Linda Singh"/>
    <d v="1970-02-09T00:00:00"/>
    <s v="Female"/>
    <s v="A+"/>
    <s v="1320 Main St"/>
    <s v="555-362-8204"/>
    <s v="HOS-01"/>
    <d v="2025-11-02T00:00:00"/>
    <x v="0"/>
    <n v="55"/>
    <x v="1"/>
  </r>
  <r>
    <s v="PAT-1031"/>
    <s v="ENC-31"/>
    <s v="Aarav Garcia"/>
    <d v="1947-09-02T00:00:00"/>
    <s v="Female"/>
    <s v="AB-"/>
    <s v="7138 Main St"/>
    <s v="555-315-2819"/>
    <s v="HOS-01"/>
    <d v="2025-10-31T00:00:00"/>
    <x v="2"/>
    <n v="78"/>
    <x v="1"/>
  </r>
  <r>
    <s v="PAT-1303"/>
    <s v="ENC-303"/>
    <s v="James Jones"/>
    <d v="1975-11-07T00:00:00"/>
    <s v="Non-binary"/>
    <s v="O-"/>
    <s v="2721 Main St"/>
    <s v="555-486-1553"/>
    <s v="HOS-01"/>
    <d v="2025-10-31T00:00:00"/>
    <x v="0"/>
    <n v="49"/>
    <x v="1"/>
  </r>
  <r>
    <s v="PAT-1420"/>
    <s v="ENC-420"/>
    <s v="Robert Smith"/>
    <d v="1982-12-25T00:00:00"/>
    <s v="Female"/>
    <s v="B-"/>
    <s v="7921 Main St"/>
    <s v="555-553-6639"/>
    <s v="CLI-01"/>
    <d v="2025-10-25T00:00:00"/>
    <x v="3"/>
    <n v="42"/>
    <x v="1"/>
  </r>
  <r>
    <s v="PAT-1326"/>
    <s v="ENC-326"/>
    <s v="Michael Johnson"/>
    <d v="1968-10-14T00:00:00"/>
    <s v="Male"/>
    <s v="AB-"/>
    <s v="4082 Main St"/>
    <s v="555-658-8516"/>
    <s v="HOS-01"/>
    <d v="2025-10-22T00:00:00"/>
    <x v="3"/>
    <n v="57"/>
    <x v="1"/>
  </r>
  <r>
    <s v="PAT-1465"/>
    <s v="ENC-465"/>
    <s v="John Singh"/>
    <d v="1971-09-11T00:00:00"/>
    <s v="Male"/>
    <s v="AB+"/>
    <s v="5850 Main St"/>
    <s v="555-359-2252"/>
    <s v="HOS-01"/>
    <d v="2025-10-18T00:00:00"/>
    <x v="0"/>
    <n v="54"/>
    <x v="1"/>
  </r>
  <r>
    <s v="PAT-1055"/>
    <s v="ENC-55"/>
    <s v="Mary Brown"/>
    <d v="1942-10-21T00:00:00"/>
    <s v="Non-binary"/>
    <s v="O+"/>
    <s v="4438 Main St"/>
    <s v="555-680-8734"/>
    <s v="CLI-01"/>
    <d v="2025-10-13T00:00:00"/>
    <x v="1"/>
    <n v="82"/>
    <x v="1"/>
  </r>
  <r>
    <s v="PAT-1339"/>
    <s v="ENC-339"/>
    <s v="Linda Patel"/>
    <d v="1986-10-01T00:00:00"/>
    <s v="Non-binary"/>
    <s v="AB-"/>
    <s v="9948 Main St"/>
    <s v="555-503-4376"/>
    <s v="HOS-01"/>
    <d v="2025-10-09T00:00:00"/>
    <x v="3"/>
    <n v="39"/>
    <x v="1"/>
  </r>
  <r>
    <s v="PAT-1108"/>
    <s v="ENC-108"/>
    <s v="Patricia Garcia"/>
    <d v="1975-07-20T00:00:00"/>
    <s v="Female"/>
    <s v="O+"/>
    <s v="405 Main St"/>
    <s v="555-355-8411"/>
    <s v="HOS-01"/>
    <d v="2025-09-24T00:00:00"/>
    <x v="2"/>
    <n v="50"/>
    <x v="1"/>
  </r>
  <r>
    <s v="PAT-1125"/>
    <s v="ENC-125"/>
    <s v="Jennifer Patel"/>
    <d v="1976-11-27T00:00:00"/>
    <s v="Male"/>
    <s v="A+"/>
    <s v="9879 Main St"/>
    <s v="555-903-3164"/>
    <s v="CLI-01"/>
    <d v="2025-09-23T00:00:00"/>
    <x v="3"/>
    <n v="48"/>
    <x v="1"/>
  </r>
  <r>
    <s v="PAT-1066"/>
    <s v="ENC-66"/>
    <s v="James Garcia"/>
    <d v="1968-06-29T00:00:00"/>
    <s v="Male"/>
    <s v="O+"/>
    <s v="1669 Main St"/>
    <s v="555-759-8097"/>
    <s v="CLI-01"/>
    <d v="2025-09-21T00:00:00"/>
    <x v="0"/>
    <n v="57"/>
    <x v="1"/>
  </r>
  <r>
    <s v="PAT-1211"/>
    <s v="ENC-211"/>
    <s v="Jennifer Johnson"/>
    <d v="1956-07-31T00:00:00"/>
    <s v="Male"/>
    <s v="B-"/>
    <s v="4022 Main St"/>
    <s v="555-506-8646"/>
    <s v="CLI-01"/>
    <d v="2025-09-15T00:00:00"/>
    <x v="3"/>
    <n v="69"/>
    <x v="1"/>
  </r>
  <r>
    <s v="PAT-1217"/>
    <s v="ENC-217"/>
    <s v="John Patel"/>
    <d v="1961-03-03T00:00:00"/>
    <s v="Non-binary"/>
    <s v="O-"/>
    <s v="8817 Main St"/>
    <s v="555-526-7684"/>
    <s v="HOS-01"/>
    <d v="2025-09-13T00:00:00"/>
    <x v="0"/>
    <n v="64"/>
    <x v="1"/>
  </r>
  <r>
    <s v="PAT-1306"/>
    <s v="ENC-306"/>
    <s v="James Smith"/>
    <d v="1969-05-23T00:00:00"/>
    <s v="Male"/>
    <s v="B-"/>
    <s v="4384 Main St"/>
    <s v="555-151-9907"/>
    <s v="CLI-01"/>
    <d v="2025-09-07T00:00:00"/>
    <x v="3"/>
    <n v="56"/>
    <x v="1"/>
  </r>
  <r>
    <s v="PAT-1244"/>
    <s v="ENC-244"/>
    <s v="Michael Garcia"/>
    <d v="1981-03-05T00:00:00"/>
    <s v="Female"/>
    <s v="B-"/>
    <s v="7030 Main St"/>
    <s v="555-982-3377"/>
    <s v="CLI-01"/>
    <d v="2025-08-31T00:00:00"/>
    <x v="0"/>
    <n v="44"/>
    <x v="1"/>
  </r>
  <r>
    <s v="PAT-1308"/>
    <s v="ENC-308"/>
    <s v="Priya Jones"/>
    <d v="1982-03-28T00:00:00"/>
    <s v="Female"/>
    <s v="AB-"/>
    <s v="2682 Main St"/>
    <s v="555-343-4978"/>
    <s v="HOS-01"/>
    <d v="2025-08-29T00:00:00"/>
    <x v="3"/>
    <n v="43"/>
    <x v="1"/>
  </r>
  <r>
    <s v="PAT-1406"/>
    <s v="ENC-406"/>
    <s v="Robert Jones"/>
    <d v="1941-12-03T00:00:00"/>
    <s v="Male"/>
    <s v="AB+"/>
    <s v="4783 Main St"/>
    <s v="555-999-6362"/>
    <s v="HOS-01"/>
    <d v="2025-08-29T00:00:00"/>
    <x v="2"/>
    <n v="83"/>
    <x v="1"/>
  </r>
  <r>
    <s v="PAT-1102"/>
    <s v="ENC-102"/>
    <s v="Michael Garcia"/>
    <d v="2001-01-01T00:00:00"/>
    <s v="Non-binary"/>
    <s v="AB-"/>
    <s v="887 Main St"/>
    <s v="555-371-7312"/>
    <s v="CLI-01"/>
    <d v="2025-08-24T00:00:00"/>
    <x v="0"/>
    <n v="24"/>
    <x v="1"/>
  </r>
  <r>
    <s v="PAT-1433"/>
    <s v="ENC-433"/>
    <s v="Michael Patel"/>
    <d v="1993-07-10T00:00:00"/>
    <s v="Female"/>
    <s v="AB-"/>
    <s v="5903 Main St"/>
    <s v="555-363-9648"/>
    <s v="CLI-01"/>
    <d v="2025-08-19T00:00:00"/>
    <x v="2"/>
    <n v="32"/>
    <x v="1"/>
  </r>
  <r>
    <s v="PAT-1466"/>
    <s v="ENC-466"/>
    <s v="John Patel"/>
    <d v="2004-08-31T00:00:00"/>
    <s v="Non-binary"/>
    <s v="B+"/>
    <s v="2241 Main St"/>
    <s v="555-243-4447"/>
    <s v="CLI-01"/>
    <d v="2025-08-19T00:00:00"/>
    <x v="3"/>
    <n v="20"/>
    <x v="1"/>
  </r>
  <r>
    <s v="PAT-1291"/>
    <s v="ENC-291"/>
    <s v="Jennifer Brown"/>
    <d v="2000-05-04T00:00:00"/>
    <s v="Female"/>
    <s v="AB-"/>
    <s v="9007 Main St"/>
    <s v="555-307-7057"/>
    <s v="HOS-01"/>
    <d v="2025-08-17T00:00:00"/>
    <x v="1"/>
    <n v="25"/>
    <x v="1"/>
  </r>
  <r>
    <s v="PAT-1483"/>
    <s v="ENC-483"/>
    <s v="Patricia Patel"/>
    <d v="1962-07-16T00:00:00"/>
    <s v="Female"/>
    <s v="AB+"/>
    <s v="2666 Main St"/>
    <s v="555-765-5938"/>
    <s v="HOS-01"/>
    <d v="2025-08-14T00:00:00"/>
    <x v="2"/>
    <n v="63"/>
    <x v="1"/>
  </r>
  <r>
    <s v="PAT-1063"/>
    <s v="ENC-63"/>
    <s v="Patricia Smith"/>
    <d v="1963-03-06T00:00:00"/>
    <s v="Female"/>
    <s v="O+"/>
    <s v="9461 Main St"/>
    <s v="555-185-8666"/>
    <s v="CLI-01"/>
    <d v="2025-08-09T00:00:00"/>
    <x v="1"/>
    <n v="62"/>
    <x v="1"/>
  </r>
  <r>
    <s v="PAT-1321"/>
    <s v="ENC-321"/>
    <s v="Robert Brown"/>
    <d v="2002-09-30T00:00:00"/>
    <s v="Female"/>
    <s v="AB+"/>
    <s v="4481 Main St"/>
    <s v="555-724-1648"/>
    <s v="CLI-01"/>
    <d v="2025-08-09T00:00:00"/>
    <x v="0"/>
    <n v="22"/>
    <x v="1"/>
  </r>
  <r>
    <s v="PAT-1430"/>
    <s v="ENC-430"/>
    <s v="Priya Singh"/>
    <d v="1947-10-28T00:00:00"/>
    <s v="Male"/>
    <s v="B+"/>
    <s v="7397 Main St"/>
    <s v="555-588-2399"/>
    <s v="HOS-01"/>
    <d v="2025-08-09T00:00:00"/>
    <x v="1"/>
    <n v="77"/>
    <x v="1"/>
  </r>
  <r>
    <s v="PAT-1197"/>
    <s v="ENC-197"/>
    <s v="Priya Patel"/>
    <d v="1972-01-01T00:00:00"/>
    <s v="Female"/>
    <s v="AB-"/>
    <s v="5901 Main St"/>
    <s v="555-291-6497"/>
    <s v="CLI-01"/>
    <d v="2025-08-08T00:00:00"/>
    <x v="0"/>
    <n v="53"/>
    <x v="1"/>
  </r>
  <r>
    <s v="PAT-1402"/>
    <s v="ENC-402"/>
    <s v="Aarav Brown"/>
    <d v="1965-10-11T00:00:00"/>
    <s v="Male"/>
    <s v="O-"/>
    <s v="9394 Main St"/>
    <s v="555-250-9752"/>
    <s v="CLI-01"/>
    <d v="2025-08-03T00:00:00"/>
    <x v="0"/>
    <n v="59"/>
    <x v="1"/>
  </r>
  <r>
    <s v="PAT-1304"/>
    <s v="ENC-304"/>
    <s v="John Singh"/>
    <d v="1996-09-12T00:00:00"/>
    <s v="Non-binary"/>
    <s v="A-"/>
    <s v="1779 Main St"/>
    <s v="555-227-8010"/>
    <s v="HOS-01"/>
    <d v="2025-07-28T00:00:00"/>
    <x v="2"/>
    <n v="28"/>
    <x v="1"/>
  </r>
  <r>
    <s v="PAT-1236"/>
    <s v="ENC-236"/>
    <s v="Robert Singh"/>
    <d v="1993-07-03T00:00:00"/>
    <s v="Female"/>
    <s v="B+"/>
    <s v="1311 Main St"/>
    <s v="555-899-8409"/>
    <s v="HOS-01"/>
    <d v="2025-07-27T00:00:00"/>
    <x v="0"/>
    <n v="32"/>
    <x v="1"/>
  </r>
  <r>
    <s v="PAT-1111"/>
    <s v="ENC-111"/>
    <s v="John Garcia"/>
    <d v="1949-11-10T00:00:00"/>
    <s v="Male"/>
    <s v="AB+"/>
    <s v="5614 Main St"/>
    <s v="555-262-5723"/>
    <s v="CLI-01"/>
    <d v="2025-07-26T00:00:00"/>
    <x v="0"/>
    <n v="75"/>
    <x v="1"/>
  </r>
  <r>
    <s v="PAT-1004"/>
    <s v="ENC-4"/>
    <s v="Robert Brown"/>
    <d v="1990-04-05T00:00:00"/>
    <s v="Male"/>
    <s v="AB-"/>
    <s v="2641 Main St"/>
    <s v="555-263-7728"/>
    <s v="CLI-01"/>
    <d v="2025-07-13T00:00:00"/>
    <x v="0"/>
    <n v="35"/>
    <x v="1"/>
  </r>
  <r>
    <s v="PAT-1467"/>
    <s v="ENC-467"/>
    <s v="Patricia Patel"/>
    <d v="1969-10-17T00:00:00"/>
    <s v="Female"/>
    <s v="AB-"/>
    <s v="407 Main St"/>
    <s v="555-835-6142"/>
    <s v="CLI-01"/>
    <d v="2025-07-13T00:00:00"/>
    <x v="1"/>
    <n v="55"/>
    <x v="1"/>
  </r>
  <r>
    <s v="PAT-1124"/>
    <s v="ENC-124"/>
    <s v="Robert Jones"/>
    <d v="1986-01-12T00:00:00"/>
    <s v="Female"/>
    <s v="B+"/>
    <s v="7417 Main St"/>
    <s v="555-649-3620"/>
    <s v="CLI-01"/>
    <d v="2025-07-09T00:00:00"/>
    <x v="1"/>
    <n v="39"/>
    <x v="1"/>
  </r>
  <r>
    <s v="PAT-1404"/>
    <s v="ENC-404"/>
    <s v="Linda Garcia"/>
    <d v="1964-02-14T00:00:00"/>
    <s v="Female"/>
    <s v="O+"/>
    <s v="7460 Main St"/>
    <s v="555-490-3148"/>
    <s v="CLI-01"/>
    <d v="2025-07-09T00:00:00"/>
    <x v="1"/>
    <n v="61"/>
    <x v="1"/>
  </r>
  <r>
    <s v="PAT-1075"/>
    <s v="ENC-75"/>
    <s v="Priya Singh"/>
    <d v="1977-11-13T00:00:00"/>
    <s v="Male"/>
    <s v="O+"/>
    <s v="8514 Main St"/>
    <s v="555-103-9025"/>
    <s v="HOS-01"/>
    <d v="2025-06-28T00:00:00"/>
    <x v="1"/>
    <n v="47"/>
    <x v="1"/>
  </r>
  <r>
    <s v="PAT-1372"/>
    <s v="ENC-372"/>
    <s v="Robert Patel"/>
    <d v="1967-12-24T00:00:00"/>
    <s v="Non-binary"/>
    <s v="AB+"/>
    <s v="9851 Main St"/>
    <s v="555-387-8562"/>
    <s v="CLI-01"/>
    <d v="2025-06-26T00:00:00"/>
    <x v="3"/>
    <n v="57"/>
    <x v="1"/>
  </r>
  <r>
    <s v="PAT-1267"/>
    <s v="ENC-267"/>
    <s v="James Patel"/>
    <d v="1992-06-08T00:00:00"/>
    <s v="Female"/>
    <s v="B-"/>
    <s v="2211 Main St"/>
    <s v="555-196-5012"/>
    <s v="CLI-01"/>
    <d v="2025-06-25T00:00:00"/>
    <x v="0"/>
    <n v="33"/>
    <x v="1"/>
  </r>
  <r>
    <s v="PAT-1441"/>
    <s v="ENC-441"/>
    <s v="Michael Smith"/>
    <d v="1983-09-15T00:00:00"/>
    <s v="Non-binary"/>
    <s v="AB-"/>
    <s v="8677 Main St"/>
    <s v="555-479-2998"/>
    <s v="HOS-01"/>
    <d v="2025-06-23T00:00:00"/>
    <x v="1"/>
    <n v="41"/>
    <x v="1"/>
  </r>
  <r>
    <s v="PAT-1038"/>
    <s v="ENC-38"/>
    <s v="Michael Patel"/>
    <d v="1981-03-23T00:00:00"/>
    <s v="Female"/>
    <s v="A-"/>
    <s v="4439 Main St"/>
    <s v="555-185-7157"/>
    <s v="HOS-01"/>
    <d v="2025-06-15T00:00:00"/>
    <x v="2"/>
    <n v="44"/>
    <x v="1"/>
  </r>
  <r>
    <s v="PAT-1355"/>
    <s v="ENC-355"/>
    <s v="Mary Patel"/>
    <d v="1950-08-16T00:00:00"/>
    <s v="Female"/>
    <s v="B-"/>
    <s v="303 Main St"/>
    <s v="555-393-6788"/>
    <s v="HOS-01"/>
    <d v="2025-06-12T00:00:00"/>
    <x v="0"/>
    <n v="74"/>
    <x v="1"/>
  </r>
  <r>
    <s v="PAT-1434"/>
    <s v="ENC-434"/>
    <s v="Robert Patel"/>
    <d v="2005-02-14T00:00:00"/>
    <s v="Male"/>
    <s v="AB-"/>
    <s v="7803 Main St"/>
    <s v="555-198-5152"/>
    <s v="HOS-01"/>
    <d v="2025-06-01T00:00:00"/>
    <x v="3"/>
    <n v="20"/>
    <x v="1"/>
  </r>
  <r>
    <s v="PAT-1015"/>
    <s v="ENC-15"/>
    <s v="Robert Garcia"/>
    <d v="1975-05-12T00:00:00"/>
    <s v="Non-binary"/>
    <s v="O-"/>
    <s v="4596 Main St"/>
    <s v="555-623-5747"/>
    <s v="CLI-01"/>
    <d v="2025-05-28T00:00:00"/>
    <x v="3"/>
    <n v="50"/>
    <x v="1"/>
  </r>
  <r>
    <s v="PAT-1300"/>
    <s v="ENC-300"/>
    <s v="Priya Johnson"/>
    <d v="1992-05-19T00:00:00"/>
    <s v="Male"/>
    <s v="AB-"/>
    <s v="4313 Main St"/>
    <s v="555-732-6150"/>
    <s v="CLI-01"/>
    <d v="2025-05-25T00:00:00"/>
    <x v="2"/>
    <n v="33"/>
    <x v="1"/>
  </r>
  <r>
    <s v="PAT-1423"/>
    <s v="ENC-423"/>
    <s v="Robert Patel"/>
    <d v="1985-10-20T00:00:00"/>
    <s v="Non-binary"/>
    <s v="AB+"/>
    <s v="392 Main St"/>
    <s v="555-334-3957"/>
    <s v="CLI-01"/>
    <d v="2025-05-21T00:00:00"/>
    <x v="2"/>
    <n v="39"/>
    <x v="1"/>
  </r>
  <r>
    <s v="PAT-1280"/>
    <s v="ENC-280"/>
    <s v="Robert Williams"/>
    <d v="2006-06-05T00:00:00"/>
    <s v="Non-binary"/>
    <s v="O+"/>
    <s v="4518 Main St"/>
    <s v="555-912-1658"/>
    <s v="CLI-01"/>
    <d v="2025-05-19T00:00:00"/>
    <x v="1"/>
    <n v="18"/>
    <x v="1"/>
  </r>
  <r>
    <s v="PAT-1177"/>
    <s v="ENC-177"/>
    <s v="Jennifer Johnson"/>
    <d v="1978-10-28T00:00:00"/>
    <s v="Male"/>
    <s v="O+"/>
    <s v="4505 Main St"/>
    <s v="555-285-7638"/>
    <s v="HOS-01"/>
    <d v="2025-05-14T00:00:00"/>
    <x v="2"/>
    <n v="46"/>
    <x v="1"/>
  </r>
  <r>
    <s v="PAT-1115"/>
    <s v="ENC-115"/>
    <s v="James Williams"/>
    <d v="1998-08-08T00:00:00"/>
    <s v="Male"/>
    <s v="A+"/>
    <s v="3340 Main St"/>
    <s v="555-326-4721"/>
    <s v="HOS-01"/>
    <d v="2025-05-12T00:00:00"/>
    <x v="2"/>
    <n v="26"/>
    <x v="1"/>
  </r>
  <r>
    <s v="PAT-1213"/>
    <s v="ENC-213"/>
    <s v="Robert Singh"/>
    <d v="1981-08-29T00:00:00"/>
    <s v="Non-binary"/>
    <s v="AB-"/>
    <s v="5775 Main St"/>
    <s v="555-902-8479"/>
    <s v="CLI-01"/>
    <d v="2025-05-09T00:00:00"/>
    <x v="2"/>
    <n v="43"/>
    <x v="1"/>
  </r>
  <r>
    <s v="PAT-1407"/>
    <s v="ENC-407"/>
    <s v="Linda Jones"/>
    <d v="1948-06-15T00:00:00"/>
    <s v="Male"/>
    <s v="O-"/>
    <s v="1932 Main St"/>
    <s v="555-230-6501"/>
    <s v="HOS-01"/>
    <d v="2025-05-09T00:00:00"/>
    <x v="3"/>
    <n v="76"/>
    <x v="1"/>
  </r>
  <r>
    <s v="PAT-1062"/>
    <s v="ENC-62"/>
    <s v="Aarav Patel"/>
    <d v="1972-04-28T00:00:00"/>
    <s v="Male"/>
    <s v="AB+"/>
    <s v="6383 Main St"/>
    <s v="555-604-1242"/>
    <s v="HOS-01"/>
    <d v="2025-05-07T00:00:00"/>
    <x v="0"/>
    <n v="53"/>
    <x v="1"/>
  </r>
  <r>
    <s v="PAT-1351"/>
    <s v="ENC-351"/>
    <s v="Mary Williams"/>
    <d v="1991-08-20T00:00:00"/>
    <s v="Male"/>
    <s v="O+"/>
    <s v="962 Main St"/>
    <s v="555-859-5692"/>
    <s v="CLI-01"/>
    <d v="2025-05-02T00:00:00"/>
    <x v="0"/>
    <n v="33"/>
    <x v="1"/>
  </r>
  <r>
    <s v="PAT-1090"/>
    <s v="ENC-90"/>
    <s v="John Smith"/>
    <d v="1962-11-25T00:00:00"/>
    <s v="Non-binary"/>
    <s v="B+"/>
    <s v="8910 Main St"/>
    <s v="555-708-6122"/>
    <s v="HOS-01"/>
    <d v="2025-05-01T00:00:00"/>
    <x v="1"/>
    <n v="62"/>
    <x v="1"/>
  </r>
  <r>
    <s v="PAT-1415"/>
    <s v="ENC-415"/>
    <s v="Aarav Williams"/>
    <d v="1947-11-18T00:00:00"/>
    <s v="Female"/>
    <s v="AB-"/>
    <s v="8100 Main St"/>
    <s v="555-230-9842"/>
    <s v="HOS-01"/>
    <d v="2025-04-14T00:00:00"/>
    <x v="0"/>
    <n v="77"/>
    <x v="1"/>
  </r>
  <r>
    <s v="PAT-1089"/>
    <s v="ENC-89"/>
    <s v="John Johnson"/>
    <d v="1989-11-22T00:00:00"/>
    <s v="Non-binary"/>
    <s v="AB+"/>
    <s v="7490 Main St"/>
    <s v="555-745-3291"/>
    <s v="HOS-01"/>
    <d v="2025-04-08T00:00:00"/>
    <x v="1"/>
    <n v="35"/>
    <x v="1"/>
  </r>
  <r>
    <s v="PAT-1088"/>
    <s v="ENC-88"/>
    <s v="Aarav Patel"/>
    <d v="1999-05-12T00:00:00"/>
    <s v="Female"/>
    <s v="AB+"/>
    <s v="9755 Main St"/>
    <s v="555-343-1118"/>
    <s v="CLI-01"/>
    <d v="2025-04-01T00:00:00"/>
    <x v="3"/>
    <n v="25"/>
    <x v="1"/>
  </r>
  <r>
    <s v="PAT-1134"/>
    <s v="ENC-134"/>
    <s v="Linda Smith"/>
    <d v="1956-08-11T00:00:00"/>
    <s v="Male"/>
    <s v="B-"/>
    <s v="4097 Main St"/>
    <s v="555-751-8324"/>
    <s v="HOS-01"/>
    <d v="2025-03-25T00:00:00"/>
    <x v="2"/>
    <n v="68"/>
    <x v="1"/>
  </r>
  <r>
    <s v="PAT-1302"/>
    <s v="ENC-302"/>
    <s v="Mary Jones"/>
    <d v="2003-04-24T00:00:00"/>
    <s v="Non-binary"/>
    <s v="O+"/>
    <s v="719 Main St"/>
    <s v="555-259-7374"/>
    <s v="CLI-01"/>
    <d v="2025-03-24T00:00:00"/>
    <x v="3"/>
    <n v="21"/>
    <x v="1"/>
  </r>
  <r>
    <s v="PAT-1424"/>
    <s v="ENC-424"/>
    <s v="Priya Brown"/>
    <d v="1997-12-28T00:00:00"/>
    <s v="Non-binary"/>
    <s v="B-"/>
    <s v="4701 Main St"/>
    <s v="555-990-7137"/>
    <s v="HOS-01"/>
    <d v="2025-03-20T00:00:00"/>
    <x v="3"/>
    <n v="27"/>
    <x v="1"/>
  </r>
  <r>
    <s v="PAT-1251"/>
    <s v="ENC-251"/>
    <s v="John Williams"/>
    <d v="1955-09-19T00:00:00"/>
    <s v="Female"/>
    <s v="AB-"/>
    <s v="7690 Main St"/>
    <s v="555-678-3555"/>
    <s v="CLI-01"/>
    <d v="2025-03-18T00:00:00"/>
    <x v="2"/>
    <n v="69"/>
    <x v="1"/>
  </r>
  <r>
    <s v="PAT-1307"/>
    <s v="ENC-307"/>
    <s v="Aarav Johnson"/>
    <d v="1971-10-16T00:00:00"/>
    <s v="Female"/>
    <s v="B-"/>
    <s v="7938 Main St"/>
    <s v="555-265-4788"/>
    <s v="HOS-01"/>
    <d v="2025-03-15T00:00:00"/>
    <x v="3"/>
    <n v="53"/>
    <x v="1"/>
  </r>
  <r>
    <s v="PAT-1036"/>
    <s v="ENC-36"/>
    <s v="James Johnson"/>
    <d v="1980-10-17T00:00:00"/>
    <s v="Male"/>
    <s v="A-"/>
    <s v="6969 Main St"/>
    <s v="555-536-1293"/>
    <s v="HOS-01"/>
    <d v="2025-03-12T00:00:00"/>
    <x v="3"/>
    <n v="44"/>
    <x v="1"/>
  </r>
  <r>
    <s v="PAT-1095"/>
    <s v="ENC-95"/>
    <s v="Aarav Brown"/>
    <d v="1961-09-18T00:00:00"/>
    <s v="Male"/>
    <s v="B-"/>
    <s v="3277 Main St"/>
    <s v="555-465-6946"/>
    <s v="CLI-01"/>
    <d v="2025-03-12T00:00:00"/>
    <x v="2"/>
    <n v="63"/>
    <x v="1"/>
  </r>
  <r>
    <s v="PAT-1254"/>
    <s v="ENC-254"/>
    <s v="Robert Smith"/>
    <d v="1950-04-29T00:00:00"/>
    <s v="Male"/>
    <s v="B-"/>
    <s v="6949 Main St"/>
    <s v="555-188-9983"/>
    <s v="CLI-01"/>
    <d v="2025-03-09T00:00:00"/>
    <x v="1"/>
    <n v="74"/>
    <x v="1"/>
  </r>
  <r>
    <s v="PAT-1311"/>
    <s v="ENC-311"/>
    <s v="Robert Patel"/>
    <d v="1977-07-13T00:00:00"/>
    <s v="Male"/>
    <s v="B+"/>
    <s v="9769 Main St"/>
    <s v="555-913-9538"/>
    <s v="CLI-01"/>
    <d v="2025-03-06T00:00:00"/>
    <x v="3"/>
    <n v="47"/>
    <x v="1"/>
  </r>
  <r>
    <s v="PAT-1388"/>
    <s v="ENC-388"/>
    <s v="Michael Johnson"/>
    <d v="1951-04-16T00:00:00"/>
    <s v="Non-binary"/>
    <s v="A-"/>
    <s v="9163 Main St"/>
    <s v="555-674-1814"/>
    <s v="HOS-01"/>
    <d v="2025-03-04T00:00:00"/>
    <x v="2"/>
    <n v="73"/>
    <x v="1"/>
  </r>
  <r>
    <s v="PAT-1040"/>
    <s v="ENC-40"/>
    <s v="John Garcia"/>
    <d v="1968-04-11T00:00:00"/>
    <s v="Female"/>
    <s v="A+"/>
    <s v="4700 Main St"/>
    <s v="555-934-7851"/>
    <s v="HOS-01"/>
    <d v="2025-03-01T00:00:00"/>
    <x v="3"/>
    <n v="56"/>
    <x v="1"/>
  </r>
  <r>
    <s v="PAT-1296"/>
    <s v="ENC-296"/>
    <s v="Michael Brown"/>
    <d v="1987-06-07T00:00:00"/>
    <s v="Male"/>
    <s v="B+"/>
    <s v="7154 Main St"/>
    <s v="555-833-5263"/>
    <s v="CLI-01"/>
    <d v="2025-02-28T00:00:00"/>
    <x v="3"/>
    <n v="37"/>
    <x v="1"/>
  </r>
  <r>
    <s v="PAT-1218"/>
    <s v="ENC-218"/>
    <s v="Patricia Johnson"/>
    <d v="1940-07-17T00:00:00"/>
    <s v="Male"/>
    <s v="O+"/>
    <s v="7867 Main St"/>
    <s v="555-426-6874"/>
    <s v="CLI-01"/>
    <d v="2025-02-25T00:00:00"/>
    <x v="1"/>
    <n v="84"/>
    <x v="1"/>
  </r>
  <r>
    <s v="PAT-1209"/>
    <s v="ENC-209"/>
    <s v="Priya Patel"/>
    <d v="1988-07-23T00:00:00"/>
    <s v="Male"/>
    <s v="A-"/>
    <s v="7951 Main St"/>
    <s v="555-800-1621"/>
    <s v="CLI-01"/>
    <d v="2025-02-24T00:00:00"/>
    <x v="1"/>
    <n v="36"/>
    <x v="1"/>
  </r>
  <r>
    <s v="PAT-1166"/>
    <s v="ENC-166"/>
    <s v="Mary Singh"/>
    <d v="2002-09-29T00:00:00"/>
    <s v="Non-binary"/>
    <s v="AB+"/>
    <s v="5524 Main St"/>
    <s v="555-816-4187"/>
    <s v="CLI-01"/>
    <d v="2025-02-18T00:00:00"/>
    <x v="1"/>
    <n v="22"/>
    <x v="1"/>
  </r>
  <r>
    <s v="PAT-1463"/>
    <s v="ENC-463"/>
    <s v="Mary Smith"/>
    <d v="1985-04-12T00:00:00"/>
    <s v="Male"/>
    <s v="B+"/>
    <s v="3634 Main St"/>
    <s v="555-969-6435"/>
    <s v="CLI-01"/>
    <d v="2025-02-18T00:00:00"/>
    <x v="0"/>
    <n v="39"/>
    <x v="1"/>
  </r>
  <r>
    <s v="PAT-1408"/>
    <s v="ENC-408"/>
    <s v="Jennifer Williams"/>
    <d v="1960-12-26T00:00:00"/>
    <s v="Male"/>
    <s v="B-"/>
    <s v="9330 Main St"/>
    <s v="555-926-9768"/>
    <s v="HOS-01"/>
    <d v="2025-02-10T00:00:00"/>
    <x v="1"/>
    <n v="64"/>
    <x v="1"/>
  </r>
  <r>
    <s v="PAT-1492"/>
    <s v="ENC-492"/>
    <s v="James Williams"/>
    <d v="1956-01-27T00:00:00"/>
    <s v="Non-binary"/>
    <s v="O-"/>
    <s v="5807 Main St"/>
    <s v="555-189-3578"/>
    <s v="CLI-01"/>
    <d v="2025-02-07T00:00:00"/>
    <x v="2"/>
    <n v="69"/>
    <x v="1"/>
  </r>
  <r>
    <s v="PAT-1366"/>
    <s v="ENC-366"/>
    <s v="Jennifer Williams"/>
    <d v="1972-04-15T00:00:00"/>
    <s v="Non-binary"/>
    <s v="A-"/>
    <s v="9979 Main St"/>
    <s v="555-762-9253"/>
    <s v="CLI-01"/>
    <d v="2025-02-02T00:00:00"/>
    <x v="3"/>
    <n v="52"/>
    <x v="1"/>
  </r>
  <r>
    <s v="PAT-1458"/>
    <s v="ENC-458"/>
    <s v="Jennifer Garcia"/>
    <d v="1959-05-14T00:00:00"/>
    <s v="Non-binary"/>
    <s v="B-"/>
    <s v="8797 Main St"/>
    <s v="555-620-9399"/>
    <s v="HOS-01"/>
    <d v="2025-02-01T00:00:00"/>
    <x v="0"/>
    <n v="65"/>
    <x v="1"/>
  </r>
  <r>
    <s v="PAT-1459"/>
    <s v="ENC-459"/>
    <s v="Robert Smith"/>
    <d v="1968-03-11T00:00:00"/>
    <s v="Non-binary"/>
    <s v="O+"/>
    <s v="9163 Main St"/>
    <s v="555-669-1278"/>
    <s v="HOS-01"/>
    <d v="2025-01-30T00:00:00"/>
    <x v="1"/>
    <n v="56"/>
    <x v="1"/>
  </r>
  <r>
    <s v="PAT-1472"/>
    <s v="ENC-472"/>
    <s v="Mary Johnson"/>
    <d v="1986-08-19T00:00:00"/>
    <s v="Male"/>
    <s v="B+"/>
    <s v="4909 Main St"/>
    <s v="555-111-9735"/>
    <s v="HOS-01"/>
    <d v="2025-01-28T00:00:00"/>
    <x v="1"/>
    <n v="38"/>
    <x v="1"/>
  </r>
  <r>
    <s v="PAT-1220"/>
    <s v="ENC-220"/>
    <s v="Patricia Garcia"/>
    <d v="1940-08-23T00:00:00"/>
    <s v="Female"/>
    <s v="O+"/>
    <s v="9741 Main St"/>
    <s v="555-941-3828"/>
    <s v="HOS-01"/>
    <d v="2025-01-24T00:00:00"/>
    <x v="3"/>
    <n v="84"/>
    <x v="1"/>
  </r>
  <r>
    <s v="PAT-1146"/>
    <s v="ENC-146"/>
    <s v="Michael Smith"/>
    <d v="2003-02-07T00:00:00"/>
    <s v="Female"/>
    <s v="AB-"/>
    <s v="3118 Main St"/>
    <s v="555-576-2847"/>
    <s v="CLI-01"/>
    <d v="2025-01-23T00:00:00"/>
    <x v="0"/>
    <n v="21"/>
    <x v="1"/>
  </r>
  <r>
    <s v="PAT-1412"/>
    <s v="ENC-412"/>
    <s v="Patricia Williams"/>
    <d v="2008-10-27T00:00:00"/>
    <s v="Female"/>
    <s v="O-"/>
    <s v="1866 Main St"/>
    <s v="555-682-9494"/>
    <s v="CLI-01"/>
    <d v="2025-01-23T00:00:00"/>
    <x v="2"/>
    <n v="16"/>
    <x v="1"/>
  </r>
  <r>
    <s v="PAT-1283"/>
    <s v="ENC-283"/>
    <s v="John Williams"/>
    <d v="1993-12-27T00:00:00"/>
    <s v="Female"/>
    <s v="O-"/>
    <s v="3132 Main St"/>
    <s v="555-718-3117"/>
    <s v="HOS-01"/>
    <d v="2025-01-21T00:00:00"/>
    <x v="0"/>
    <n v="31"/>
    <x v="1"/>
  </r>
  <r>
    <s v="PAT-1344"/>
    <s v="ENC-344"/>
    <s v="Patricia Williams"/>
    <d v="1961-06-04T00:00:00"/>
    <s v="Non-binary"/>
    <s v="O-"/>
    <s v="2369 Main St"/>
    <s v="555-298-4994"/>
    <s v="HOS-01"/>
    <d v="2025-01-18T00:00:00"/>
    <x v="0"/>
    <n v="63"/>
    <x v="1"/>
  </r>
  <r>
    <s v="PAT-1201"/>
    <s v="ENC-201"/>
    <s v="Aarav Brown"/>
    <d v="1969-08-09T00:00:00"/>
    <s v="Female"/>
    <s v="A-"/>
    <s v="8434 Main St"/>
    <s v="555-238-4079"/>
    <s v="CLI-01"/>
    <d v="2025-01-12T00:00:00"/>
    <x v="3"/>
    <n v="55"/>
    <x v="1"/>
  </r>
  <r>
    <s v="PAT-1241"/>
    <s v="ENC-241"/>
    <s v="Priya Johnson"/>
    <d v="1995-01-04T00:00:00"/>
    <s v="Non-binary"/>
    <s v="AB-"/>
    <s v="2233 Main St"/>
    <s v="555-794-9991"/>
    <s v="CLI-01"/>
    <d v="2025-01-06T00:00:00"/>
    <x v="1"/>
    <n v="30"/>
    <x v="1"/>
  </r>
  <r>
    <s v="PAT-1275"/>
    <s v="ENC-275"/>
    <s v="John Jones"/>
    <d v="1980-09-17T00:00:00"/>
    <s v="Female"/>
    <s v="AB-"/>
    <s v="3052 Main St"/>
    <s v="555-687-3092"/>
    <s v="CLI-01"/>
    <d v="2025-01-05T00:00:00"/>
    <x v="1"/>
    <n v="44"/>
    <x v="1"/>
  </r>
  <r>
    <s v="PAT-1294"/>
    <s v="ENC-294"/>
    <s v="Patricia Brown"/>
    <d v="1944-11-20T00:00:00"/>
    <s v="Male"/>
    <s v="A+"/>
    <s v="6414 Main St"/>
    <s v="555-298-9842"/>
    <s v="HOS-01"/>
    <d v="2025-01-05T00:00:00"/>
    <x v="2"/>
    <n v="80"/>
    <x v="1"/>
  </r>
  <r>
    <s v="PAT-1149"/>
    <s v="ENC-149"/>
    <s v="Priya Brown"/>
    <d v="1976-09-08T00:00:00"/>
    <s v="Female"/>
    <s v="O+"/>
    <s v="6968 Main St"/>
    <s v="555-131-4756"/>
    <s v="CLI-01"/>
    <d v="2025-01-04T00:00:00"/>
    <x v="1"/>
    <n v="48"/>
    <x v="1"/>
  </r>
  <r>
    <s v="PAT-1207"/>
    <s v="ENC-207"/>
    <s v="Patricia Brown"/>
    <d v="1970-10-26T00:00:00"/>
    <s v="Female"/>
    <s v="B+"/>
    <s v="5558 Main St"/>
    <s v="555-857-2416"/>
    <s v="HOS-01"/>
    <d v="2025-01-02T00:00:00"/>
    <x v="1"/>
    <n v="54"/>
    <x v="1"/>
  </r>
  <r>
    <s v="PAT-1081"/>
    <s v="ENC-81"/>
    <s v="John Brown"/>
    <d v="1955-03-08T00:00:00"/>
    <s v="Male"/>
    <s v="A-"/>
    <s v="3608 Main St"/>
    <s v="555-586-9550"/>
    <s v="CLI-01"/>
    <d v="2025-01-01T00:00:00"/>
    <x v="0"/>
    <n v="69"/>
    <x v="1"/>
  </r>
  <r>
    <s v="PAT-1021"/>
    <s v="ENC-21"/>
    <s v="Robert Williams"/>
    <d v="1988-07-17T00:00:00"/>
    <s v="Male"/>
    <s v="AB+"/>
    <s v="6185 Main St"/>
    <s v="555-408-8712"/>
    <s v="CLI-01"/>
    <d v="2024-12-28T00:00:00"/>
    <x v="0"/>
    <n v="36"/>
    <x v="2"/>
  </r>
  <r>
    <s v="PAT-1242"/>
    <s v="ENC-242"/>
    <s v="John Patel"/>
    <d v="1996-03-18T00:00:00"/>
    <s v="Female"/>
    <s v="A-"/>
    <s v="7037 Main St"/>
    <s v="555-949-5772"/>
    <s v="HOS-01"/>
    <d v="2024-12-28T00:00:00"/>
    <x v="0"/>
    <n v="28"/>
    <x v="2"/>
  </r>
  <r>
    <s v="PAT-1277"/>
    <s v="ENC-277"/>
    <s v="Priya Smith"/>
    <d v="1990-12-01T00:00:00"/>
    <s v="Female"/>
    <s v="B+"/>
    <s v="7582 Main St"/>
    <s v="555-900-6888"/>
    <s v="HOS-01"/>
    <d v="2024-12-24T00:00:00"/>
    <x v="2"/>
    <n v="34"/>
    <x v="2"/>
  </r>
  <r>
    <s v="PAT-1334"/>
    <s v="ENC-334"/>
    <s v="Michael Brown"/>
    <d v="2007-12-24T00:00:00"/>
    <s v="Male"/>
    <s v="B-"/>
    <s v="5502 Main St"/>
    <s v="555-797-2127"/>
    <s v="CLI-01"/>
    <d v="2024-12-06T00:00:00"/>
    <x v="0"/>
    <n v="16"/>
    <x v="2"/>
  </r>
  <r>
    <s v="PAT-1281"/>
    <s v="ENC-281"/>
    <s v="Linda Brown"/>
    <d v="1990-05-19T00:00:00"/>
    <s v="Non-binary"/>
    <s v="AB+"/>
    <s v="410 Main St"/>
    <s v="555-849-4225"/>
    <s v="HOS-01"/>
    <d v="2024-12-04T00:00:00"/>
    <x v="0"/>
    <n v="34"/>
    <x v="2"/>
  </r>
  <r>
    <s v="PAT-1216"/>
    <s v="ENC-216"/>
    <s v="Aarav Brown"/>
    <d v="1991-01-01T00:00:00"/>
    <s v="Non-binary"/>
    <s v="A-"/>
    <s v="4878 Main St"/>
    <s v="555-524-6279"/>
    <s v="HOS-01"/>
    <d v="2024-11-18T00:00:00"/>
    <x v="2"/>
    <n v="33"/>
    <x v="2"/>
  </r>
  <r>
    <s v="PAT-1299"/>
    <s v="ENC-299"/>
    <s v="Robert Brown"/>
    <d v="1945-04-20T00:00:00"/>
    <s v="Male"/>
    <s v="O+"/>
    <s v="6562 Main St"/>
    <s v="555-654-7378"/>
    <s v="CLI-01"/>
    <d v="2024-11-05T00:00:00"/>
    <x v="1"/>
    <n v="79"/>
    <x v="2"/>
  </r>
  <r>
    <s v="PAT-1074"/>
    <s v="ENC-74"/>
    <s v="Jennifer Smith"/>
    <d v="1943-03-07T00:00:00"/>
    <s v="Female"/>
    <s v="B-"/>
    <s v="8672 Main St"/>
    <s v="555-529-4713"/>
    <s v="HOS-01"/>
    <d v="2024-10-25T00:00:00"/>
    <x v="1"/>
    <n v="81"/>
    <x v="2"/>
  </r>
  <r>
    <s v="PAT-1255"/>
    <s v="ENC-255"/>
    <s v="Patricia Williams"/>
    <d v="1951-11-14T00:00:00"/>
    <s v="Female"/>
    <s v="AB+"/>
    <s v="3138 Main St"/>
    <s v="555-820-9992"/>
    <s v="CLI-01"/>
    <d v="2024-10-24T00:00:00"/>
    <x v="2"/>
    <n v="72"/>
    <x v="2"/>
  </r>
  <r>
    <s v="PAT-1043"/>
    <s v="ENC-43"/>
    <s v="John Garcia"/>
    <d v="1960-11-26T00:00:00"/>
    <s v="Non-binary"/>
    <s v="O+"/>
    <s v="4201 Main St"/>
    <s v="555-716-9825"/>
    <s v="CLI-01"/>
    <d v="2024-10-23T00:00:00"/>
    <x v="0"/>
    <n v="63"/>
    <x v="2"/>
  </r>
  <r>
    <s v="PAT-1001"/>
    <s v="ENC-1"/>
    <s v="Aarav Brown"/>
    <d v="2009-09-17T00:00:00"/>
    <s v="Male"/>
    <s v="O+"/>
    <s v="4633 Main St"/>
    <s v="555-996-3602"/>
    <s v="CLI-01"/>
    <d v="2024-10-16T00:00:00"/>
    <x v="3"/>
    <n v="15"/>
    <x v="2"/>
  </r>
  <r>
    <s v="PAT-1158"/>
    <s v="ENC-158"/>
    <s v="Priya Smith"/>
    <d v="1966-10-26T00:00:00"/>
    <s v="Non-binary"/>
    <s v="O+"/>
    <s v="1117 Main St"/>
    <s v="555-423-2350"/>
    <s v="HOS-01"/>
    <d v="2024-10-06T00:00:00"/>
    <x v="3"/>
    <n v="57"/>
    <x v="2"/>
  </r>
  <r>
    <s v="PAT-1121"/>
    <s v="ENC-121"/>
    <s v="Jennifer Johnson"/>
    <d v="1948-06-14T00:00:00"/>
    <s v="Non-binary"/>
    <s v="O-"/>
    <s v="9097 Main St"/>
    <s v="555-754-8404"/>
    <s v="HOS-01"/>
    <d v="2024-10-03T00:00:00"/>
    <x v="2"/>
    <n v="76"/>
    <x v="2"/>
  </r>
  <r>
    <s v="PAT-1271"/>
    <s v="ENC-271"/>
    <s v="Jennifer Smith"/>
    <d v="1991-07-28T00:00:00"/>
    <s v="Female"/>
    <s v="O+"/>
    <s v="8478 Main St"/>
    <s v="555-351-8174"/>
    <s v="CLI-01"/>
    <d v="2024-10-03T00:00:00"/>
    <x v="1"/>
    <n v="33"/>
    <x v="2"/>
  </r>
  <r>
    <s v="PAT-1340"/>
    <s v="ENC-340"/>
    <s v="Priya Williams"/>
    <d v="1964-01-30T00:00:00"/>
    <s v="Non-binary"/>
    <s v="AB+"/>
    <s v="5920 Main St"/>
    <s v="555-466-5352"/>
    <s v="HOS-01"/>
    <d v="2024-10-03T00:00:00"/>
    <x v="1"/>
    <n v="60"/>
    <x v="2"/>
  </r>
  <r>
    <s v="PAT-1486"/>
    <s v="ENC-486"/>
    <s v="James Jones"/>
    <d v="2003-05-11T00:00:00"/>
    <s v="Male"/>
    <s v="A+"/>
    <s v="2708 Main St"/>
    <s v="555-447-5166"/>
    <s v="CLI-01"/>
    <d v="2024-09-15T00:00:00"/>
    <x v="3"/>
    <n v="21"/>
    <x v="2"/>
  </r>
  <r>
    <s v="PAT-1245"/>
    <s v="ENC-245"/>
    <s v="Priya Smith"/>
    <d v="2005-09-01T00:00:00"/>
    <s v="Male"/>
    <s v="A+"/>
    <s v="9937 Main St"/>
    <s v="555-223-1955"/>
    <s v="CLI-01"/>
    <d v="2024-09-11T00:00:00"/>
    <x v="2"/>
    <n v="19"/>
    <x v="2"/>
  </r>
  <r>
    <s v="PAT-1370"/>
    <s v="ENC-370"/>
    <s v="Robert Jones"/>
    <d v="1992-06-09T00:00:00"/>
    <s v="Female"/>
    <s v="AB-"/>
    <s v="5656 Main St"/>
    <s v="555-919-8724"/>
    <s v="HOS-01"/>
    <d v="2024-09-04T00:00:00"/>
    <x v="0"/>
    <n v="32"/>
    <x v="2"/>
  </r>
  <r>
    <s v="PAT-1097"/>
    <s v="ENC-97"/>
    <s v="Mary Patel"/>
    <d v="1980-12-18T00:00:00"/>
    <s v="Non-binary"/>
    <s v="AB+"/>
    <s v="9995 Main St"/>
    <s v="555-433-5000"/>
    <s v="HOS-01"/>
    <d v="2024-09-02T00:00:00"/>
    <x v="0"/>
    <n v="43"/>
    <x v="2"/>
  </r>
  <r>
    <s v="PAT-1471"/>
    <s v="ENC-471"/>
    <s v="Aarav Johnson"/>
    <d v="1999-05-17T00:00:00"/>
    <s v="Female"/>
    <s v="A+"/>
    <s v="9236 Main St"/>
    <s v="555-220-3943"/>
    <s v="HOS-01"/>
    <d v="2024-08-24T00:00:00"/>
    <x v="0"/>
    <n v="25"/>
    <x v="2"/>
  </r>
  <r>
    <s v="PAT-1337"/>
    <s v="ENC-337"/>
    <s v="Priya Brown"/>
    <d v="1941-02-21T00:00:00"/>
    <s v="Female"/>
    <s v="B+"/>
    <s v="6044 Main St"/>
    <s v="555-604-1030"/>
    <s v="HOS-01"/>
    <d v="2024-08-12T00:00:00"/>
    <x v="0"/>
    <n v="83"/>
    <x v="2"/>
  </r>
  <r>
    <s v="PAT-1364"/>
    <s v="ENC-364"/>
    <s v="John Johnson"/>
    <d v="1994-05-18T00:00:00"/>
    <s v="Female"/>
    <s v="AB-"/>
    <s v="3492 Main St"/>
    <s v="555-235-9788"/>
    <s v="CLI-01"/>
    <d v="2024-08-12T00:00:00"/>
    <x v="2"/>
    <n v="30"/>
    <x v="2"/>
  </r>
  <r>
    <s v="PAT-1140"/>
    <s v="ENC-140"/>
    <s v="Patricia Jones"/>
    <d v="1989-06-22T00:00:00"/>
    <s v="Non-binary"/>
    <s v="B-"/>
    <s v="2560 Main St"/>
    <s v="555-395-3430"/>
    <s v="CLI-01"/>
    <d v="2024-08-09T00:00:00"/>
    <x v="3"/>
    <n v="35"/>
    <x v="2"/>
  </r>
  <r>
    <s v="PAT-1298"/>
    <s v="ENC-298"/>
    <s v="Jennifer Garcia"/>
    <d v="1958-10-21T00:00:00"/>
    <s v="Female"/>
    <s v="O-"/>
    <s v="5790 Main St"/>
    <s v="555-471-4945"/>
    <s v="CLI-01"/>
    <d v="2024-08-07T00:00:00"/>
    <x v="1"/>
    <n v="65"/>
    <x v="2"/>
  </r>
  <r>
    <s v="PAT-1136"/>
    <s v="ENC-136"/>
    <s v="John Jones"/>
    <d v="1985-09-15T00:00:00"/>
    <s v="Non-binary"/>
    <s v="AB-"/>
    <s v="7737 Main St"/>
    <s v="555-586-1556"/>
    <s v="CLI-01"/>
    <d v="2024-08-06T00:00:00"/>
    <x v="1"/>
    <n v="38"/>
    <x v="2"/>
  </r>
  <r>
    <s v="PAT-1047"/>
    <s v="ENC-47"/>
    <s v="Jennifer Garcia"/>
    <d v="2002-07-08T00:00:00"/>
    <s v="Non-binary"/>
    <s v="A-"/>
    <s v="6529 Main St"/>
    <s v="555-282-5439"/>
    <s v="CLI-01"/>
    <d v="2024-07-31T00:00:00"/>
    <x v="1"/>
    <n v="22"/>
    <x v="2"/>
  </r>
  <r>
    <s v="PAT-1199"/>
    <s v="ENC-199"/>
    <s v="Robert Brown"/>
    <d v="1978-10-23T00:00:00"/>
    <s v="Non-binary"/>
    <s v="O+"/>
    <s v="8342 Main St"/>
    <s v="555-406-8940"/>
    <s v="CLI-01"/>
    <d v="2024-07-31T00:00:00"/>
    <x v="3"/>
    <n v="45"/>
    <x v="2"/>
  </r>
  <r>
    <s v="PAT-1252"/>
    <s v="ENC-252"/>
    <s v="Aarav Patel"/>
    <d v="1971-11-12T00:00:00"/>
    <s v="Female"/>
    <s v="B+"/>
    <s v="6066 Main St"/>
    <s v="555-196-4165"/>
    <s v="HOS-01"/>
    <d v="2024-07-24T00:00:00"/>
    <x v="0"/>
    <n v="52"/>
    <x v="2"/>
  </r>
  <r>
    <s v="PAT-1039"/>
    <s v="ENC-39"/>
    <s v="James Patel"/>
    <d v="1975-07-23T00:00:00"/>
    <s v="Female"/>
    <s v="O-"/>
    <s v="7889 Main St"/>
    <s v="555-767-1282"/>
    <s v="HOS-01"/>
    <d v="2024-07-23T00:00:00"/>
    <x v="0"/>
    <n v="49"/>
    <x v="2"/>
  </r>
  <r>
    <s v="PAT-1457"/>
    <s v="ENC-457"/>
    <s v="Robert Brown"/>
    <d v="1950-10-13T00:00:00"/>
    <s v="Non-binary"/>
    <s v="A-"/>
    <s v="4286 Main St"/>
    <s v="555-786-2760"/>
    <s v="CLI-01"/>
    <d v="2024-07-21T00:00:00"/>
    <x v="3"/>
    <n v="73"/>
    <x v="2"/>
  </r>
  <r>
    <s v="PAT-1155"/>
    <s v="ENC-155"/>
    <s v="Priya Williams"/>
    <d v="2003-08-21T00:00:00"/>
    <s v="Non-binary"/>
    <s v="AB+"/>
    <s v="7656 Main St"/>
    <s v="555-505-7902"/>
    <s v="CLI-01"/>
    <d v="2024-07-17T00:00:00"/>
    <x v="0"/>
    <n v="20"/>
    <x v="2"/>
  </r>
  <r>
    <s v="PAT-1381"/>
    <s v="ENC-381"/>
    <s v="John Brown"/>
    <d v="1972-10-14T00:00:00"/>
    <s v="Female"/>
    <s v="B-"/>
    <s v="9016 Main St"/>
    <s v="555-826-2820"/>
    <s v="CLI-01"/>
    <d v="2024-07-14T00:00:00"/>
    <x v="2"/>
    <n v="51"/>
    <x v="2"/>
  </r>
  <r>
    <s v="PAT-1119"/>
    <s v="ENC-119"/>
    <s v="John Smith"/>
    <d v="2001-06-16T00:00:00"/>
    <s v="Female"/>
    <s v="O+"/>
    <s v="296 Main St"/>
    <s v="555-918-9051"/>
    <s v="CLI-01"/>
    <d v="2024-07-06T00:00:00"/>
    <x v="3"/>
    <n v="23"/>
    <x v="2"/>
  </r>
  <r>
    <s v="PAT-1371"/>
    <s v="ENC-371"/>
    <s v="Linda Singh"/>
    <d v="2002-03-27T00:00:00"/>
    <s v="Male"/>
    <s v="A+"/>
    <s v="1165 Main St"/>
    <s v="555-156-4873"/>
    <s v="CLI-01"/>
    <d v="2024-07-02T00:00:00"/>
    <x v="2"/>
    <n v="22"/>
    <x v="2"/>
  </r>
  <r>
    <s v="PAT-1484"/>
    <s v="ENC-484"/>
    <s v="Linda Garcia"/>
    <d v="1978-04-07T00:00:00"/>
    <s v="Female"/>
    <s v="AB+"/>
    <s v="4064 Main St"/>
    <s v="555-995-2097"/>
    <s v="HOS-01"/>
    <d v="2024-06-29T00:00:00"/>
    <x v="0"/>
    <n v="46"/>
    <x v="2"/>
  </r>
  <r>
    <s v="PAT-1109"/>
    <s v="ENC-109"/>
    <s v="Priya Garcia"/>
    <d v="1980-08-26T00:00:00"/>
    <s v="Non-binary"/>
    <s v="O-"/>
    <s v="2274 Main St"/>
    <s v="555-759-8881"/>
    <s v="HOS-01"/>
    <d v="2024-06-24T00:00:00"/>
    <x v="1"/>
    <n v="43"/>
    <x v="2"/>
  </r>
  <r>
    <s v="PAT-1395"/>
    <s v="ENC-395"/>
    <s v="John Williams"/>
    <d v="1983-09-24T00:00:00"/>
    <s v="Male"/>
    <s v="A+"/>
    <s v="2753 Main St"/>
    <s v="555-865-3118"/>
    <s v="CLI-01"/>
    <d v="2024-06-24T00:00:00"/>
    <x v="2"/>
    <n v="40"/>
    <x v="2"/>
  </r>
  <r>
    <s v="PAT-1435"/>
    <s v="ENC-435"/>
    <s v="John Johnson"/>
    <d v="2003-04-16T00:00:00"/>
    <s v="Non-binary"/>
    <s v="A+"/>
    <s v="7190 Main St"/>
    <s v="555-226-6070"/>
    <s v="HOS-01"/>
    <d v="2024-06-24T00:00:00"/>
    <x v="1"/>
    <n v="21"/>
    <x v="2"/>
  </r>
  <r>
    <s v="PAT-1341"/>
    <s v="ENC-341"/>
    <s v="Robert Smith"/>
    <d v="1981-02-16T00:00:00"/>
    <s v="Female"/>
    <s v="AB+"/>
    <s v="2385 Main St"/>
    <s v="555-929-7048"/>
    <s v="CLI-01"/>
    <d v="2024-06-20T00:00:00"/>
    <x v="0"/>
    <n v="43"/>
    <x v="2"/>
  </r>
  <r>
    <s v="PAT-1238"/>
    <s v="ENC-238"/>
    <s v="Jennifer Johnson"/>
    <d v="1998-05-05T00:00:00"/>
    <s v="Female"/>
    <s v="AB+"/>
    <s v="8679 Main St"/>
    <s v="555-598-3526"/>
    <s v="CLI-01"/>
    <d v="2024-06-19T00:00:00"/>
    <x v="0"/>
    <n v="26"/>
    <x v="2"/>
  </r>
  <r>
    <s v="PAT-1118"/>
    <s v="ENC-118"/>
    <s v="Michael Jones"/>
    <d v="1993-06-03T00:00:00"/>
    <s v="Female"/>
    <s v="O-"/>
    <s v="3975 Main St"/>
    <s v="555-875-6724"/>
    <s v="CLI-01"/>
    <d v="2024-06-18T00:00:00"/>
    <x v="0"/>
    <n v="31"/>
    <x v="2"/>
  </r>
  <r>
    <s v="PAT-1025"/>
    <s v="ENC-25"/>
    <s v="Priya Williams"/>
    <d v="2009-07-08T00:00:00"/>
    <s v="Male"/>
    <s v="B-"/>
    <s v="8409 Main St"/>
    <s v="555-321-1039"/>
    <s v="HOS-01"/>
    <d v="2024-06-05T00:00:00"/>
    <x v="2"/>
    <n v="14"/>
    <x v="2"/>
  </r>
  <r>
    <s v="PAT-1122"/>
    <s v="ENC-122"/>
    <s v="Mary Brown"/>
    <d v="1943-07-10T00:00:00"/>
    <s v="Female"/>
    <s v="B-"/>
    <s v="3986 Main St"/>
    <s v="555-383-1227"/>
    <s v="CLI-01"/>
    <d v="2024-06-05T00:00:00"/>
    <x v="1"/>
    <n v="80"/>
    <x v="2"/>
  </r>
  <r>
    <s v="PAT-1128"/>
    <s v="ENC-128"/>
    <s v="Priya Johnson"/>
    <d v="2008-03-18T00:00:00"/>
    <s v="Male"/>
    <s v="B+"/>
    <s v="2371 Main St"/>
    <s v="555-105-4607"/>
    <s v="HOS-01"/>
    <d v="2024-06-02T00:00:00"/>
    <x v="0"/>
    <n v="16"/>
    <x v="2"/>
  </r>
  <r>
    <s v="PAT-1315"/>
    <s v="ENC-315"/>
    <s v="Priya Jones"/>
    <d v="1984-05-27T00:00:00"/>
    <s v="Female"/>
    <s v="AB-"/>
    <s v="3559 Main St"/>
    <s v="555-968-2985"/>
    <s v="CLI-01"/>
    <d v="2024-05-31T00:00:00"/>
    <x v="1"/>
    <n v="40"/>
    <x v="2"/>
  </r>
  <r>
    <s v="PAT-1190"/>
    <s v="ENC-190"/>
    <s v="Robert Patel"/>
    <d v="1988-05-01T00:00:00"/>
    <s v="Non-binary"/>
    <s v="A+"/>
    <s v="7348 Main St"/>
    <s v="555-157-1492"/>
    <s v="CLI-01"/>
    <d v="2024-05-27T00:00:00"/>
    <x v="3"/>
    <n v="36"/>
    <x v="2"/>
  </r>
  <r>
    <s v="PAT-1361"/>
    <s v="ENC-361"/>
    <s v="Robert Smith"/>
    <d v="1959-04-21T00:00:00"/>
    <s v="Female"/>
    <s v="A-"/>
    <s v="9052 Main St"/>
    <s v="555-985-7681"/>
    <s v="CLI-01"/>
    <d v="2024-05-24T00:00:00"/>
    <x v="0"/>
    <n v="65"/>
    <x v="2"/>
  </r>
  <r>
    <s v="PAT-1113"/>
    <s v="ENC-113"/>
    <s v="Priya Williams"/>
    <d v="1972-08-14T00:00:00"/>
    <s v="Non-binary"/>
    <s v="AB+"/>
    <s v="184 Main St"/>
    <s v="555-950-4255"/>
    <s v="HOS-01"/>
    <d v="2024-05-19T00:00:00"/>
    <x v="0"/>
    <n v="51"/>
    <x v="2"/>
  </r>
  <r>
    <s v="PAT-1200"/>
    <s v="ENC-200"/>
    <s v="Linda Brown"/>
    <d v="1988-04-01T00:00:00"/>
    <s v="Male"/>
    <s v="B+"/>
    <s v="3825 Main St"/>
    <s v="555-878-9536"/>
    <s v="HOS-01"/>
    <d v="2024-05-13T00:00:00"/>
    <x v="1"/>
    <n v="36"/>
    <x v="2"/>
  </r>
  <r>
    <s v="PAT-1422"/>
    <s v="ENC-422"/>
    <s v="Robert Singh"/>
    <d v="1984-09-19T00:00:00"/>
    <s v="Male"/>
    <s v="AB-"/>
    <s v="5879 Main St"/>
    <s v="555-310-4901"/>
    <s v="HOS-01"/>
    <d v="2024-05-13T00:00:00"/>
    <x v="2"/>
    <n v="39"/>
    <x v="2"/>
  </r>
  <r>
    <s v="PAT-1094"/>
    <s v="ENC-94"/>
    <s v="Aarav Jones"/>
    <d v="1975-01-05T00:00:00"/>
    <s v="Female"/>
    <s v="A+"/>
    <s v="4614 Main St"/>
    <s v="555-821-3706"/>
    <s v="CLI-01"/>
    <d v="2024-05-12T00:00:00"/>
    <x v="2"/>
    <n v="49"/>
    <x v="2"/>
  </r>
  <r>
    <s v="PAT-1485"/>
    <s v="ENC-485"/>
    <s v="James Singh"/>
    <d v="1976-02-21T00:00:00"/>
    <s v="Female"/>
    <s v="AB+"/>
    <s v="6812 Main St"/>
    <s v="555-953-1218"/>
    <s v="CLI-01"/>
    <d v="2024-05-01T00:00:00"/>
    <x v="1"/>
    <n v="48"/>
    <x v="2"/>
  </r>
  <r>
    <s v="PAT-1178"/>
    <s v="ENC-178"/>
    <s v="Aarav Garcia"/>
    <d v="1999-05-15T00:00:00"/>
    <s v="Female"/>
    <s v="B-"/>
    <s v="857 Main St"/>
    <s v="555-741-5551"/>
    <s v="CLI-01"/>
    <d v="2024-04-29T00:00:00"/>
    <x v="2"/>
    <n v="24"/>
    <x v="2"/>
  </r>
  <r>
    <s v="PAT-1100"/>
    <s v="ENC-100"/>
    <s v="John Johnson"/>
    <d v="1991-11-07T00:00:00"/>
    <s v="Male"/>
    <s v="AB-"/>
    <s v="407 Main St"/>
    <s v="555-249-3909"/>
    <s v="CLI-01"/>
    <d v="2024-04-27T00:00:00"/>
    <x v="1"/>
    <n v="32"/>
    <x v="2"/>
  </r>
  <r>
    <s v="PAT-1028"/>
    <s v="ENC-28"/>
    <s v="Mary Singh"/>
    <d v="2008-11-12T00:00:00"/>
    <s v="Non-binary"/>
    <s v="O-"/>
    <s v="6825 Main St"/>
    <s v="555-966-5754"/>
    <s v="CLI-01"/>
    <d v="2024-04-24T00:00:00"/>
    <x v="1"/>
    <n v="15"/>
    <x v="2"/>
  </r>
  <r>
    <s v="PAT-1046"/>
    <s v="ENC-46"/>
    <s v="Jennifer Garcia"/>
    <d v="1993-04-16T00:00:00"/>
    <s v="Male"/>
    <s v="O-"/>
    <s v="5716 Main St"/>
    <s v="555-676-4374"/>
    <s v="HOS-01"/>
    <d v="2024-04-24T00:00:00"/>
    <x v="2"/>
    <n v="31"/>
    <x v="2"/>
  </r>
  <r>
    <s v="PAT-1077"/>
    <s v="ENC-77"/>
    <s v="James Smith"/>
    <d v="1974-01-14T00:00:00"/>
    <s v="Non-binary"/>
    <s v="O-"/>
    <s v="8584 Main St"/>
    <s v="555-833-4368"/>
    <s v="CLI-01"/>
    <d v="2024-04-24T00:00:00"/>
    <x v="1"/>
    <n v="50"/>
    <x v="2"/>
  </r>
  <r>
    <s v="PAT-1357"/>
    <s v="ENC-357"/>
    <s v="Priya Williams"/>
    <d v="1967-11-07T00:00:00"/>
    <s v="Non-binary"/>
    <s v="A+"/>
    <s v="1341 Main St"/>
    <s v="555-845-4632"/>
    <s v="CLI-01"/>
    <d v="2024-04-21T00:00:00"/>
    <x v="0"/>
    <n v="56"/>
    <x v="2"/>
  </r>
  <r>
    <s v="PAT-1154"/>
    <s v="ENC-154"/>
    <s v="Aarav Smith"/>
    <d v="1991-10-19T00:00:00"/>
    <s v="Non-binary"/>
    <s v="A-"/>
    <s v="2962 Main St"/>
    <s v="555-700-1151"/>
    <s v="CLI-01"/>
    <d v="2024-04-18T00:00:00"/>
    <x v="1"/>
    <n v="32"/>
    <x v="2"/>
  </r>
  <r>
    <s v="PAT-1076"/>
    <s v="ENC-76"/>
    <s v="Robert Williams"/>
    <d v="1995-05-13T00:00:00"/>
    <s v="Non-binary"/>
    <s v="AB-"/>
    <s v="2288 Main St"/>
    <s v="555-491-3654"/>
    <s v="HOS-01"/>
    <d v="2024-04-03T00:00:00"/>
    <x v="0"/>
    <n v="28"/>
    <x v="2"/>
  </r>
  <r>
    <s v="PAT-1488"/>
    <s v="ENC-488"/>
    <s v="Aarav Patel"/>
    <d v="1975-06-03T00:00:00"/>
    <s v="Female"/>
    <s v="A-"/>
    <s v="4528 Main St"/>
    <s v="555-714-3545"/>
    <s v="CLI-01"/>
    <d v="2024-03-31T00:00:00"/>
    <x v="1"/>
    <n v="48"/>
    <x v="2"/>
  </r>
  <r>
    <s v="PAT-1382"/>
    <s v="ENC-382"/>
    <s v="John Williams"/>
    <d v="1950-07-12T00:00:00"/>
    <s v="Female"/>
    <s v="O+"/>
    <s v="4208 Main St"/>
    <s v="555-500-6861"/>
    <s v="HOS-01"/>
    <d v="2024-03-30T00:00:00"/>
    <x v="3"/>
    <n v="73"/>
    <x v="2"/>
  </r>
  <r>
    <s v="PAT-1191"/>
    <s v="ENC-191"/>
    <s v="Mary Brown"/>
    <d v="1974-03-06T00:00:00"/>
    <s v="Non-binary"/>
    <s v="AB+"/>
    <s v="1909 Main St"/>
    <s v="555-826-2706"/>
    <s v="CLI-01"/>
    <d v="2024-03-22T00:00:00"/>
    <x v="3"/>
    <n v="50"/>
    <x v="2"/>
  </r>
  <r>
    <s v="PAT-1398"/>
    <s v="ENC-398"/>
    <s v="James Williams"/>
    <d v="2002-05-02T00:00:00"/>
    <s v="Male"/>
    <s v="O-"/>
    <s v="1366 Main St"/>
    <s v="555-726-4069"/>
    <s v="HOS-01"/>
    <d v="2024-03-12T00:00:00"/>
    <x v="1"/>
    <n v="21"/>
    <x v="2"/>
  </r>
  <r>
    <s v="PAT-1170"/>
    <s v="ENC-170"/>
    <s v="John Smith"/>
    <d v="1977-09-16T00:00:00"/>
    <s v="Female"/>
    <s v="A-"/>
    <s v="5244 Main St"/>
    <s v="555-968-2076"/>
    <s v="HOS-01"/>
    <d v="2024-03-11T00:00:00"/>
    <x v="1"/>
    <n v="46"/>
    <x v="2"/>
  </r>
  <r>
    <s v="PAT-1411"/>
    <s v="ENC-411"/>
    <s v="Jennifer Johnson"/>
    <d v="1999-09-03T00:00:00"/>
    <s v="Non-binary"/>
    <s v="B+"/>
    <s v="2013 Main St"/>
    <s v="555-544-9489"/>
    <s v="HOS-01"/>
    <d v="2024-03-10T00:00:00"/>
    <x v="2"/>
    <n v="24"/>
    <x v="2"/>
  </r>
  <r>
    <s v="PAT-1174"/>
    <s v="ENC-174"/>
    <s v="Patricia Jones"/>
    <d v="1944-02-19T00:00:00"/>
    <s v="Non-binary"/>
    <s v="O+"/>
    <s v="5155 Main St"/>
    <s v="555-638-6310"/>
    <s v="HOS-01"/>
    <d v="2024-03-04T00:00:00"/>
    <x v="3"/>
    <n v="80"/>
    <x v="2"/>
  </r>
  <r>
    <s v="PAT-1071"/>
    <s v="ENC-71"/>
    <s v="Patricia Patel"/>
    <d v="1965-12-06T00:00:00"/>
    <s v="Non-binary"/>
    <s v="AB+"/>
    <s v="8691 Main St"/>
    <s v="555-155-1146"/>
    <s v="HOS-01"/>
    <d v="2024-03-01T00:00:00"/>
    <x v="3"/>
    <n v="58"/>
    <x v="2"/>
  </r>
  <r>
    <s v="PAT-1264"/>
    <s v="ENC-264"/>
    <s v="John Singh"/>
    <d v="1948-12-19T00:00:00"/>
    <s v="Non-binary"/>
    <s v="B+"/>
    <s v="4307 Main St"/>
    <s v="555-627-2001"/>
    <s v="HOS-01"/>
    <d v="2024-02-28T00:00:00"/>
    <x v="0"/>
    <n v="75"/>
    <x v="2"/>
  </r>
  <r>
    <s v="PAT-1416"/>
    <s v="ENC-416"/>
    <s v="Mary Johnson"/>
    <d v="1967-12-09T00:00:00"/>
    <s v="Male"/>
    <s v="A+"/>
    <s v="6681 Main St"/>
    <s v="555-348-3067"/>
    <s v="CLI-01"/>
    <d v="2024-02-26T00:00:00"/>
    <x v="3"/>
    <n v="56"/>
    <x v="2"/>
  </r>
  <r>
    <s v="PAT-1447"/>
    <s v="ENC-447"/>
    <s v="Priya Singh"/>
    <d v="1963-05-28T00:00:00"/>
    <s v="Non-binary"/>
    <s v="A+"/>
    <s v="5102 Main St"/>
    <s v="555-809-4102"/>
    <s v="CLI-01"/>
    <d v="2024-02-23T00:00:00"/>
    <x v="1"/>
    <n v="60"/>
    <x v="2"/>
  </r>
  <r>
    <s v="PAT-1482"/>
    <s v="ENC-482"/>
    <s v="Priya Smith"/>
    <d v="1966-05-26T00:00:00"/>
    <s v="Male"/>
    <s v="B-"/>
    <s v="921 Main St"/>
    <s v="555-862-8271"/>
    <s v="HOS-01"/>
    <d v="2024-02-23T00:00:00"/>
    <x v="1"/>
    <n v="57"/>
    <x v="2"/>
  </r>
  <r>
    <s v="PAT-1173"/>
    <s v="ENC-173"/>
    <s v="Aarav Patel"/>
    <d v="2005-12-28T00:00:00"/>
    <s v="Non-binary"/>
    <s v="AB-"/>
    <s v="1989 Main St"/>
    <s v="555-284-8707"/>
    <s v="HOS-01"/>
    <d v="2024-02-22T00:00:00"/>
    <x v="2"/>
    <n v="18"/>
    <x v="2"/>
  </r>
  <r>
    <s v="PAT-1072"/>
    <s v="ENC-72"/>
    <s v="Patricia Garcia"/>
    <d v="1998-06-02T00:00:00"/>
    <s v="Female"/>
    <s v="O-"/>
    <s v="9891 Main St"/>
    <s v="555-451-1212"/>
    <s v="HOS-01"/>
    <d v="2024-02-21T00:00:00"/>
    <x v="0"/>
    <n v="25"/>
    <x v="2"/>
  </r>
  <r>
    <s v="PAT-1324"/>
    <s v="ENC-324"/>
    <s v="Jennifer Jones"/>
    <d v="1971-02-03T00:00:00"/>
    <s v="Non-binary"/>
    <s v="AB+"/>
    <s v="9365 Main St"/>
    <s v="555-820-3377"/>
    <s v="HOS-01"/>
    <d v="2024-02-20T00:00:00"/>
    <x v="1"/>
    <n v="53"/>
    <x v="2"/>
  </r>
  <r>
    <s v="PAT-1354"/>
    <s v="ENC-354"/>
    <s v="Mary Smith"/>
    <d v="1946-02-28T00:00:00"/>
    <s v="Female"/>
    <s v="O-"/>
    <s v="6336 Main St"/>
    <s v="555-516-8876"/>
    <s v="HOS-01"/>
    <d v="2024-02-20T00:00:00"/>
    <x v="2"/>
    <n v="77"/>
    <x v="2"/>
  </r>
  <r>
    <s v="PAT-1293"/>
    <s v="ENC-293"/>
    <s v="Aarav Patel"/>
    <d v="1969-12-30T00:00:00"/>
    <s v="Non-binary"/>
    <s v="O+"/>
    <s v="6246 Main St"/>
    <s v="555-233-7476"/>
    <s v="HOS-01"/>
    <d v="2024-02-19T00:00:00"/>
    <x v="3"/>
    <n v="54"/>
    <x v="2"/>
  </r>
  <r>
    <s v="PAT-1226"/>
    <s v="ENC-226"/>
    <s v="Linda Smith"/>
    <d v="1940-03-10T00:00:00"/>
    <s v="Non-binary"/>
    <s v="O+"/>
    <s v="2549 Main St"/>
    <s v="555-805-4062"/>
    <s v="CLI-01"/>
    <d v="2024-01-30T00:00:00"/>
    <x v="1"/>
    <n v="83"/>
    <x v="2"/>
  </r>
  <r>
    <s v="PAT-1008"/>
    <s v="ENC-8"/>
    <s v="John Singh"/>
    <d v="1941-04-03T00:00:00"/>
    <s v="Female"/>
    <s v="O+"/>
    <s v="2432 Main St"/>
    <s v="555-392-8623"/>
    <s v="CLI-01"/>
    <d v="2024-01-27T00:00:00"/>
    <x v="3"/>
    <n v="82"/>
    <x v="2"/>
  </r>
  <r>
    <s v="PAT-1162"/>
    <s v="ENC-162"/>
    <s v="Mary Johnson"/>
    <d v="1946-01-27T00:00:00"/>
    <s v="Male"/>
    <s v="A+"/>
    <s v="4404 Main St"/>
    <s v="555-853-1429"/>
    <s v="CLI-01"/>
    <d v="2024-01-25T00:00:00"/>
    <x v="2"/>
    <n v="77"/>
    <x v="2"/>
  </r>
  <r>
    <s v="PAT-1024"/>
    <s v="ENC-24"/>
    <s v="Priya Johnson"/>
    <d v="1988-01-10T00:00:00"/>
    <s v="Female"/>
    <s v="AB-"/>
    <s v="1497 Main St"/>
    <s v="555-995-9551"/>
    <s v="CLI-01"/>
    <d v="2024-01-24T00:00:00"/>
    <x v="1"/>
    <n v="36"/>
    <x v="2"/>
  </r>
  <r>
    <s v="PAT-1171"/>
    <s v="ENC-171"/>
    <s v="Linda Jones"/>
    <d v="1990-09-22T00:00:00"/>
    <s v="Male"/>
    <s v="A+"/>
    <s v="8073 Main St"/>
    <s v="555-805-6933"/>
    <s v="CLI-01"/>
    <d v="2024-01-18T00:00:00"/>
    <x v="2"/>
    <n v="33"/>
    <x v="2"/>
  </r>
  <r>
    <s v="PAT-1182"/>
    <s v="ENC-182"/>
    <s v="James Garcia"/>
    <d v="1978-08-28T00:00:00"/>
    <s v="Male"/>
    <s v="O+"/>
    <s v="3084 Main St"/>
    <s v="555-673-6209"/>
    <s v="HOS-01"/>
    <d v="2024-01-17T00:00:00"/>
    <x v="1"/>
    <n v="45"/>
    <x v="2"/>
  </r>
  <r>
    <s v="PAT-1151"/>
    <s v="ENC-151"/>
    <s v="Patricia Garcia"/>
    <d v="1953-06-18T00:00:00"/>
    <s v="Non-binary"/>
    <s v="AB+"/>
    <s v="1311 Main St"/>
    <s v="555-943-6344"/>
    <s v="CLI-01"/>
    <d v="2024-01-14T00:00:00"/>
    <x v="3"/>
    <n v="70"/>
    <x v="2"/>
  </r>
  <r>
    <s v="PAT-1012"/>
    <s v="ENC-12"/>
    <s v="Jennifer Patel"/>
    <d v="1997-03-02T00:00:00"/>
    <s v="Male"/>
    <s v="A+"/>
    <s v="8064 Main St"/>
    <s v="555-772-4685"/>
    <s v="HOS-01"/>
    <d v="2024-01-11T00:00:00"/>
    <x v="0"/>
    <n v="26"/>
    <x v="2"/>
  </r>
  <r>
    <s v="PAT-1148"/>
    <s v="ENC-148"/>
    <s v="Patricia Singh"/>
    <d v="1970-12-16T00:00:00"/>
    <s v="Male"/>
    <s v="AB-"/>
    <s v="2918 Main St"/>
    <s v="555-689-6435"/>
    <s v="HOS-01"/>
    <d v="2024-01-09T00:00:00"/>
    <x v="0"/>
    <n v="53"/>
    <x v="2"/>
  </r>
  <r>
    <s v="PAT-1356"/>
    <s v="ENC-356"/>
    <s v="Priya Smith"/>
    <d v="1999-11-23T00:00:00"/>
    <s v="Non-binary"/>
    <s v="B-"/>
    <s v="7583 Main St"/>
    <s v="555-671-3778"/>
    <s v="CLI-01"/>
    <d v="2024-01-06T00:00:00"/>
    <x v="2"/>
    <n v="24"/>
    <x v="2"/>
  </r>
  <r>
    <s v="PAT-1099"/>
    <s v="ENC-99"/>
    <s v="Mary Patel"/>
    <d v="1965-05-18T00:00:00"/>
    <s v="Female"/>
    <s v="O+"/>
    <s v="167 Main St"/>
    <s v="555-184-1762"/>
    <s v="HOS-01"/>
    <d v="2024-01-04T00:00:00"/>
    <x v="3"/>
    <n v="58"/>
    <x v="2"/>
  </r>
  <r>
    <s v="PAT-1152"/>
    <s v="ENC-152"/>
    <s v="Michael Jones"/>
    <d v="2003-08-23T00:00:00"/>
    <s v="Non-binary"/>
    <s v="A+"/>
    <s v="3767 Main St"/>
    <s v="555-308-3196"/>
    <s v="HOS-01"/>
    <d v="2024-01-02T00:00:00"/>
    <x v="0"/>
    <n v="20"/>
    <x v="2"/>
  </r>
  <r>
    <s v="PAT-1397"/>
    <s v="ENC-397"/>
    <s v="James Smith"/>
    <d v="1971-09-03T00:00:00"/>
    <s v="Female"/>
    <s v="B+"/>
    <s v="5515 Main St"/>
    <s v="555-423-3410"/>
    <s v="CLI-01"/>
    <d v="2023-12-31T00:00:00"/>
    <x v="3"/>
    <n v="52"/>
    <x v="3"/>
  </r>
  <r>
    <s v="PAT-1437"/>
    <s v="ENC-437"/>
    <s v="John Williams"/>
    <d v="1983-10-30T00:00:00"/>
    <s v="Male"/>
    <s v="B+"/>
    <s v="496 Main St"/>
    <s v="555-240-8450"/>
    <s v="CLI-01"/>
    <d v="2023-12-31T00:00:00"/>
    <x v="1"/>
    <n v="40"/>
    <x v="3"/>
  </r>
  <r>
    <s v="PAT-1137"/>
    <s v="ENC-137"/>
    <s v="Michael Brown"/>
    <d v="1949-03-13T00:00:00"/>
    <s v="Female"/>
    <s v="A+"/>
    <s v="8513 Main St"/>
    <s v="555-892-3706"/>
    <s v="CLI-01"/>
    <d v="2023-12-25T00:00:00"/>
    <x v="1"/>
    <n v="74"/>
    <x v="3"/>
  </r>
  <r>
    <s v="PAT-1320"/>
    <s v="ENC-320"/>
    <s v="Priya Williams"/>
    <d v="1966-12-17T00:00:00"/>
    <s v="Non-binary"/>
    <s v="B+"/>
    <s v="5327 Main St"/>
    <s v="555-271-8086"/>
    <s v="CLI-01"/>
    <d v="2023-12-24T00:00:00"/>
    <x v="1"/>
    <n v="57"/>
    <x v="3"/>
  </r>
  <r>
    <s v="PAT-1489"/>
    <s v="ENC-489"/>
    <s v="Linda Garcia"/>
    <d v="1942-09-02T00:00:00"/>
    <s v="Female"/>
    <s v="B+"/>
    <s v="4630 Main St"/>
    <s v="555-186-7978"/>
    <s v="HOS-01"/>
    <d v="2023-12-22T00:00:00"/>
    <x v="1"/>
    <n v="81"/>
    <x v="3"/>
  </r>
  <r>
    <s v="PAT-1369"/>
    <s v="ENC-369"/>
    <s v="John Garcia"/>
    <d v="1985-09-30T00:00:00"/>
    <s v="Male"/>
    <s v="B+"/>
    <s v="8285 Main St"/>
    <s v="555-496-3068"/>
    <s v="CLI-01"/>
    <d v="2023-12-19T00:00:00"/>
    <x v="1"/>
    <n v="38"/>
    <x v="3"/>
  </r>
  <r>
    <s v="PAT-1205"/>
    <s v="ENC-205"/>
    <s v="John Smith"/>
    <d v="1948-07-27T00:00:00"/>
    <s v="Non-binary"/>
    <s v="A-"/>
    <s v="2688 Main St"/>
    <s v="555-811-5007"/>
    <s v="HOS-01"/>
    <d v="2023-12-18T00:00:00"/>
    <x v="0"/>
    <n v="75"/>
    <x v="3"/>
  </r>
  <r>
    <s v="PAT-1112"/>
    <s v="ENC-112"/>
    <s v="James Williams"/>
    <d v="2004-02-29T00:00:00"/>
    <s v="Male"/>
    <s v="AB-"/>
    <s v="6622 Main St"/>
    <s v="555-325-2158"/>
    <s v="HOS-01"/>
    <d v="2023-12-17T00:00:00"/>
    <x v="2"/>
    <n v="19"/>
    <x v="3"/>
  </r>
  <r>
    <s v="PAT-1034"/>
    <s v="ENC-34"/>
    <s v="James Jones"/>
    <d v="1971-02-26T00:00:00"/>
    <s v="Non-binary"/>
    <s v="B+"/>
    <s v="911 Main St"/>
    <s v="555-133-8279"/>
    <s v="HOS-01"/>
    <d v="2023-12-16T00:00:00"/>
    <x v="1"/>
    <n v="52"/>
    <x v="3"/>
  </r>
  <r>
    <s v="PAT-1498"/>
    <s v="ENC-498"/>
    <s v="James Williams"/>
    <d v="1978-04-14T00:00:00"/>
    <s v="Non-binary"/>
    <s v="O-"/>
    <s v="1355 Main St"/>
    <s v="555-210-9152"/>
    <s v="HOS-01"/>
    <d v="2023-12-11T00:00:00"/>
    <x v="1"/>
    <n v="45"/>
    <x v="3"/>
  </r>
  <r>
    <s v="PAT-1180"/>
    <s v="ENC-180"/>
    <s v="John Williams"/>
    <d v="1998-10-26T00:00:00"/>
    <s v="Non-binary"/>
    <s v="AB-"/>
    <s v="8602 Main St"/>
    <s v="555-161-9564"/>
    <s v="HOS-01"/>
    <d v="2023-12-08T00:00:00"/>
    <x v="1"/>
    <n v="25"/>
    <x v="3"/>
  </r>
  <r>
    <s v="PAT-1069"/>
    <s v="ENC-69"/>
    <s v="Michael Patel"/>
    <d v="2006-07-16T00:00:00"/>
    <s v="Male"/>
    <s v="AB-"/>
    <s v="8104 Main St"/>
    <s v="555-610-5424"/>
    <s v="HOS-01"/>
    <d v="2023-12-05T00:00:00"/>
    <x v="3"/>
    <n v="17"/>
    <x v="3"/>
  </r>
  <r>
    <s v="PAT-1202"/>
    <s v="ENC-202"/>
    <s v="Aarav Singh"/>
    <d v="1977-11-22T00:00:00"/>
    <s v="Non-binary"/>
    <s v="AB+"/>
    <s v="9171 Main St"/>
    <s v="555-368-6202"/>
    <s v="HOS-01"/>
    <d v="2023-12-03T00:00:00"/>
    <x v="3"/>
    <n v="46"/>
    <x v="3"/>
  </r>
  <r>
    <s v="PAT-1002"/>
    <s v="ENC-2"/>
    <s v="Michael Smith"/>
    <d v="1995-09-05T00:00:00"/>
    <s v="Male"/>
    <s v="A-"/>
    <s v="7259 Main St"/>
    <s v="555-644-1423"/>
    <s v="CLI-01"/>
    <d v="2023-11-30T00:00:00"/>
    <x v="0"/>
    <n v="28"/>
    <x v="3"/>
  </r>
  <r>
    <s v="PAT-1310"/>
    <s v="ENC-310"/>
    <s v="Robert Brown"/>
    <d v="1963-09-17T00:00:00"/>
    <s v="Non-binary"/>
    <s v="A-"/>
    <s v="508 Main St"/>
    <s v="555-262-1825"/>
    <s v="CLI-01"/>
    <d v="2023-11-29T00:00:00"/>
    <x v="0"/>
    <n v="60"/>
    <x v="3"/>
  </r>
  <r>
    <s v="PAT-1409"/>
    <s v="ENC-409"/>
    <s v="Mary Johnson"/>
    <d v="1997-01-17T00:00:00"/>
    <s v="Female"/>
    <s v="O-"/>
    <s v="425 Main St"/>
    <s v="555-698-8609"/>
    <s v="HOS-01"/>
    <d v="2023-11-29T00:00:00"/>
    <x v="2"/>
    <n v="26"/>
    <x v="3"/>
  </r>
  <r>
    <s v="PAT-1027"/>
    <s v="ENC-27"/>
    <s v="Michael Johnson"/>
    <d v="1996-03-28T00:00:00"/>
    <s v="Non-binary"/>
    <s v="B-"/>
    <s v="8846 Main St"/>
    <s v="555-842-7157"/>
    <s v="HOS-01"/>
    <d v="2023-11-23T00:00:00"/>
    <x v="1"/>
    <n v="27"/>
    <x v="3"/>
  </r>
  <r>
    <s v="PAT-1327"/>
    <s v="ENC-327"/>
    <s v="John Patel"/>
    <d v="1950-07-04T00:00:00"/>
    <s v="Female"/>
    <s v="O+"/>
    <s v="7024 Main St"/>
    <s v="555-786-5590"/>
    <s v="CLI-01"/>
    <d v="2023-11-23T00:00:00"/>
    <x v="1"/>
    <n v="73"/>
    <x v="3"/>
  </r>
  <r>
    <s v="PAT-1301"/>
    <s v="ENC-301"/>
    <s v="Aarav Jones"/>
    <d v="1960-07-08T00:00:00"/>
    <s v="Non-binary"/>
    <s v="O+"/>
    <s v="8171 Main St"/>
    <s v="555-531-5226"/>
    <s v="CLI-01"/>
    <d v="2023-11-20T00:00:00"/>
    <x v="1"/>
    <n v="63"/>
    <x v="3"/>
  </r>
  <r>
    <s v="PAT-1048"/>
    <s v="ENC-48"/>
    <s v="James Smith"/>
    <d v="1954-05-03T00:00:00"/>
    <s v="Non-binary"/>
    <s v="B+"/>
    <s v="9236 Main St"/>
    <s v="555-927-6527"/>
    <s v="CLI-01"/>
    <d v="2023-11-18T00:00:00"/>
    <x v="1"/>
    <n v="69"/>
    <x v="3"/>
  </r>
  <r>
    <s v="PAT-1132"/>
    <s v="ENC-132"/>
    <s v="John Johnson"/>
    <d v="1969-12-04T00:00:00"/>
    <s v="Non-binary"/>
    <s v="B-"/>
    <s v="7510 Main St"/>
    <s v="555-545-9537"/>
    <s v="CLI-01"/>
    <d v="2023-11-13T00:00:00"/>
    <x v="0"/>
    <n v="53"/>
    <x v="3"/>
  </r>
  <r>
    <s v="PAT-1181"/>
    <s v="ENC-181"/>
    <s v="John Smith"/>
    <d v="1985-12-10T00:00:00"/>
    <s v="Non-binary"/>
    <s v="A+"/>
    <s v="8987 Main St"/>
    <s v="555-226-8727"/>
    <s v="CLI-01"/>
    <d v="2023-11-09T00:00:00"/>
    <x v="2"/>
    <n v="37"/>
    <x v="3"/>
  </r>
  <r>
    <s v="PAT-1376"/>
    <s v="ENC-376"/>
    <s v="Patricia Patel"/>
    <d v="1976-07-05T00:00:00"/>
    <s v="Female"/>
    <s v="B+"/>
    <s v="9544 Main St"/>
    <s v="555-984-2647"/>
    <s v="CLI-01"/>
    <d v="2023-11-09T00:00:00"/>
    <x v="1"/>
    <n v="47"/>
    <x v="3"/>
  </r>
  <r>
    <s v="PAT-1080"/>
    <s v="ENC-80"/>
    <s v="Robert Patel"/>
    <d v="1984-12-13T00:00:00"/>
    <s v="Non-binary"/>
    <s v="O+"/>
    <s v="9179 Main St"/>
    <s v="555-899-7779"/>
    <s v="CLI-01"/>
    <d v="2023-11-08T00:00:00"/>
    <x v="0"/>
    <n v="38"/>
    <x v="3"/>
  </r>
  <r>
    <s v="PAT-1390"/>
    <s v="ENC-390"/>
    <s v="John Williams"/>
    <d v="1957-07-05T00:00:00"/>
    <s v="Female"/>
    <s v="A+"/>
    <s v="5138 Main St"/>
    <s v="555-966-3939"/>
    <s v="HOS-01"/>
    <d v="2023-11-08T00:00:00"/>
    <x v="1"/>
    <n v="66"/>
    <x v="3"/>
  </r>
  <r>
    <s v="PAT-1272"/>
    <s v="ENC-272"/>
    <s v="Jennifer Brown"/>
    <d v="1944-05-21T00:00:00"/>
    <s v="Female"/>
    <s v="O-"/>
    <s v="3966 Main St"/>
    <s v="555-592-6708"/>
    <s v="CLI-01"/>
    <d v="2023-11-04T00:00:00"/>
    <x v="2"/>
    <n v="79"/>
    <x v="3"/>
  </r>
  <r>
    <s v="PAT-1222"/>
    <s v="ENC-222"/>
    <s v="Jennifer Johnson"/>
    <d v="2004-10-25T00:00:00"/>
    <s v="Non-binary"/>
    <s v="O-"/>
    <s v="4798 Main St"/>
    <s v="555-459-3482"/>
    <s v="HOS-01"/>
    <d v="2023-11-01T00:00:00"/>
    <x v="1"/>
    <n v="19"/>
    <x v="3"/>
  </r>
  <r>
    <s v="PAT-1443"/>
    <s v="ENC-443"/>
    <s v="Linda Patel"/>
    <d v="1980-01-22T00:00:00"/>
    <s v="Non-binary"/>
    <s v="AB+"/>
    <s v="5014 Main St"/>
    <s v="555-971-3799"/>
    <s v="HOS-01"/>
    <d v="2023-10-30T00:00:00"/>
    <x v="0"/>
    <n v="43"/>
    <x v="3"/>
  </r>
  <r>
    <s v="PAT-1490"/>
    <s v="ENC-490"/>
    <s v="Robert Garcia"/>
    <d v="1986-04-27T00:00:00"/>
    <s v="Male"/>
    <s v="A+"/>
    <s v="4773 Main St"/>
    <s v="555-794-2611"/>
    <s v="HOS-01"/>
    <d v="2023-10-29T00:00:00"/>
    <x v="2"/>
    <n v="37"/>
    <x v="3"/>
  </r>
  <r>
    <s v="PAT-1175"/>
    <s v="ENC-175"/>
    <s v="Michael Brown"/>
    <d v="1992-08-04T00:00:00"/>
    <s v="Non-binary"/>
    <s v="AB-"/>
    <s v="2768 Main St"/>
    <s v="555-680-9362"/>
    <s v="HOS-01"/>
    <d v="2023-10-27T00:00:00"/>
    <x v="1"/>
    <n v="31"/>
    <x v="3"/>
  </r>
  <r>
    <s v="PAT-1286"/>
    <s v="ENC-286"/>
    <s v="Mary Singh"/>
    <d v="1976-01-20T00:00:00"/>
    <s v="Female"/>
    <s v="B+"/>
    <s v="7515 Main St"/>
    <s v="555-841-3991"/>
    <s v="CLI-01"/>
    <d v="2023-10-23T00:00:00"/>
    <x v="2"/>
    <n v="47"/>
    <x v="3"/>
  </r>
  <r>
    <s v="PAT-1350"/>
    <s v="ENC-350"/>
    <s v="Jennifer Johnson"/>
    <d v="2003-07-02T00:00:00"/>
    <s v="Female"/>
    <s v="O+"/>
    <s v="474 Main St"/>
    <s v="555-380-2280"/>
    <s v="CLI-01"/>
    <d v="2023-10-23T00:00:00"/>
    <x v="0"/>
    <n v="20"/>
    <x v="3"/>
  </r>
  <r>
    <s v="PAT-1117"/>
    <s v="ENC-117"/>
    <s v="Priya Singh"/>
    <d v="1991-10-08T00:00:00"/>
    <s v="Non-binary"/>
    <s v="AB+"/>
    <s v="1637 Main St"/>
    <s v="555-550-7008"/>
    <s v="HOS-01"/>
    <d v="2023-10-07T00:00:00"/>
    <x v="2"/>
    <n v="31"/>
    <x v="3"/>
  </r>
  <r>
    <s v="PAT-1248"/>
    <s v="ENC-248"/>
    <s v="Michael Smith"/>
    <d v="1968-12-30T00:00:00"/>
    <s v="Female"/>
    <s v="O-"/>
    <s v="5468 Main St"/>
    <s v="555-363-4598"/>
    <s v="CLI-01"/>
    <d v="2023-10-04T00:00:00"/>
    <x v="3"/>
    <n v="54"/>
    <x v="3"/>
  </r>
  <r>
    <s v="PAT-1323"/>
    <s v="ENC-323"/>
    <s v="Patricia Smith"/>
    <d v="1947-02-04T00:00:00"/>
    <s v="Female"/>
    <s v="O+"/>
    <s v="581 Main St"/>
    <s v="555-903-5138"/>
    <s v="CLI-01"/>
    <d v="2023-10-01T00:00:00"/>
    <x v="2"/>
    <n v="76"/>
    <x v="3"/>
  </r>
  <r>
    <s v="PAT-1058"/>
    <s v="ENC-58"/>
    <s v="Michael Brown"/>
    <d v="2001-06-11T00:00:00"/>
    <s v="Female"/>
    <s v="O-"/>
    <s v="126 Main St"/>
    <s v="555-496-2214"/>
    <s v="HOS-01"/>
    <d v="2023-09-30T00:00:00"/>
    <x v="2"/>
    <n v="22"/>
    <x v="3"/>
  </r>
  <r>
    <s v="PAT-1418"/>
    <s v="ENC-418"/>
    <s v="John Smith"/>
    <d v="1967-09-19T00:00:00"/>
    <s v="Male"/>
    <s v="O-"/>
    <s v="3600 Main St"/>
    <s v="555-659-5559"/>
    <s v="HOS-01"/>
    <d v="2023-09-23T00:00:00"/>
    <x v="1"/>
    <n v="56"/>
    <x v="3"/>
  </r>
  <r>
    <s v="PAT-1268"/>
    <s v="ENC-268"/>
    <s v="Michael Garcia"/>
    <d v="1953-10-14T00:00:00"/>
    <s v="Female"/>
    <s v="O+"/>
    <s v="3673 Main St"/>
    <s v="555-695-2715"/>
    <s v="HOS-01"/>
    <d v="2023-09-19T00:00:00"/>
    <x v="0"/>
    <n v="69"/>
    <x v="3"/>
  </r>
  <r>
    <s v="PAT-1023"/>
    <s v="ENC-23"/>
    <s v="Patricia Garcia"/>
    <d v="2006-11-13T00:00:00"/>
    <s v="Male"/>
    <s v="A+"/>
    <s v="7413 Main St"/>
    <s v="555-733-3251"/>
    <s v="CLI-01"/>
    <d v="2023-09-16T00:00:00"/>
    <x v="0"/>
    <n v="16"/>
    <x v="3"/>
  </r>
  <r>
    <s v="PAT-1235"/>
    <s v="ENC-235"/>
    <s v="John Patel"/>
    <d v="1965-10-25T00:00:00"/>
    <s v="Non-binary"/>
    <s v="A-"/>
    <s v="2020 Main St"/>
    <s v="555-940-3875"/>
    <s v="CLI-01"/>
    <d v="2023-09-13T00:00:00"/>
    <x v="1"/>
    <n v="57"/>
    <x v="3"/>
  </r>
  <r>
    <s v="PAT-1297"/>
    <s v="ENC-297"/>
    <s v="Aarav Smith"/>
    <d v="2003-05-20T00:00:00"/>
    <s v="Male"/>
    <s v="A-"/>
    <s v="1292 Main St"/>
    <s v="555-596-6358"/>
    <s v="HOS-01"/>
    <d v="2023-09-13T00:00:00"/>
    <x v="1"/>
    <n v="20"/>
    <x v="3"/>
  </r>
  <r>
    <s v="PAT-1319"/>
    <s v="ENC-319"/>
    <s v="Mary Singh"/>
    <d v="1950-02-05T00:00:00"/>
    <s v="Male"/>
    <s v="B+"/>
    <s v="6386 Main St"/>
    <s v="555-243-4288"/>
    <s v="HOS-01"/>
    <d v="2023-08-31T00:00:00"/>
    <x v="2"/>
    <n v="73"/>
    <x v="3"/>
  </r>
  <r>
    <s v="PAT-1338"/>
    <s v="ENC-338"/>
    <s v="Robert Smith"/>
    <d v="1946-08-13T00:00:00"/>
    <s v="Non-binary"/>
    <s v="O-"/>
    <s v="9898 Main St"/>
    <s v="555-142-9468"/>
    <s v="CLI-01"/>
    <d v="2023-08-30T00:00:00"/>
    <x v="2"/>
    <n v="77"/>
    <x v="3"/>
  </r>
  <r>
    <s v="PAT-1091"/>
    <s v="ENC-91"/>
    <s v="Linda Smith"/>
    <d v="1955-05-19T00:00:00"/>
    <s v="Non-binary"/>
    <s v="O+"/>
    <s v="732 Main St"/>
    <s v="555-855-8107"/>
    <s v="HOS-01"/>
    <d v="2023-08-24T00:00:00"/>
    <x v="1"/>
    <n v="68"/>
    <x v="3"/>
  </r>
  <r>
    <s v="PAT-1265"/>
    <s v="ENC-265"/>
    <s v="Mary Smith"/>
    <d v="1952-09-27T00:00:00"/>
    <s v="Male"/>
    <s v="A+"/>
    <s v="9227 Main St"/>
    <s v="555-409-8239"/>
    <s v="CLI-01"/>
    <d v="2023-08-21T00:00:00"/>
    <x v="1"/>
    <n v="70"/>
    <x v="3"/>
  </r>
  <r>
    <s v="PAT-1360"/>
    <s v="ENC-360"/>
    <s v="Patricia Johnson"/>
    <d v="1950-02-16T00:00:00"/>
    <s v="Non-binary"/>
    <s v="A+"/>
    <s v="6864 Main St"/>
    <s v="555-717-3126"/>
    <s v="CLI-01"/>
    <d v="2023-08-21T00:00:00"/>
    <x v="2"/>
    <n v="73"/>
    <x v="3"/>
  </r>
  <r>
    <s v="PAT-1114"/>
    <s v="ENC-114"/>
    <s v="Linda Williams"/>
    <d v="1959-03-06T00:00:00"/>
    <s v="Female"/>
    <s v="O+"/>
    <s v="6703 Main St"/>
    <s v="555-557-3853"/>
    <s v="CLI-01"/>
    <d v="2023-08-18T00:00:00"/>
    <x v="2"/>
    <n v="64"/>
    <x v="3"/>
  </r>
  <r>
    <s v="PAT-1005"/>
    <s v="ENC-5"/>
    <s v="Linda Garcia"/>
    <d v="1989-03-09T00:00:00"/>
    <s v="Male"/>
    <s v="A+"/>
    <s v="1378 Main St"/>
    <s v="555-309-8036"/>
    <s v="CLI-01"/>
    <d v="2023-08-09T00:00:00"/>
    <x v="2"/>
    <n v="34"/>
    <x v="3"/>
  </r>
  <r>
    <s v="PAT-1104"/>
    <s v="ENC-104"/>
    <s v="Robert Garcia"/>
    <d v="1968-10-28T00:00:00"/>
    <s v="Female"/>
    <s v="AB+"/>
    <s v="7632 Main St"/>
    <s v="555-964-4322"/>
    <s v="HOS-01"/>
    <d v="2023-08-09T00:00:00"/>
    <x v="0"/>
    <n v="54"/>
    <x v="3"/>
  </r>
  <r>
    <s v="PAT-1421"/>
    <s v="ENC-421"/>
    <s v="Priya Garcia"/>
    <d v="1946-08-14T00:00:00"/>
    <s v="Non-binary"/>
    <s v="AB+"/>
    <s v="7300 Main St"/>
    <s v="555-295-4450"/>
    <s v="CLI-01"/>
    <d v="2023-08-01T00:00:00"/>
    <x v="1"/>
    <n v="76"/>
    <x v="3"/>
  </r>
  <r>
    <s v="PAT-1276"/>
    <s v="ENC-276"/>
    <s v="James Brown"/>
    <d v="1981-05-21T00:00:00"/>
    <s v="Non-binary"/>
    <s v="B-"/>
    <s v="3530 Main St"/>
    <s v="555-867-6993"/>
    <s v="HOS-01"/>
    <d v="2023-07-29T00:00:00"/>
    <x v="3"/>
    <n v="42"/>
    <x v="3"/>
  </r>
  <r>
    <s v="PAT-1363"/>
    <s v="ENC-363"/>
    <s v="Mary Garcia"/>
    <d v="1985-08-25T00:00:00"/>
    <s v="Non-binary"/>
    <s v="A-"/>
    <s v="7565 Main St"/>
    <s v="555-468-5218"/>
    <s v="CLI-01"/>
    <d v="2023-07-27T00:00:00"/>
    <x v="2"/>
    <n v="37"/>
    <x v="3"/>
  </r>
  <r>
    <s v="PAT-1478"/>
    <s v="ENC-478"/>
    <s v="Jennifer Jones"/>
    <d v="1999-05-30T00:00:00"/>
    <s v="Male"/>
    <s v="AB+"/>
    <s v="1143 Main St"/>
    <s v="555-700-6930"/>
    <s v="HOS-01"/>
    <d v="2023-07-27T00:00:00"/>
    <x v="0"/>
    <n v="24"/>
    <x v="3"/>
  </r>
  <r>
    <s v="PAT-1193"/>
    <s v="ENC-193"/>
    <s v="John Jones"/>
    <d v="1968-12-07T00:00:00"/>
    <s v="Female"/>
    <s v="O-"/>
    <s v="5177 Main St"/>
    <s v="555-808-3871"/>
    <s v="CLI-01"/>
    <d v="2023-07-18T00:00:00"/>
    <x v="2"/>
    <n v="54"/>
    <x v="3"/>
  </r>
  <r>
    <s v="PAT-1188"/>
    <s v="ENC-188"/>
    <s v="John Garcia"/>
    <d v="1990-03-20T00:00:00"/>
    <s v="Female"/>
    <s v="O-"/>
    <s v="5585 Main St"/>
    <s v="555-687-8388"/>
    <s v="HOS-01"/>
    <d v="2023-07-07T00:00:00"/>
    <x v="2"/>
    <n v="33"/>
    <x v="3"/>
  </r>
  <r>
    <s v="PAT-1383"/>
    <s v="ENC-383"/>
    <s v="Priya Patel"/>
    <d v="1943-02-14T00:00:00"/>
    <s v="Male"/>
    <s v="A+"/>
    <s v="9911 Main St"/>
    <s v="555-203-7224"/>
    <s v="HOS-01"/>
    <d v="2023-07-06T00:00:00"/>
    <x v="0"/>
    <n v="80"/>
    <x v="3"/>
  </r>
  <r>
    <s v="PAT-1473"/>
    <s v="ENC-473"/>
    <s v="Linda Patel"/>
    <d v="1983-04-24T00:00:00"/>
    <s v="Male"/>
    <s v="AB-"/>
    <s v="5408 Main St"/>
    <s v="555-120-9172"/>
    <s v="CLI-01"/>
    <d v="2023-06-27T00:00:00"/>
    <x v="1"/>
    <n v="40"/>
    <x v="3"/>
  </r>
  <r>
    <s v="PAT-1053"/>
    <s v="ENC-53"/>
    <s v="John Johnson"/>
    <d v="1988-06-17T00:00:00"/>
    <s v="Female"/>
    <s v="AB+"/>
    <s v="2447 Main St"/>
    <s v="555-615-3608"/>
    <s v="HOS-01"/>
    <d v="2023-06-23T00:00:00"/>
    <x v="3"/>
    <n v="35"/>
    <x v="3"/>
  </r>
  <r>
    <s v="PAT-1145"/>
    <s v="ENC-145"/>
    <s v="Michael Singh"/>
    <d v="2004-01-14T00:00:00"/>
    <s v="Non-binary"/>
    <s v="B+"/>
    <s v="7618 Main St"/>
    <s v="555-992-8097"/>
    <s v="HOS-01"/>
    <d v="2023-06-23T00:00:00"/>
    <x v="0"/>
    <n v="19"/>
    <x v="3"/>
  </r>
  <r>
    <s v="PAT-1086"/>
    <s v="ENC-86"/>
    <s v="Priya Brown"/>
    <d v="1952-08-07T00:00:00"/>
    <s v="Female"/>
    <s v="A+"/>
    <s v="3594 Main St"/>
    <s v="555-613-7719"/>
    <s v="CLI-01"/>
    <d v="2023-06-20T00:00:00"/>
    <x v="2"/>
    <n v="70"/>
    <x v="3"/>
  </r>
  <r>
    <s v="PAT-1165"/>
    <s v="ENC-165"/>
    <s v="John Patel"/>
    <d v="1981-08-12T00:00:00"/>
    <s v="Female"/>
    <s v="A+"/>
    <s v="9402 Main St"/>
    <s v="555-718-2534"/>
    <s v="CLI-01"/>
    <d v="2023-06-16T00:00:00"/>
    <x v="0"/>
    <n v="41"/>
    <x v="3"/>
  </r>
  <r>
    <s v="PAT-1405"/>
    <s v="ENC-405"/>
    <s v="Robert Smith"/>
    <d v="2008-08-08T00:00:00"/>
    <s v="Female"/>
    <s v="O+"/>
    <s v="2463 Main St"/>
    <s v="555-589-3332"/>
    <s v="CLI-01"/>
    <d v="2023-06-15T00:00:00"/>
    <x v="2"/>
    <n v="14"/>
    <x v="3"/>
  </r>
  <r>
    <s v="PAT-1052"/>
    <s v="ENC-52"/>
    <s v="Patricia Smith"/>
    <d v="1953-05-13T00:00:00"/>
    <s v="Female"/>
    <s v="O+"/>
    <s v="1665 Main St"/>
    <s v="555-105-2605"/>
    <s v="HOS-01"/>
    <d v="2023-06-14T00:00:00"/>
    <x v="2"/>
    <n v="70"/>
    <x v="3"/>
  </r>
  <r>
    <s v="PAT-1187"/>
    <s v="ENC-187"/>
    <s v="James Singh"/>
    <d v="1944-11-12T00:00:00"/>
    <s v="Male"/>
    <s v="A+"/>
    <s v="9827 Main St"/>
    <s v="555-966-3440"/>
    <s v="HOS-01"/>
    <d v="2023-06-14T00:00:00"/>
    <x v="2"/>
    <n v="78"/>
    <x v="3"/>
  </r>
  <r>
    <s v="PAT-1064"/>
    <s v="ENC-64"/>
    <s v="Robert Garcia"/>
    <d v="1951-06-14T00:00:00"/>
    <s v="Female"/>
    <s v="O-"/>
    <s v="1188 Main St"/>
    <s v="555-239-6362"/>
    <s v="HOS-01"/>
    <d v="2023-06-08T00:00:00"/>
    <x v="3"/>
    <n v="71"/>
    <x v="3"/>
  </r>
  <r>
    <s v="PAT-1240"/>
    <s v="ENC-240"/>
    <s v="Robert Johnson"/>
    <d v="1942-04-09T00:00:00"/>
    <s v="Non-binary"/>
    <s v="B-"/>
    <s v="4360 Main St"/>
    <s v="555-548-2485"/>
    <s v="CLI-01"/>
    <d v="2023-06-08T00:00:00"/>
    <x v="2"/>
    <n v="81"/>
    <x v="3"/>
  </r>
  <r>
    <s v="PAT-1462"/>
    <s v="ENC-462"/>
    <s v="James Smith"/>
    <d v="1965-09-26T00:00:00"/>
    <s v="Non-binary"/>
    <s v="B+"/>
    <s v="3586 Main St"/>
    <s v="555-346-4807"/>
    <s v="CLI-01"/>
    <d v="2023-06-06T00:00:00"/>
    <x v="2"/>
    <n v="57"/>
    <x v="3"/>
  </r>
  <r>
    <s v="PAT-1309"/>
    <s v="ENC-309"/>
    <s v="Mary Singh"/>
    <d v="1953-04-05T00:00:00"/>
    <s v="Female"/>
    <s v="B+"/>
    <s v="9140 Main St"/>
    <s v="555-208-9519"/>
    <s v="CLI-01"/>
    <d v="2023-05-30T00:00:00"/>
    <x v="3"/>
    <n v="70"/>
    <x v="3"/>
  </r>
  <r>
    <s v="PAT-1317"/>
    <s v="ENC-317"/>
    <s v="James Garcia"/>
    <d v="1963-01-21T00:00:00"/>
    <s v="Non-binary"/>
    <s v="A+"/>
    <s v="4223 Main St"/>
    <s v="555-604-4331"/>
    <s v="CLI-01"/>
    <d v="2023-05-28T00:00:00"/>
    <x v="3"/>
    <n v="60"/>
    <x v="3"/>
  </r>
  <r>
    <s v="PAT-1127"/>
    <s v="ENC-127"/>
    <s v="Linda Brown"/>
    <d v="1942-09-19T00:00:00"/>
    <s v="Male"/>
    <s v="AB+"/>
    <s v="3256 Main St"/>
    <s v="555-356-9190"/>
    <s v="CLI-01"/>
    <d v="2023-05-25T00:00:00"/>
    <x v="2"/>
    <n v="80"/>
    <x v="3"/>
  </r>
  <r>
    <s v="PAT-1234"/>
    <s v="ENC-234"/>
    <s v="Robert Patel"/>
    <d v="1995-12-12T00:00:00"/>
    <s v="Non-binary"/>
    <s v="A+"/>
    <s v="164 Main St"/>
    <s v="555-665-4728"/>
    <s v="HOS-01"/>
    <d v="2023-05-24T00:00:00"/>
    <x v="0"/>
    <n v="27"/>
    <x v="3"/>
  </r>
  <r>
    <s v="PAT-1500"/>
    <s v="ENC-500"/>
    <s v="Mary Smith"/>
    <d v="1983-10-31T00:00:00"/>
    <s v="Female"/>
    <s v="AB-"/>
    <s v="1169 Main St"/>
    <s v="555-430-5404"/>
    <s v="CLI-01"/>
    <d v="2023-05-18T00:00:00"/>
    <x v="3"/>
    <n v="39"/>
    <x v="3"/>
  </r>
  <r>
    <s v="PAT-1167"/>
    <s v="ENC-167"/>
    <s v="Michael Jones"/>
    <d v="1970-08-27T00:00:00"/>
    <s v="Non-binary"/>
    <s v="AB+"/>
    <s v="4549 Main St"/>
    <s v="555-856-9049"/>
    <s v="HOS-01"/>
    <d v="2023-05-17T00:00:00"/>
    <x v="2"/>
    <n v="52"/>
    <x v="3"/>
  </r>
  <r>
    <s v="PAT-1452"/>
    <s v="ENC-452"/>
    <s v="Linda Smith"/>
    <d v="1953-06-12T00:00:00"/>
    <s v="Non-binary"/>
    <s v="B+"/>
    <s v="8506 Main St"/>
    <s v="555-612-5877"/>
    <s v="CLI-01"/>
    <d v="2023-04-29T00:00:00"/>
    <x v="3"/>
    <n v="69"/>
    <x v="3"/>
  </r>
  <r>
    <s v="PAT-1330"/>
    <s v="ENC-330"/>
    <s v="James Garcia"/>
    <d v="1968-07-14T00:00:00"/>
    <s v="Male"/>
    <s v="O-"/>
    <s v="9832 Main St"/>
    <s v="555-809-4742"/>
    <s v="CLI-01"/>
    <d v="2023-04-26T00:00:00"/>
    <x v="3"/>
    <n v="54"/>
    <x v="3"/>
  </r>
  <r>
    <s v="PAT-1029"/>
    <s v="ENC-29"/>
    <s v="Robert Williams"/>
    <d v="1984-07-16T00:00:00"/>
    <s v="Female"/>
    <s v="A-"/>
    <s v="4557 Main St"/>
    <s v="555-357-5564"/>
    <s v="CLI-01"/>
    <d v="2023-04-21T00:00:00"/>
    <x v="0"/>
    <n v="38"/>
    <x v="3"/>
  </r>
  <r>
    <s v="PAT-1426"/>
    <s v="ENC-426"/>
    <s v="Jennifer Jones"/>
    <d v="1974-06-29T00:00:00"/>
    <s v="Male"/>
    <s v="O-"/>
    <s v="9685 Main St"/>
    <s v="555-776-2980"/>
    <s v="CLI-01"/>
    <d v="2023-04-18T00:00:00"/>
    <x v="0"/>
    <n v="48"/>
    <x v="3"/>
  </r>
  <r>
    <s v="PAT-1168"/>
    <s v="ENC-168"/>
    <s v="Robert Brown"/>
    <d v="1982-10-31T00:00:00"/>
    <s v="Female"/>
    <s v="B+"/>
    <s v="4310 Main St"/>
    <s v="555-620-3971"/>
    <s v="CLI-01"/>
    <d v="2023-04-15T00:00:00"/>
    <x v="0"/>
    <n v="40"/>
    <x v="3"/>
  </r>
  <r>
    <s v="PAT-1450"/>
    <s v="ENC-450"/>
    <s v="John Singh"/>
    <d v="1947-01-10T00:00:00"/>
    <s v="Female"/>
    <s v="AB-"/>
    <s v="5180 Main St"/>
    <s v="555-850-1140"/>
    <s v="CLI-01"/>
    <d v="2023-04-15T00:00:00"/>
    <x v="0"/>
    <n v="76"/>
    <x v="3"/>
  </r>
  <r>
    <s v="PAT-1208"/>
    <s v="ENC-208"/>
    <s v="Robert Johnson"/>
    <d v="1989-12-09T00:00:00"/>
    <s v="Non-binary"/>
    <s v="AB+"/>
    <s v="4101 Main St"/>
    <s v="555-823-2982"/>
    <s v="HOS-01"/>
    <d v="2023-04-13T00:00:00"/>
    <x v="2"/>
    <n v="33"/>
    <x v="3"/>
  </r>
  <r>
    <s v="PAT-1377"/>
    <s v="ENC-377"/>
    <s v="Mary Smith"/>
    <d v="1947-07-07T00:00:00"/>
    <s v="Female"/>
    <s v="AB-"/>
    <s v="9203 Main St"/>
    <s v="555-432-7838"/>
    <s v="HOS-01"/>
    <d v="2023-04-10T00:00:00"/>
    <x v="2"/>
    <n v="75"/>
    <x v="3"/>
  </r>
  <r>
    <s v="PAT-1210"/>
    <s v="ENC-210"/>
    <s v="James Williams"/>
    <d v="1980-03-20T00:00:00"/>
    <s v="Male"/>
    <s v="B-"/>
    <s v="8950 Main St"/>
    <s v="555-793-3206"/>
    <s v="HOS-01"/>
    <d v="2023-04-09T00:00:00"/>
    <x v="2"/>
    <n v="43"/>
    <x v="3"/>
  </r>
  <r>
    <s v="PAT-1442"/>
    <s v="ENC-442"/>
    <s v="Mary Johnson"/>
    <d v="1973-03-22T00:00:00"/>
    <s v="Female"/>
    <s v="AB-"/>
    <s v="1887 Main St"/>
    <s v="555-661-2011"/>
    <s v="CLI-01"/>
    <d v="2023-04-06T00:00:00"/>
    <x v="2"/>
    <n v="50"/>
    <x v="3"/>
  </r>
  <r>
    <s v="PAT-1157"/>
    <s v="ENC-157"/>
    <s v="Jennifer Jones"/>
    <d v="1963-01-13T00:00:00"/>
    <s v="Non-binary"/>
    <s v="B+"/>
    <s v="6679 Main St"/>
    <s v="555-740-7653"/>
    <s v="CLI-01"/>
    <d v="2023-03-27T00:00:00"/>
    <x v="1"/>
    <n v="60"/>
    <x v="3"/>
  </r>
  <r>
    <s v="PAT-1198"/>
    <s v="ENC-198"/>
    <s v="Robert Jones"/>
    <d v="1964-12-16T00:00:00"/>
    <s v="Female"/>
    <s v="B+"/>
    <s v="4243 Main St"/>
    <s v="555-536-2129"/>
    <s v="CLI-01"/>
    <d v="2023-03-27T00:00:00"/>
    <x v="1"/>
    <n v="58"/>
    <x v="3"/>
  </r>
  <r>
    <s v="PAT-1092"/>
    <s v="ENC-92"/>
    <s v="Jennifer Williams"/>
    <d v="1946-01-05T00:00:00"/>
    <s v="Male"/>
    <s v="O-"/>
    <s v="6559 Main St"/>
    <s v="555-188-2869"/>
    <s v="HOS-01"/>
    <d v="2023-03-24T00:00:00"/>
    <x v="1"/>
    <n v="77"/>
    <x v="3"/>
  </r>
  <r>
    <s v="PAT-1229"/>
    <s v="ENC-229"/>
    <s v="Robert Johnson"/>
    <d v="1980-01-22T00:00:00"/>
    <s v="Female"/>
    <s v="O+"/>
    <s v="6561 Main St"/>
    <s v="555-727-4777"/>
    <s v="CLI-01"/>
    <d v="2023-03-22T00:00:00"/>
    <x v="2"/>
    <n v="43"/>
    <x v="3"/>
  </r>
  <r>
    <s v="PAT-1439"/>
    <s v="ENC-439"/>
    <s v="Patricia Garcia"/>
    <d v="1961-09-20T00:00:00"/>
    <s v="Non-binary"/>
    <s v="B-"/>
    <s v="4945 Main St"/>
    <s v="555-139-4061"/>
    <s v="CLI-01"/>
    <d v="2023-03-22T00:00:00"/>
    <x v="0"/>
    <n v="61"/>
    <x v="3"/>
  </r>
  <r>
    <s v="PAT-1153"/>
    <s v="ENC-153"/>
    <s v="Priya Williams"/>
    <d v="1949-09-07T00:00:00"/>
    <s v="Non-binary"/>
    <s v="B+"/>
    <s v="3630 Main St"/>
    <s v="555-549-8372"/>
    <s v="HOS-01"/>
    <d v="2023-03-17T00:00:00"/>
    <x v="0"/>
    <n v="73"/>
    <x v="3"/>
  </r>
  <r>
    <s v="PAT-1169"/>
    <s v="ENC-169"/>
    <s v="Priya Johnson"/>
    <d v="1983-09-14T00:00:00"/>
    <s v="Non-binary"/>
    <s v="A-"/>
    <s v="7408 Main St"/>
    <s v="555-790-2997"/>
    <s v="CLI-01"/>
    <d v="2023-02-27T00:00:00"/>
    <x v="1"/>
    <n v="39"/>
    <x v="3"/>
  </r>
  <r>
    <s v="PAT-1016"/>
    <s v="ENC-16"/>
    <s v="Patricia Singh"/>
    <d v="1958-01-03T00:00:00"/>
    <s v="Female"/>
    <s v="AB-"/>
    <s v="2659 Main St"/>
    <s v="555-650-9547"/>
    <s v="HOS-01"/>
    <d v="2023-02-25T00:00:00"/>
    <x v="2"/>
    <n v="65"/>
    <x v="3"/>
  </r>
  <r>
    <s v="PAT-1266"/>
    <s v="ENC-266"/>
    <s v="Michael Johnson"/>
    <d v="1983-06-28T00:00:00"/>
    <s v="Female"/>
    <s v="B-"/>
    <s v="2122 Main St"/>
    <s v="555-641-1778"/>
    <s v="HOS-01"/>
    <d v="2023-02-24T00:00:00"/>
    <x v="1"/>
    <n v="39"/>
    <x v="3"/>
  </r>
  <r>
    <s v="PAT-1037"/>
    <s v="ENC-37"/>
    <s v="Linda Patel"/>
    <d v="1955-09-11T00:00:00"/>
    <s v="Female"/>
    <s v="AB+"/>
    <s v="5952 Main St"/>
    <s v="555-255-7549"/>
    <s v="HOS-01"/>
    <d v="2023-02-23T00:00:00"/>
    <x v="3"/>
    <n v="67"/>
    <x v="3"/>
  </r>
  <r>
    <s v="PAT-1284"/>
    <s v="ENC-284"/>
    <s v="Jennifer Garcia"/>
    <d v="1965-02-14T00:00:00"/>
    <s v="Male"/>
    <s v="AB+"/>
    <s v="3734 Main St"/>
    <s v="555-419-7841"/>
    <s v="HOS-01"/>
    <d v="2023-02-22T00:00:00"/>
    <x v="0"/>
    <n v="58"/>
    <x v="3"/>
  </r>
  <r>
    <s v="PAT-1262"/>
    <s v="ENC-262"/>
    <s v="Patricia Smith"/>
    <d v="1963-01-16T00:00:00"/>
    <s v="Female"/>
    <s v="AB+"/>
    <s v="9692 Main St"/>
    <s v="555-980-5068"/>
    <s v="CLI-01"/>
    <d v="2023-02-19T00:00:00"/>
    <x v="0"/>
    <n v="60"/>
    <x v="3"/>
  </r>
  <r>
    <s v="PAT-1431"/>
    <s v="ENC-431"/>
    <s v="Patricia Johnson"/>
    <d v="1948-04-26T00:00:00"/>
    <s v="Female"/>
    <s v="B-"/>
    <s v="5324 Main St"/>
    <s v="555-162-5242"/>
    <s v="CLI-01"/>
    <d v="2023-02-17T00:00:00"/>
    <x v="0"/>
    <n v="74"/>
    <x v="3"/>
  </r>
  <r>
    <s v="PAT-1030"/>
    <s v="ENC-30"/>
    <s v="Robert Brown"/>
    <d v="1975-05-18T00:00:00"/>
    <s v="Non-binary"/>
    <s v="A+"/>
    <s v="1175 Main St"/>
    <s v="555-299-6046"/>
    <s v="CLI-01"/>
    <d v="2023-02-13T00:00:00"/>
    <x v="2"/>
    <n v="47"/>
    <x v="3"/>
  </r>
  <r>
    <s v="PAT-1347"/>
    <s v="ENC-347"/>
    <s v="Jennifer Williams"/>
    <d v="1979-08-16T00:00:00"/>
    <s v="Non-binary"/>
    <s v="B+"/>
    <s v="5602 Main St"/>
    <s v="555-159-6368"/>
    <s v="HOS-01"/>
    <d v="2023-02-07T00:00:00"/>
    <x v="1"/>
    <n v="43"/>
    <x v="3"/>
  </r>
  <r>
    <s v="PAT-1256"/>
    <s v="ENC-256"/>
    <s v="Aarav Garcia"/>
    <d v="1976-08-05T00:00:00"/>
    <s v="Non-binary"/>
    <s v="B+"/>
    <s v="7913 Main St"/>
    <s v="555-768-2392"/>
    <s v="HOS-01"/>
    <d v="2023-02-06T00:00:00"/>
    <x v="1"/>
    <n v="46"/>
    <x v="3"/>
  </r>
  <r>
    <s v="PAT-1494"/>
    <s v="ENC-494"/>
    <s v="Jennifer Garcia"/>
    <d v="2001-10-08T00:00:00"/>
    <s v="Female"/>
    <s v="B-"/>
    <s v="6019 Main St"/>
    <s v="555-827-6238"/>
    <s v="CLI-01"/>
    <d v="2023-02-02T00:00:00"/>
    <x v="1"/>
    <n v="21"/>
    <x v="3"/>
  </r>
  <r>
    <s v="PAT-1103"/>
    <s v="ENC-103"/>
    <s v="Priya Jones"/>
    <d v="1991-10-08T00:00:00"/>
    <s v="Male"/>
    <s v="A+"/>
    <s v="751 Main St"/>
    <s v="555-913-9482"/>
    <s v="CLI-01"/>
    <d v="2023-01-31T00:00:00"/>
    <x v="0"/>
    <n v="31"/>
    <x v="3"/>
  </r>
  <r>
    <s v="PAT-1389"/>
    <s v="ENC-389"/>
    <s v="James Smith"/>
    <d v="1947-08-30T00:00:00"/>
    <s v="Female"/>
    <s v="AB-"/>
    <s v="8239 Main St"/>
    <s v="555-938-9545"/>
    <s v="CLI-01"/>
    <d v="2023-01-23T00:00:00"/>
    <x v="0"/>
    <n v="75"/>
    <x v="3"/>
  </r>
  <r>
    <s v="PAT-1035"/>
    <s v="ENC-35"/>
    <s v="Jennifer Jones"/>
    <d v="1944-08-26T00:00:00"/>
    <s v="Female"/>
    <s v="AB+"/>
    <s v="1815 Main St"/>
    <s v="555-439-3773"/>
    <s v="HOS-01"/>
    <d v="2023-01-22T00:00:00"/>
    <x v="3"/>
    <n v="78"/>
    <x v="3"/>
  </r>
  <r>
    <s v="PAT-1446"/>
    <s v="ENC-446"/>
    <s v="Aarav Patel"/>
    <d v="1970-12-14T00:00:00"/>
    <s v="Non-binary"/>
    <s v="B-"/>
    <s v="7570 Main St"/>
    <s v="555-209-9851"/>
    <s v="CLI-01"/>
    <d v="2023-01-20T00:00:00"/>
    <x v="0"/>
    <n v="52"/>
    <x v="3"/>
  </r>
  <r>
    <s v="PAT-1110"/>
    <s v="ENC-110"/>
    <s v="James Patel"/>
    <d v="1954-05-01T00:00:00"/>
    <s v="Female"/>
    <s v="AB+"/>
    <s v="7662 Main St"/>
    <s v="555-692-7339"/>
    <s v="HOS-01"/>
    <d v="2023-01-19T00:00:00"/>
    <x v="2"/>
    <n v="68"/>
    <x v="3"/>
  </r>
  <r>
    <s v="PAT-1414"/>
    <s v="ENC-414"/>
    <s v="Mary Smith"/>
    <d v="2003-04-01T00:00:00"/>
    <s v="Male"/>
    <s v="O-"/>
    <s v="9145 Main St"/>
    <s v="555-170-9147"/>
    <s v="CLI-01"/>
    <d v="2023-01-18T00:00:00"/>
    <x v="1"/>
    <n v="19"/>
    <x v="3"/>
  </r>
  <r>
    <s v="PAT-1269"/>
    <s v="ENC-269"/>
    <s v="Robert Brown"/>
    <d v="2006-12-02T00:00:00"/>
    <s v="Non-binary"/>
    <s v="AB-"/>
    <s v="3764 Main St"/>
    <s v="555-828-9355"/>
    <s v="HOS-01"/>
    <d v="2023-01-11T00:00:00"/>
    <x v="0"/>
    <n v="16"/>
    <x v="3"/>
  </r>
  <r>
    <s v="PAT-1138"/>
    <s v="ENC-138"/>
    <s v="Linda Williams"/>
    <d v="2008-05-08T00:00:00"/>
    <s v="Female"/>
    <s v="A-"/>
    <s v="152 Main St"/>
    <s v="555-994-9033"/>
    <s v="CLI-01"/>
    <d v="2023-01-10T00:00:00"/>
    <x v="0"/>
    <n v="14"/>
    <x v="3"/>
  </r>
  <r>
    <s v="PAT-1358"/>
    <s v="ENC-358"/>
    <s v="Jennifer Brown"/>
    <d v="1948-03-07T00:00:00"/>
    <s v="Male"/>
    <s v="A+"/>
    <s v="6772 Main St"/>
    <s v="555-705-4377"/>
    <s v="CLI-01"/>
    <d v="2023-01-07T00:00:00"/>
    <x v="1"/>
    <n v="74"/>
    <x v="3"/>
  </r>
  <r>
    <s v="PAT-1455"/>
    <s v="ENC-455"/>
    <s v="Priya Brown"/>
    <d v="1967-02-28T00:00:00"/>
    <s v="Male"/>
    <s v="O+"/>
    <s v="7610 Main St"/>
    <s v="555-572-2976"/>
    <s v="CLI-01"/>
    <d v="2023-01-05T00:00:00"/>
    <x v="2"/>
    <n v="55"/>
    <x v="3"/>
  </r>
  <r>
    <s v="PAT-1290"/>
    <s v="ENC-290"/>
    <s v="James Patel"/>
    <d v="1997-07-01T00:00:00"/>
    <s v="Female"/>
    <s v="B-"/>
    <s v="5500 Main St"/>
    <s v="555-460-3148"/>
    <s v="HOS-01"/>
    <d v="2022-12-26T00:00:00"/>
    <x v="2"/>
    <n v="25"/>
    <x v="4"/>
  </r>
  <r>
    <s v="PAT-1056"/>
    <s v="ENC-56"/>
    <s v="Patricia Smith"/>
    <d v="1976-04-01T00:00:00"/>
    <s v="Female"/>
    <s v="B-"/>
    <s v="5031 Main St"/>
    <s v="555-124-4678"/>
    <s v="HOS-01"/>
    <d v="2022-12-25T00:00:00"/>
    <x v="3"/>
    <n v="46"/>
    <x v="4"/>
  </r>
  <r>
    <s v="PAT-1232"/>
    <s v="ENC-232"/>
    <s v="Robert Williams"/>
    <d v="1955-04-15T00:00:00"/>
    <s v="Male"/>
    <s v="AB-"/>
    <s v="6686 Main St"/>
    <s v="555-979-1253"/>
    <s v="CLI-01"/>
    <d v="2022-12-23T00:00:00"/>
    <x v="1"/>
    <n v="67"/>
    <x v="4"/>
  </r>
  <r>
    <s v="PAT-1385"/>
    <s v="ENC-385"/>
    <s v="Jennifer Singh"/>
    <d v="1942-02-24T00:00:00"/>
    <s v="Male"/>
    <s v="B-"/>
    <s v="3560 Main St"/>
    <s v="555-521-7636"/>
    <s v="HOS-01"/>
    <d v="2022-12-22T00:00:00"/>
    <x v="2"/>
    <n v="80"/>
    <x v="4"/>
  </r>
  <r>
    <s v="PAT-1400"/>
    <s v="ENC-400"/>
    <s v="Patricia Jones"/>
    <d v="1954-04-19T00:00:00"/>
    <s v="Non-binary"/>
    <s v="B+"/>
    <s v="6245 Main St"/>
    <s v="555-708-5272"/>
    <s v="CLI-01"/>
    <d v="2022-12-20T00:00:00"/>
    <x v="3"/>
    <n v="68"/>
    <x v="4"/>
  </r>
  <r>
    <s v="PAT-1163"/>
    <s v="ENC-163"/>
    <s v="Michael Johnson"/>
    <d v="1962-02-18T00:00:00"/>
    <s v="Non-binary"/>
    <s v="AB+"/>
    <s v="2470 Main St"/>
    <s v="555-109-8201"/>
    <s v="HOS-01"/>
    <d v="2022-12-18T00:00:00"/>
    <x v="3"/>
    <n v="60"/>
    <x v="4"/>
  </r>
  <r>
    <s v="PAT-1192"/>
    <s v="ENC-192"/>
    <s v="John Jones"/>
    <d v="2001-01-02T00:00:00"/>
    <s v="Female"/>
    <s v="B+"/>
    <s v="816 Main St"/>
    <s v="555-157-2985"/>
    <s v="HOS-01"/>
    <d v="2022-12-11T00:00:00"/>
    <x v="2"/>
    <n v="21"/>
    <x v="4"/>
  </r>
  <r>
    <s v="PAT-1468"/>
    <s v="ENC-468"/>
    <s v="Priya Jones"/>
    <d v="1944-09-21T00:00:00"/>
    <s v="Non-binary"/>
    <s v="AB-"/>
    <s v="3806 Main St"/>
    <s v="555-389-2224"/>
    <s v="HOS-01"/>
    <d v="2022-12-08T00:00:00"/>
    <x v="1"/>
    <n v="78"/>
    <x v="4"/>
  </r>
  <r>
    <s v="PAT-1082"/>
    <s v="ENC-82"/>
    <s v="Mary Garcia"/>
    <d v="1980-10-07T00:00:00"/>
    <s v="Non-binary"/>
    <s v="A+"/>
    <s v="5587 Main St"/>
    <s v="555-470-7234"/>
    <s v="HOS-01"/>
    <d v="2022-12-02T00:00:00"/>
    <x v="2"/>
    <n v="42"/>
    <x v="4"/>
  </r>
  <r>
    <s v="PAT-1065"/>
    <s v="ENC-65"/>
    <s v="Robert Patel"/>
    <d v="1957-04-27T00:00:00"/>
    <s v="Male"/>
    <s v="A+"/>
    <s v="4582 Main St"/>
    <s v="555-943-7518"/>
    <s v="CLI-01"/>
    <d v="2022-11-28T00:00:00"/>
    <x v="1"/>
    <n v="65"/>
    <x v="4"/>
  </r>
  <r>
    <s v="PAT-1204"/>
    <s v="ENC-204"/>
    <s v="Robert Williams"/>
    <d v="2009-01-15T00:00:00"/>
    <s v="Non-binary"/>
    <s v="AB-"/>
    <s v="7249 Main St"/>
    <s v="555-199-5457"/>
    <s v="HOS-01"/>
    <d v="2022-11-26T00:00:00"/>
    <x v="1"/>
    <n v="13"/>
    <x v="4"/>
  </r>
  <r>
    <s v="PAT-1427"/>
    <s v="ENC-427"/>
    <s v="John Williams"/>
    <d v="1984-09-28T00:00:00"/>
    <s v="Male"/>
    <s v="AB+"/>
    <s v="8560 Main St"/>
    <s v="555-970-3770"/>
    <s v="CLI-01"/>
    <d v="2022-11-26T00:00:00"/>
    <x v="3"/>
    <n v="38"/>
    <x v="4"/>
  </r>
  <r>
    <s v="PAT-1432"/>
    <s v="ENC-432"/>
    <s v="Jennifer Jones"/>
    <d v="1984-03-30T00:00:00"/>
    <s v="Female"/>
    <s v="O+"/>
    <s v="8275 Main St"/>
    <s v="555-971-4532"/>
    <s v="HOS-01"/>
    <d v="2022-11-23T00:00:00"/>
    <x v="3"/>
    <n v="38"/>
    <x v="4"/>
  </r>
  <r>
    <s v="PAT-1373"/>
    <s v="ENC-373"/>
    <s v="Jennifer Patel"/>
    <d v="1985-12-29T00:00:00"/>
    <s v="Male"/>
    <s v="O-"/>
    <s v="5767 Main St"/>
    <s v="555-167-2322"/>
    <s v="CLI-01"/>
    <d v="2022-11-15T00:00:00"/>
    <x v="1"/>
    <n v="36"/>
    <x v="4"/>
  </r>
  <r>
    <s v="PAT-1059"/>
    <s v="ENC-59"/>
    <s v="James Brown"/>
    <d v="1948-04-07T00:00:00"/>
    <s v="Male"/>
    <s v="A+"/>
    <s v="4357 Main St"/>
    <s v="555-731-8768"/>
    <s v="CLI-01"/>
    <d v="2022-11-13T00:00:00"/>
    <x v="3"/>
    <n v="74"/>
    <x v="4"/>
  </r>
  <r>
    <s v="PAT-1194"/>
    <s v="ENC-194"/>
    <s v="Michael Patel"/>
    <d v="1946-11-08T00:00:00"/>
    <s v="Male"/>
    <s v="B+"/>
    <s v="6912 Main St"/>
    <s v="555-368-2263"/>
    <s v="CLI-01"/>
    <d v="2022-11-08T00:00:00"/>
    <x v="0"/>
    <n v="76"/>
    <x v="4"/>
  </r>
  <r>
    <s v="PAT-1050"/>
    <s v="ENC-50"/>
    <s v="Linda Smith"/>
    <d v="1996-06-14T00:00:00"/>
    <s v="Female"/>
    <s v="AB+"/>
    <s v="7962 Main St"/>
    <s v="555-404-9886"/>
    <s v="CLI-01"/>
    <d v="2022-11-03T00:00:00"/>
    <x v="3"/>
    <n v="26"/>
    <x v="4"/>
  </r>
  <r>
    <s v="PAT-1051"/>
    <s v="ENC-51"/>
    <s v="John Jones"/>
    <d v="1992-09-05T00:00:00"/>
    <s v="Non-binary"/>
    <s v="AB-"/>
    <s v="763 Main St"/>
    <s v="555-235-6301"/>
    <s v="HOS-01"/>
    <d v="2022-11-01T00:00:00"/>
    <x v="2"/>
    <n v="30"/>
    <x v="4"/>
  </r>
  <r>
    <s v="PAT-1098"/>
    <s v="ENC-98"/>
    <s v="Michael Jones"/>
    <d v="1960-03-03T00:00:00"/>
    <s v="Non-binary"/>
    <s v="A+"/>
    <s v="8691 Main St"/>
    <s v="555-800-3411"/>
    <s v="HOS-01"/>
    <d v="2022-10-27T00:00:00"/>
    <x v="3"/>
    <n v="62"/>
    <x v="4"/>
  </r>
  <r>
    <s v="PAT-1313"/>
    <s v="ENC-313"/>
    <s v="Aarav Smith"/>
    <d v="1994-08-22T00:00:00"/>
    <s v="Non-binary"/>
    <s v="B-"/>
    <s v="3575 Main St"/>
    <s v="555-357-7678"/>
    <s v="CLI-01"/>
    <d v="2022-10-24T00:00:00"/>
    <x v="2"/>
    <n v="28"/>
    <x v="4"/>
  </r>
  <r>
    <s v="PAT-1139"/>
    <s v="ENC-139"/>
    <s v="Robert Garcia"/>
    <d v="1980-08-03T00:00:00"/>
    <s v="Non-binary"/>
    <s v="O+"/>
    <s v="3462 Main St"/>
    <s v="555-856-1638"/>
    <s v="CLI-01"/>
    <d v="2022-10-22T00:00:00"/>
    <x v="1"/>
    <n v="42"/>
    <x v="4"/>
  </r>
  <r>
    <s v="PAT-1159"/>
    <s v="ENC-159"/>
    <s v="Linda Jones"/>
    <d v="1951-09-15T00:00:00"/>
    <s v="Male"/>
    <s v="B-"/>
    <s v="1526 Main St"/>
    <s v="555-666-4399"/>
    <s v="HOS-01"/>
    <d v="2022-10-22T00:00:00"/>
    <x v="3"/>
    <n v="71"/>
    <x v="4"/>
  </r>
  <r>
    <s v="PAT-1068"/>
    <s v="ENC-68"/>
    <s v="John Singh"/>
    <d v="1991-04-08T00:00:00"/>
    <s v="Non-binary"/>
    <s v="A+"/>
    <s v="946 Main St"/>
    <s v="555-924-1985"/>
    <s v="CLI-01"/>
    <d v="2022-10-21T00:00:00"/>
    <x v="0"/>
    <n v="31"/>
    <x v="4"/>
  </r>
  <r>
    <s v="PAT-1410"/>
    <s v="ENC-410"/>
    <s v="James Johnson"/>
    <d v="1952-06-02T00:00:00"/>
    <s v="Female"/>
    <s v="O-"/>
    <s v="7990 Main St"/>
    <s v="555-923-2685"/>
    <s v="HOS-01"/>
    <d v="2022-10-21T00:00:00"/>
    <x v="1"/>
    <n v="70"/>
    <x v="4"/>
  </r>
  <r>
    <s v="PAT-1003"/>
    <s v="ENC-3"/>
    <s v="Michael Smith"/>
    <d v="1956-08-04T00:00:00"/>
    <s v="Male"/>
    <s v="O-"/>
    <s v="2808 Main St"/>
    <s v="555-369-8935"/>
    <s v="HOS-01"/>
    <d v="2022-10-17T00:00:00"/>
    <x v="0"/>
    <n v="66"/>
    <x v="4"/>
  </r>
  <r>
    <s v="PAT-1394"/>
    <s v="ENC-394"/>
    <s v="Robert Smith"/>
    <d v="1989-03-21T00:00:00"/>
    <s v="Male"/>
    <s v="O-"/>
    <s v="7591 Main St"/>
    <s v="555-185-5311"/>
    <s v="HOS-01"/>
    <d v="2022-10-16T00:00:00"/>
    <x v="0"/>
    <n v="33"/>
    <x v="4"/>
  </r>
  <r>
    <s v="PAT-1335"/>
    <s v="ENC-335"/>
    <s v="Patricia Smith"/>
    <d v="1997-02-19T00:00:00"/>
    <s v="Female"/>
    <s v="AB+"/>
    <s v="5826 Main St"/>
    <s v="555-569-7503"/>
    <s v="HOS-01"/>
    <d v="2022-10-14T00:00:00"/>
    <x v="1"/>
    <n v="25"/>
    <x v="4"/>
  </r>
  <r>
    <s v="PAT-1243"/>
    <s v="ENC-243"/>
    <s v="Michael Williams"/>
    <d v="2007-12-10T00:00:00"/>
    <s v="Female"/>
    <s v="A-"/>
    <s v="5404 Main St"/>
    <s v="555-180-4122"/>
    <s v="CLI-01"/>
    <d v="2022-10-13T00:00:00"/>
    <x v="1"/>
    <n v="14"/>
    <x v="4"/>
  </r>
  <r>
    <s v="PAT-1017"/>
    <s v="ENC-17"/>
    <s v="Mary Smith"/>
    <d v="1992-08-11T00:00:00"/>
    <s v="Female"/>
    <s v="B-"/>
    <s v="3591 Main St"/>
    <s v="555-114-1140"/>
    <s v="HOS-01"/>
    <d v="2022-10-03T00:00:00"/>
    <x v="3"/>
    <n v="30"/>
    <x v="4"/>
  </r>
  <r>
    <s v="PAT-1481"/>
    <s v="ENC-481"/>
    <s v="James Johnson"/>
    <d v="1986-08-20T00:00:00"/>
    <s v="Male"/>
    <s v="A+"/>
    <s v="5583 Main St"/>
    <s v="555-338-5118"/>
    <s v="CLI-01"/>
    <d v="2022-10-02T00:00:00"/>
    <x v="3"/>
    <n v="36"/>
    <x v="4"/>
  </r>
  <r>
    <s v="PAT-1352"/>
    <s v="ENC-352"/>
    <s v="Mary Williams"/>
    <d v="1978-04-30T00:00:00"/>
    <s v="Female"/>
    <s v="B+"/>
    <s v="4406 Main St"/>
    <s v="555-551-2006"/>
    <s v="CLI-01"/>
    <d v="2022-09-28T00:00:00"/>
    <x v="0"/>
    <n v="44"/>
    <x v="4"/>
  </r>
  <r>
    <s v="PAT-1073"/>
    <s v="ENC-73"/>
    <s v="John Singh"/>
    <d v="1962-01-02T00:00:00"/>
    <s v="Male"/>
    <s v="A+"/>
    <s v="4959 Main St"/>
    <s v="555-291-9611"/>
    <s v="HOS-01"/>
    <d v="2022-09-25T00:00:00"/>
    <x v="1"/>
    <n v="60"/>
    <x v="4"/>
  </r>
  <r>
    <s v="PAT-1214"/>
    <s v="ENC-214"/>
    <s v="Robert Patel"/>
    <d v="1955-11-12T00:00:00"/>
    <s v="Non-binary"/>
    <s v="A+"/>
    <s v="3034 Main St"/>
    <s v="555-119-1574"/>
    <s v="CLI-01"/>
    <d v="2022-09-24T00:00:00"/>
    <x v="2"/>
    <n v="66"/>
    <x v="4"/>
  </r>
  <r>
    <s v="PAT-1116"/>
    <s v="ENC-116"/>
    <s v="Aarav Johnson"/>
    <d v="1980-08-02T00:00:00"/>
    <s v="Non-binary"/>
    <s v="B-"/>
    <s v="973 Main St"/>
    <s v="555-470-9537"/>
    <s v="CLI-01"/>
    <d v="2022-09-20T00:00:00"/>
    <x v="3"/>
    <n v="42"/>
    <x v="4"/>
  </r>
  <r>
    <s v="PAT-1378"/>
    <s v="ENC-378"/>
    <s v="James Johnson"/>
    <d v="1991-08-10T00:00:00"/>
    <s v="Male"/>
    <s v="AB-"/>
    <s v="918 Main St"/>
    <s v="555-943-6815"/>
    <s v="HOS-01"/>
    <d v="2022-09-17T00:00:00"/>
    <x v="2"/>
    <n v="31"/>
    <x v="4"/>
  </r>
  <r>
    <s v="PAT-1049"/>
    <s v="ENC-49"/>
    <s v="Linda Williams"/>
    <d v="1994-01-25T00:00:00"/>
    <s v="Female"/>
    <s v="B+"/>
    <s v="6759 Main St"/>
    <s v="555-754-6595"/>
    <s v="HOS-01"/>
    <d v="2022-09-16T00:00:00"/>
    <x v="1"/>
    <n v="28"/>
    <x v="4"/>
  </r>
  <r>
    <s v="PAT-1018"/>
    <s v="ENC-18"/>
    <s v="James Patel"/>
    <d v="1956-01-14T00:00:00"/>
    <s v="Female"/>
    <s v="AB-"/>
    <s v="5451 Main St"/>
    <s v="555-431-8441"/>
    <s v="CLI-01"/>
    <d v="2022-09-15T00:00:00"/>
    <x v="1"/>
    <n v="66"/>
    <x v="4"/>
  </r>
  <r>
    <s v="PAT-1348"/>
    <s v="ENC-348"/>
    <s v="Robert Jones"/>
    <d v="1977-08-09T00:00:00"/>
    <s v="Non-binary"/>
    <s v="B+"/>
    <s v="3517 Main St"/>
    <s v="555-857-3002"/>
    <s v="HOS-01"/>
    <d v="2022-09-10T00:00:00"/>
    <x v="1"/>
    <n v="45"/>
    <x v="4"/>
  </r>
  <r>
    <s v="PAT-1067"/>
    <s v="ENC-67"/>
    <s v="Jennifer Johnson"/>
    <d v="1959-04-10T00:00:00"/>
    <s v="Male"/>
    <s v="O+"/>
    <s v="1401 Main St"/>
    <s v="555-135-7862"/>
    <s v="HOS-01"/>
    <d v="2022-08-28T00:00:00"/>
    <x v="0"/>
    <n v="63"/>
    <x v="4"/>
  </r>
  <r>
    <s v="PAT-1380"/>
    <s v="ENC-380"/>
    <s v="James Smith"/>
    <d v="1957-04-11T00:00:00"/>
    <s v="Female"/>
    <s v="B-"/>
    <s v="3879 Main St"/>
    <s v="555-734-2341"/>
    <s v="CLI-01"/>
    <d v="2022-08-28T00:00:00"/>
    <x v="1"/>
    <n v="65"/>
    <x v="4"/>
  </r>
  <r>
    <s v="PAT-1436"/>
    <s v="ENC-436"/>
    <s v="Mary Garcia"/>
    <d v="1994-06-29T00:00:00"/>
    <s v="Female"/>
    <s v="B-"/>
    <s v="2763 Main St"/>
    <s v="555-581-4273"/>
    <s v="HOS-01"/>
    <d v="2022-08-28T00:00:00"/>
    <x v="1"/>
    <n v="28"/>
    <x v="4"/>
  </r>
  <r>
    <s v="PAT-1273"/>
    <s v="ENC-273"/>
    <s v="John Brown"/>
    <d v="2008-05-07T00:00:00"/>
    <s v="Non-binary"/>
    <s v="B-"/>
    <s v="4841 Main St"/>
    <s v="555-134-9583"/>
    <s v="HOS-01"/>
    <d v="2022-08-17T00:00:00"/>
    <x v="2"/>
    <n v="14"/>
    <x v="4"/>
  </r>
  <r>
    <s v="PAT-1070"/>
    <s v="ENC-70"/>
    <s v="Priya Garcia"/>
    <d v="1965-05-14T00:00:00"/>
    <s v="Non-binary"/>
    <s v="O+"/>
    <s v="200 Main St"/>
    <s v="555-940-5746"/>
    <s v="CLI-01"/>
    <d v="2022-08-10T00:00:00"/>
    <x v="0"/>
    <n v="57"/>
    <x v="4"/>
  </r>
  <r>
    <s v="PAT-1239"/>
    <s v="ENC-239"/>
    <s v="John Williams"/>
    <d v="2006-11-07T00:00:00"/>
    <s v="Non-binary"/>
    <s v="AB-"/>
    <s v="7826 Main St"/>
    <s v="555-264-5476"/>
    <s v="HOS-01"/>
    <d v="2022-08-08T00:00:00"/>
    <x v="3"/>
    <n v="15"/>
    <x v="4"/>
  </r>
  <r>
    <s v="PAT-1379"/>
    <s v="ENC-379"/>
    <s v="Priya Brown"/>
    <d v="1968-01-16T00:00:00"/>
    <s v="Male"/>
    <s v="A-"/>
    <s v="1357 Main St"/>
    <s v="555-799-9632"/>
    <s v="CLI-01"/>
    <d v="2022-08-07T00:00:00"/>
    <x v="2"/>
    <n v="54"/>
    <x v="4"/>
  </r>
  <r>
    <s v="PAT-1123"/>
    <s v="ENC-123"/>
    <s v="Priya Singh"/>
    <d v="1940-03-12T00:00:00"/>
    <s v="Male"/>
    <s v="O-"/>
    <s v="274 Main St"/>
    <s v="555-425-2595"/>
    <s v="CLI-01"/>
    <d v="2022-08-05T00:00:00"/>
    <x v="0"/>
    <n v="82"/>
    <x v="4"/>
  </r>
  <r>
    <s v="PAT-1365"/>
    <s v="ENC-365"/>
    <s v="Patricia Smith"/>
    <d v="1957-12-17T00:00:00"/>
    <s v="Male"/>
    <s v="AB+"/>
    <s v="5911 Main St"/>
    <s v="555-168-9174"/>
    <s v="CLI-01"/>
    <d v="2022-08-01T00:00:00"/>
    <x v="3"/>
    <n v="64"/>
    <x v="4"/>
  </r>
  <r>
    <s v="PAT-1141"/>
    <s v="ENC-141"/>
    <s v="Michael Singh"/>
    <d v="1981-12-03T00:00:00"/>
    <s v="Non-binary"/>
    <s v="AB-"/>
    <s v="2401 Main St"/>
    <s v="555-147-3561"/>
    <s v="HOS-01"/>
    <d v="2022-07-28T00:00:00"/>
    <x v="1"/>
    <n v="40"/>
    <x v="4"/>
  </r>
  <r>
    <s v="PAT-1195"/>
    <s v="ENC-195"/>
    <s v="Priya Brown"/>
    <d v="1977-09-05T00:00:00"/>
    <s v="Female"/>
    <s v="A-"/>
    <s v="3243 Main St"/>
    <s v="555-998-3269"/>
    <s v="HOS-01"/>
    <d v="2022-07-28T00:00:00"/>
    <x v="1"/>
    <n v="44"/>
    <x v="4"/>
  </r>
  <r>
    <s v="PAT-1246"/>
    <s v="ENC-246"/>
    <s v="Michael Johnson"/>
    <d v="1966-12-29T00:00:00"/>
    <s v="Non-binary"/>
    <s v="A+"/>
    <s v="6306 Main St"/>
    <s v="555-516-6716"/>
    <s v="CLI-01"/>
    <d v="2022-07-25T00:00:00"/>
    <x v="0"/>
    <n v="55"/>
    <x v="4"/>
  </r>
  <r>
    <s v="PAT-1480"/>
    <s v="ENC-480"/>
    <s v="Priya Smith"/>
    <d v="1942-04-25T00:00:00"/>
    <s v="Female"/>
    <s v="A-"/>
    <s v="7047 Main St"/>
    <s v="555-122-3800"/>
    <s v="HOS-01"/>
    <d v="2022-07-24T00:00:00"/>
    <x v="3"/>
    <n v="80"/>
    <x v="4"/>
  </r>
  <r>
    <s v="PAT-1449"/>
    <s v="ENC-449"/>
    <s v="Michael Jones"/>
    <d v="1950-04-21T00:00:00"/>
    <s v="Male"/>
    <s v="B+"/>
    <s v="7592 Main St"/>
    <s v="555-540-7375"/>
    <s v="CLI-01"/>
    <d v="2022-07-23T00:00:00"/>
    <x v="3"/>
    <n v="72"/>
    <x v="4"/>
  </r>
  <r>
    <s v="PAT-1014"/>
    <s v="ENC-14"/>
    <s v="Linda Patel"/>
    <d v="1965-11-24T00:00:00"/>
    <s v="Male"/>
    <s v="B-"/>
    <s v="7087 Main St"/>
    <s v="555-442-8696"/>
    <s v="HOS-01"/>
    <d v="2022-07-22T00:00:00"/>
    <x v="1"/>
    <n v="56"/>
    <x v="4"/>
  </r>
  <r>
    <s v="PAT-1060"/>
    <s v="ENC-60"/>
    <s v="Mary Smith"/>
    <d v="1995-04-13T00:00:00"/>
    <s v="Female"/>
    <s v="B+"/>
    <s v="3441 Main St"/>
    <s v="555-139-8928"/>
    <s v="HOS-01"/>
    <d v="2022-07-22T00:00:00"/>
    <x v="2"/>
    <n v="27"/>
    <x v="4"/>
  </r>
  <r>
    <s v="PAT-1325"/>
    <s v="ENC-325"/>
    <s v="John Patel"/>
    <d v="2005-12-11T00:00:00"/>
    <s v="Non-binary"/>
    <s v="O-"/>
    <s v="8689 Main St"/>
    <s v="555-792-9525"/>
    <s v="CLI-01"/>
    <d v="2022-07-22T00:00:00"/>
    <x v="1"/>
    <n v="16"/>
    <x v="4"/>
  </r>
  <r>
    <s v="PAT-1020"/>
    <s v="ENC-20"/>
    <s v="James Jones"/>
    <d v="1987-01-24T00:00:00"/>
    <s v="Male"/>
    <s v="AB-"/>
    <s v="7617 Main St"/>
    <s v="555-437-3440"/>
    <s v="CLI-01"/>
    <d v="2022-07-21T00:00:00"/>
    <x v="0"/>
    <n v="35"/>
    <x v="4"/>
  </r>
  <r>
    <s v="PAT-1403"/>
    <s v="ENC-403"/>
    <s v="Robert Singh"/>
    <d v="1962-12-29T00:00:00"/>
    <s v="Male"/>
    <s v="O+"/>
    <s v="7100 Main St"/>
    <s v="555-292-8643"/>
    <s v="HOS-01"/>
    <d v="2022-07-21T00:00:00"/>
    <x v="3"/>
    <n v="59"/>
    <x v="4"/>
  </r>
  <r>
    <s v="PAT-1212"/>
    <s v="ENC-212"/>
    <s v="John Johnson"/>
    <d v="1997-10-17T00:00:00"/>
    <s v="Female"/>
    <s v="A+"/>
    <s v="9646 Main St"/>
    <s v="555-654-1914"/>
    <s v="CLI-01"/>
    <d v="2022-07-17T00:00:00"/>
    <x v="2"/>
    <n v="24"/>
    <x v="4"/>
  </r>
  <r>
    <s v="PAT-1282"/>
    <s v="ENC-282"/>
    <s v="Aarav Garcia"/>
    <d v="1957-10-23T00:00:00"/>
    <s v="Non-binary"/>
    <s v="B+"/>
    <s v="9530 Main St"/>
    <s v="555-965-5047"/>
    <s v="CLI-01"/>
    <d v="2022-07-10T00:00:00"/>
    <x v="1"/>
    <n v="64"/>
    <x v="4"/>
  </r>
  <r>
    <s v="PAT-1189"/>
    <s v="ENC-189"/>
    <s v="Priya Garcia"/>
    <d v="1993-05-27T00:00:00"/>
    <s v="Female"/>
    <s v="B+"/>
    <s v="9104 Main St"/>
    <s v="555-523-1524"/>
    <s v="CLI-01"/>
    <d v="2022-07-09T00:00:00"/>
    <x v="1"/>
    <n v="29"/>
    <x v="4"/>
  </r>
  <r>
    <s v="PAT-1461"/>
    <s v="ENC-461"/>
    <s v="Jennifer Patel"/>
    <d v="1977-06-03T00:00:00"/>
    <s v="Male"/>
    <s v="AB+"/>
    <s v="7938 Main St"/>
    <s v="555-453-3148"/>
    <s v="HOS-01"/>
    <d v="2022-07-09T00:00:00"/>
    <x v="2"/>
    <n v="45"/>
    <x v="4"/>
  </r>
  <r>
    <s v="PAT-1456"/>
    <s v="ENC-456"/>
    <s v="Patricia Smith"/>
    <d v="1956-01-29T00:00:00"/>
    <s v="Male"/>
    <s v="O+"/>
    <s v="3149 Main St"/>
    <s v="555-974-8780"/>
    <s v="CLI-01"/>
    <d v="2022-07-08T00:00:00"/>
    <x v="3"/>
    <n v="66"/>
    <x v="4"/>
  </r>
  <r>
    <s v="PAT-1270"/>
    <s v="ENC-270"/>
    <s v="Patricia Singh"/>
    <d v="1946-09-10T00:00:00"/>
    <s v="Non-binary"/>
    <s v="A+"/>
    <s v="8247 Main St"/>
    <s v="555-673-9765"/>
    <s v="HOS-01"/>
    <d v="2022-07-07T00:00:00"/>
    <x v="1"/>
    <n v="75"/>
    <x v="4"/>
  </r>
  <r>
    <s v="PAT-1346"/>
    <s v="ENC-346"/>
    <s v="Patricia Johnson"/>
    <d v="1962-06-21T00:00:00"/>
    <s v="Female"/>
    <s v="AB+"/>
    <s v="6786 Main St"/>
    <s v="555-893-9513"/>
    <s v="CLI-01"/>
    <d v="2022-07-07T00:00:00"/>
    <x v="3"/>
    <n v="60"/>
    <x v="4"/>
  </r>
  <r>
    <s v="PAT-1322"/>
    <s v="ENC-322"/>
    <s v="Linda Jones"/>
    <d v="1970-02-25T00:00:00"/>
    <s v="Male"/>
    <s v="O+"/>
    <s v="4329 Main St"/>
    <s v="555-587-9038"/>
    <s v="HOS-01"/>
    <d v="2022-07-06T00:00:00"/>
    <x v="0"/>
    <n v="52"/>
    <x v="4"/>
  </r>
  <r>
    <s v="PAT-1007"/>
    <s v="ENC-7"/>
    <s v="Aarav Patel"/>
    <d v="1991-08-23T00:00:00"/>
    <s v="Male"/>
    <s v="O-"/>
    <s v="6980 Main St"/>
    <s v="555-565-8180"/>
    <s v="CLI-01"/>
    <d v="2022-07-04T00:00:00"/>
    <x v="3"/>
    <n v="30"/>
    <x v="4"/>
  </r>
  <r>
    <s v="PAT-1368"/>
    <s v="ENC-368"/>
    <s v="Michael Smith"/>
    <d v="1967-04-06T00:00:00"/>
    <s v="Female"/>
    <s v="A-"/>
    <s v="5645 Main St"/>
    <s v="555-577-7348"/>
    <s v="HOS-01"/>
    <d v="2022-06-28T00:00:00"/>
    <x v="0"/>
    <n v="55"/>
    <x v="4"/>
  </r>
  <r>
    <s v="PAT-1384"/>
    <s v="ENC-384"/>
    <s v="Robert Garcia"/>
    <d v="1980-08-07T00:00:00"/>
    <s v="Male"/>
    <s v="O+"/>
    <s v="4584 Main St"/>
    <s v="555-505-2803"/>
    <s v="CLI-01"/>
    <d v="2022-06-22T00:00:00"/>
    <x v="3"/>
    <n v="41"/>
    <x v="4"/>
  </r>
  <r>
    <s v="PAT-1474"/>
    <s v="ENC-474"/>
    <s v="Priya Singh"/>
    <d v="1988-03-13T00:00:00"/>
    <s v="Non-binary"/>
    <s v="B-"/>
    <s v="6054 Main St"/>
    <s v="555-727-7233"/>
    <s v="CLI-01"/>
    <d v="2022-06-21T00:00:00"/>
    <x v="3"/>
    <n v="34"/>
    <x v="4"/>
  </r>
  <r>
    <s v="PAT-1215"/>
    <s v="ENC-215"/>
    <s v="Priya Garcia"/>
    <d v="1950-01-19T00:00:00"/>
    <s v="Female"/>
    <s v="AB+"/>
    <s v="4909 Main St"/>
    <s v="555-290-1157"/>
    <s v="HOS-01"/>
    <d v="2022-06-18T00:00:00"/>
    <x v="2"/>
    <n v="72"/>
    <x v="4"/>
  </r>
  <r>
    <s v="PAT-1185"/>
    <s v="ENC-185"/>
    <s v="Michael Brown"/>
    <d v="1956-04-26T00:00:00"/>
    <s v="Non-binary"/>
    <s v="B+"/>
    <s v="5703 Main St"/>
    <s v="555-763-2010"/>
    <s v="HOS-01"/>
    <d v="2022-06-15T00:00:00"/>
    <x v="1"/>
    <n v="66"/>
    <x v="4"/>
  </r>
  <r>
    <s v="PAT-1332"/>
    <s v="ENC-332"/>
    <s v="Michael Brown"/>
    <d v="1968-07-27T00:00:00"/>
    <s v="Non-binary"/>
    <s v="AB-"/>
    <s v="5139 Main St"/>
    <s v="555-908-7243"/>
    <s v="CLI-01"/>
    <d v="2022-06-14T00:00:00"/>
    <x v="1"/>
    <n v="53"/>
    <x v="4"/>
  </r>
  <r>
    <s v="PAT-1445"/>
    <s v="ENC-445"/>
    <s v="Mary Singh"/>
    <d v="1961-08-20T00:00:00"/>
    <s v="Male"/>
    <s v="AB+"/>
    <s v="3481 Main St"/>
    <s v="555-937-6197"/>
    <s v="HOS-01"/>
    <d v="2022-06-14T00:00:00"/>
    <x v="0"/>
    <n v="60"/>
    <x v="4"/>
  </r>
  <r>
    <s v="PAT-1011"/>
    <s v="ENC-11"/>
    <s v="Jennifer Smith"/>
    <d v="1952-03-13T00:00:00"/>
    <s v="Female"/>
    <s v="A+"/>
    <s v="8330 Main St"/>
    <s v="555-896-9014"/>
    <s v="CLI-01"/>
    <d v="2022-06-09T00:00:00"/>
    <x v="1"/>
    <n v="70"/>
    <x v="4"/>
  </r>
  <r>
    <s v="PAT-1225"/>
    <s v="ENC-225"/>
    <s v="Priya Jones"/>
    <d v="1962-05-11T00:00:00"/>
    <s v="Non-binary"/>
    <s v="AB-"/>
    <s v="6157 Main St"/>
    <s v="555-923-1167"/>
    <s v="HOS-01"/>
    <d v="2022-06-09T00:00:00"/>
    <x v="2"/>
    <n v="60"/>
    <x v="4"/>
  </r>
  <r>
    <s v="PAT-1079"/>
    <s v="ENC-79"/>
    <s v="Aarav Johnson"/>
    <d v="1940-09-06T00:00:00"/>
    <s v="Female"/>
    <s v="O-"/>
    <s v="5272 Main St"/>
    <s v="555-759-9655"/>
    <s v="CLI-01"/>
    <d v="2022-06-07T00:00:00"/>
    <x v="0"/>
    <n v="81"/>
    <x v="4"/>
  </r>
  <r>
    <s v="PAT-1331"/>
    <s v="ENC-331"/>
    <s v="Jennifer Patel"/>
    <d v="1947-11-27T00:00:00"/>
    <s v="Non-binary"/>
    <s v="A+"/>
    <s v="9651 Main St"/>
    <s v="555-996-8557"/>
    <s v="HOS-01"/>
    <d v="2022-06-06T00:00:00"/>
    <x v="2"/>
    <n v="74"/>
    <x v="4"/>
  </r>
  <r>
    <s v="PAT-1336"/>
    <s v="ENC-336"/>
    <s v="Aarav Garcia"/>
    <d v="1951-01-15T00:00:00"/>
    <s v="Male"/>
    <s v="AB-"/>
    <s v="1412 Main St"/>
    <s v="555-153-1232"/>
    <s v="CLI-01"/>
    <d v="2022-06-05T00:00:00"/>
    <x v="2"/>
    <n v="71"/>
    <x v="4"/>
  </r>
  <r>
    <s v="PAT-1399"/>
    <s v="ENC-399"/>
    <s v="Linda Jones"/>
    <d v="1962-05-08T00:00:00"/>
    <s v="Female"/>
    <s v="B-"/>
    <s v="7282 Main St"/>
    <s v="555-483-3735"/>
    <s v="HOS-01"/>
    <d v="2022-06-05T00:00:00"/>
    <x v="1"/>
    <n v="60"/>
    <x v="4"/>
  </r>
  <r>
    <s v="PAT-1143"/>
    <s v="ENC-143"/>
    <s v="Mary Jones"/>
    <d v="1989-08-26T00:00:00"/>
    <s v="Female"/>
    <s v="O+"/>
    <s v="4391 Main St"/>
    <s v="555-681-7045"/>
    <s v="CLI-01"/>
    <d v="2022-06-04T00:00:00"/>
    <x v="0"/>
    <n v="32"/>
    <x v="4"/>
  </r>
  <r>
    <s v="PAT-1475"/>
    <s v="ENC-475"/>
    <s v="Linda Smith"/>
    <d v="1973-02-15T00:00:00"/>
    <s v="Male"/>
    <s v="B-"/>
    <s v="4152 Main St"/>
    <s v="555-403-5009"/>
    <s v="HOS-01"/>
    <d v="2022-06-03T00:00:00"/>
    <x v="3"/>
    <n v="49"/>
    <x v="4"/>
  </r>
  <r>
    <s v="PAT-1223"/>
    <s v="ENC-223"/>
    <s v="Priya Smith"/>
    <d v="1977-02-05T00:00:00"/>
    <s v="Male"/>
    <s v="B+"/>
    <s v="4611 Main St"/>
    <s v="555-822-5285"/>
    <s v="HOS-01"/>
    <d v="2022-05-30T00:00:00"/>
    <x v="2"/>
    <n v="45"/>
    <x v="4"/>
  </r>
  <r>
    <s v="PAT-1156"/>
    <s v="ENC-156"/>
    <s v="Linda Patel"/>
    <d v="1971-04-07T00:00:00"/>
    <s v="Non-binary"/>
    <s v="AB-"/>
    <s v="5624 Main St"/>
    <s v="555-450-1868"/>
    <s v="HOS-01"/>
    <d v="2022-05-27T00:00:00"/>
    <x v="0"/>
    <n v="51"/>
    <x v="4"/>
  </r>
  <r>
    <s v="PAT-1289"/>
    <s v="ENC-289"/>
    <s v="Priya Williams"/>
    <d v="1953-01-06T00:00:00"/>
    <s v="Female"/>
    <s v="AB+"/>
    <s v="1705 Main St"/>
    <s v="555-720-4158"/>
    <s v="HOS-01"/>
    <d v="2022-05-25T00:00:00"/>
    <x v="2"/>
    <n v="69"/>
    <x v="4"/>
  </r>
  <r>
    <s v="PAT-1396"/>
    <s v="ENC-396"/>
    <s v="Michael Johnson"/>
    <d v="1951-01-04T00:00:00"/>
    <s v="Non-binary"/>
    <s v="O-"/>
    <s v="1496 Main St"/>
    <s v="555-720-4894"/>
    <s v="HOS-01"/>
    <d v="2022-05-23T00:00:00"/>
    <x v="2"/>
    <n v="71"/>
    <x v="4"/>
  </r>
  <r>
    <s v="PAT-1353"/>
    <s v="ENC-353"/>
    <s v="Jennifer Williams"/>
    <d v="2000-07-20T00:00:00"/>
    <s v="Male"/>
    <s v="O+"/>
    <s v="3653 Main St"/>
    <s v="555-289-5018"/>
    <s v="CLI-01"/>
    <d v="2022-05-11T00:00:00"/>
    <x v="0"/>
    <n v="21"/>
    <x v="4"/>
  </r>
  <r>
    <s v="PAT-1057"/>
    <s v="ENC-57"/>
    <s v="Linda Williams"/>
    <d v="1964-07-07T00:00:00"/>
    <s v="Female"/>
    <s v="AB-"/>
    <s v="2606 Main St"/>
    <s v="555-834-8761"/>
    <s v="CLI-01"/>
    <d v="2022-04-30T00:00:00"/>
    <x v="3"/>
    <n v="57"/>
    <x v="4"/>
  </r>
  <r>
    <s v="PAT-1144"/>
    <s v="ENC-144"/>
    <s v="John Brown"/>
    <d v="1979-03-15T00:00:00"/>
    <s v="Male"/>
    <s v="O+"/>
    <s v="5318 Main St"/>
    <s v="555-564-5414"/>
    <s v="CLI-01"/>
    <d v="2022-04-30T00:00:00"/>
    <x v="0"/>
    <n v="43"/>
    <x v="4"/>
  </r>
  <r>
    <s v="PAT-1259"/>
    <s v="ENC-259"/>
    <s v="Jennifer Brown"/>
    <d v="1954-06-10T00:00:00"/>
    <s v="Male"/>
    <s v="AB-"/>
    <s v="9746 Main St"/>
    <s v="555-606-6723"/>
    <s v="CLI-01"/>
    <d v="2022-04-28T00:00:00"/>
    <x v="0"/>
    <n v="67"/>
    <x v="4"/>
  </r>
  <r>
    <s v="PAT-1172"/>
    <s v="ENC-172"/>
    <s v="Michael Singh"/>
    <d v="1976-11-04T00:00:00"/>
    <s v="Non-binary"/>
    <s v="AB+"/>
    <s v="8373 Main St"/>
    <s v="555-610-3459"/>
    <s v="CLI-01"/>
    <d v="2022-04-15T00:00:00"/>
    <x v="3"/>
    <n v="45"/>
    <x v="4"/>
  </r>
  <r>
    <s v="PAT-1084"/>
    <s v="ENC-84"/>
    <s v="Patricia Williams"/>
    <d v="1962-02-18T00:00:00"/>
    <s v="Male"/>
    <s v="AB+"/>
    <s v="7267 Main St"/>
    <s v="555-603-2559"/>
    <s v="HOS-01"/>
    <d v="2022-04-14T00:00:00"/>
    <x v="3"/>
    <n v="60"/>
    <x v="4"/>
  </r>
  <r>
    <s v="PAT-1497"/>
    <s v="ENC-497"/>
    <s v="Michael Smith"/>
    <d v="1948-11-20T00:00:00"/>
    <s v="Female"/>
    <s v="AB+"/>
    <s v="7348 Main St"/>
    <s v="555-203-1551"/>
    <s v="CLI-01"/>
    <d v="2022-04-14T00:00:00"/>
    <x v="3"/>
    <n v="73"/>
    <x v="4"/>
  </r>
  <r>
    <s v="PAT-1295"/>
    <s v="ENC-295"/>
    <s v="James Brown"/>
    <d v="1964-12-18T00:00:00"/>
    <s v="Male"/>
    <s v="B-"/>
    <s v="1770 Main St"/>
    <s v="555-830-8613"/>
    <s v="HOS-01"/>
    <d v="2022-04-12T00:00:00"/>
    <x v="2"/>
    <n v="57"/>
    <x v="4"/>
  </r>
  <r>
    <s v="PAT-1129"/>
    <s v="ENC-129"/>
    <s v="James Smith"/>
    <d v="2007-05-11T00:00:00"/>
    <s v="Male"/>
    <s v="B-"/>
    <s v="9967 Main St"/>
    <s v="555-790-7714"/>
    <s v="CLI-01"/>
    <d v="2022-04-05T00:00:00"/>
    <x v="1"/>
    <n v="14"/>
    <x v="4"/>
  </r>
  <r>
    <s v="PAT-1343"/>
    <s v="ENC-343"/>
    <s v="Linda Brown"/>
    <d v="1968-09-13T00:00:00"/>
    <s v="Male"/>
    <s v="B-"/>
    <s v="8462 Main St"/>
    <s v="555-976-7492"/>
    <s v="HOS-01"/>
    <d v="2022-04-03T00:00:00"/>
    <x v="1"/>
    <n v="53"/>
    <x v="4"/>
  </r>
  <r>
    <s v="PAT-1349"/>
    <s v="ENC-349"/>
    <s v="James Williams"/>
    <d v="2007-06-05T00:00:00"/>
    <s v="Male"/>
    <s v="O-"/>
    <s v="6673 Main St"/>
    <s v="555-580-4400"/>
    <s v="HOS-01"/>
    <d v="2022-04-03T00:00:00"/>
    <x v="1"/>
    <n v="14"/>
    <x v="4"/>
  </r>
  <r>
    <s v="PAT-1345"/>
    <s v="ENC-345"/>
    <s v="Aarav Smith"/>
    <d v="1949-07-30T00:00:00"/>
    <s v="Non-binary"/>
    <s v="AB+"/>
    <s v="4503 Main St"/>
    <s v="555-520-8717"/>
    <s v="HOS-01"/>
    <d v="2022-03-31T00:00:00"/>
    <x v="2"/>
    <n v="72"/>
    <x v="4"/>
  </r>
  <r>
    <s v="PAT-1476"/>
    <s v="ENC-476"/>
    <s v="John Garcia"/>
    <d v="1976-11-02T00:00:00"/>
    <s v="Female"/>
    <s v="B+"/>
    <s v="5890 Main St"/>
    <s v="555-636-8513"/>
    <s v="HOS-01"/>
    <d v="2022-03-27T00:00:00"/>
    <x v="0"/>
    <n v="45"/>
    <x v="4"/>
  </r>
  <r>
    <s v="PAT-1078"/>
    <s v="ENC-78"/>
    <s v="Linda Brown"/>
    <d v="1997-02-18T00:00:00"/>
    <s v="Female"/>
    <s v="A-"/>
    <s v="3613 Main St"/>
    <s v="555-700-9571"/>
    <s v="HOS-01"/>
    <d v="2022-03-26T00:00:00"/>
    <x v="2"/>
    <n v="25"/>
    <x v="4"/>
  </r>
  <r>
    <s v="PAT-1093"/>
    <s v="ENC-93"/>
    <s v="John Garcia"/>
    <d v="1955-06-18T00:00:00"/>
    <s v="Male"/>
    <s v="B+"/>
    <s v="4113 Main St"/>
    <s v="555-169-9525"/>
    <s v="HOS-01"/>
    <d v="2022-03-23T00:00:00"/>
    <x v="2"/>
    <n v="66"/>
    <x v="4"/>
  </r>
  <r>
    <s v="PAT-1375"/>
    <s v="ENC-375"/>
    <s v="Priya Garcia"/>
    <d v="1951-10-09T00:00:00"/>
    <s v="Female"/>
    <s v="B+"/>
    <s v="2501 Main St"/>
    <s v="555-508-2163"/>
    <s v="HOS-01"/>
    <d v="2022-03-23T00:00:00"/>
    <x v="2"/>
    <n v="70"/>
    <x v="4"/>
  </r>
  <r>
    <s v="PAT-1196"/>
    <s v="ENC-196"/>
    <s v="John Garcia"/>
    <d v="2001-04-11T00:00:00"/>
    <s v="Non-binary"/>
    <s v="O-"/>
    <s v="2345 Main St"/>
    <s v="555-918-2442"/>
    <s v="HOS-01"/>
    <d v="2022-03-16T00:00:00"/>
    <x v="0"/>
    <n v="20"/>
    <x v="4"/>
  </r>
  <r>
    <s v="PAT-1010"/>
    <s v="ENC-10"/>
    <s v="Mary Singh"/>
    <d v="1970-04-02T00:00:00"/>
    <s v="Female"/>
    <s v="AB+"/>
    <s v="1522 Main St"/>
    <s v="555-981-2789"/>
    <s v="HOS-01"/>
    <d v="2022-03-15T00:00:00"/>
    <x v="2"/>
    <n v="51"/>
    <x v="4"/>
  </r>
  <r>
    <s v="PAT-1230"/>
    <s v="ENC-230"/>
    <s v="Jennifer Singh"/>
    <d v="1975-09-12T00:00:00"/>
    <s v="Male"/>
    <s v="AB-"/>
    <s v="7346 Main St"/>
    <s v="555-358-3886"/>
    <s v="HOS-01"/>
    <d v="2022-03-12T00:00:00"/>
    <x v="0"/>
    <n v="46"/>
    <x v="4"/>
  </r>
  <r>
    <s v="PAT-1042"/>
    <s v="ENC-42"/>
    <s v="John Williams"/>
    <d v="1951-09-20T00:00:00"/>
    <s v="Female"/>
    <s v="AB+"/>
    <s v="3171 Main St"/>
    <s v="555-459-7128"/>
    <s v="HOS-01"/>
    <d v="2022-03-05T00:00:00"/>
    <x v="2"/>
    <n v="70"/>
    <x v="4"/>
  </r>
  <r>
    <s v="PAT-1258"/>
    <s v="ENC-258"/>
    <s v="James Garcia"/>
    <d v="1976-05-14T00:00:00"/>
    <s v="Male"/>
    <s v="A-"/>
    <s v="5911 Main St"/>
    <s v="555-644-6854"/>
    <s v="HOS-01"/>
    <d v="2022-03-02T00:00:00"/>
    <x v="3"/>
    <n v="45"/>
    <x v="4"/>
  </r>
  <r>
    <s v="PAT-1274"/>
    <s v="ENC-274"/>
    <s v="Linda Brown"/>
    <d v="2008-12-27T00:00:00"/>
    <s v="Female"/>
    <s v="B-"/>
    <s v="3801 Main St"/>
    <s v="555-654-6560"/>
    <s v="CLI-01"/>
    <d v="2022-02-27T00:00:00"/>
    <x v="1"/>
    <n v="13"/>
    <x v="4"/>
  </r>
  <r>
    <s v="PAT-1460"/>
    <s v="ENC-460"/>
    <s v="Robert Brown"/>
    <d v="1957-04-29T00:00:00"/>
    <s v="Male"/>
    <s v="O+"/>
    <s v="9790 Main St"/>
    <s v="555-137-8968"/>
    <s v="HOS-01"/>
    <d v="2022-02-23T00:00:00"/>
    <x v="1"/>
    <n v="64"/>
    <x v="4"/>
  </r>
  <r>
    <s v="PAT-1387"/>
    <s v="ENC-387"/>
    <s v="Patricia Smith"/>
    <d v="1972-04-21T00:00:00"/>
    <s v="Non-binary"/>
    <s v="B+"/>
    <s v="4358 Main St"/>
    <s v="555-134-2406"/>
    <s v="CLI-01"/>
    <d v="2022-02-21T00:00:00"/>
    <x v="2"/>
    <n v="49"/>
    <x v="4"/>
  </r>
  <r>
    <s v="PAT-1083"/>
    <s v="ENC-83"/>
    <s v="Michael Smith"/>
    <d v="1969-01-13T00:00:00"/>
    <s v="Male"/>
    <s v="B-"/>
    <s v="2339 Main St"/>
    <s v="555-913-2055"/>
    <s v="HOS-01"/>
    <d v="2022-02-20T00:00:00"/>
    <x v="0"/>
    <n v="53"/>
    <x v="4"/>
  </r>
  <r>
    <s v="PAT-1401"/>
    <s v="ENC-401"/>
    <s v="James Garcia"/>
    <d v="2002-03-25T00:00:00"/>
    <s v="Male"/>
    <s v="B+"/>
    <s v="2965 Main St"/>
    <s v="555-591-7727"/>
    <s v="HOS-01"/>
    <d v="2022-02-14T00:00:00"/>
    <x v="3"/>
    <n v="19"/>
    <x v="4"/>
  </r>
  <r>
    <s v="PAT-1367"/>
    <s v="ENC-367"/>
    <s v="Mary Singh"/>
    <d v="1985-03-25T00:00:00"/>
    <s v="Female"/>
    <s v="B-"/>
    <s v="7386 Main St"/>
    <s v="555-952-6257"/>
    <s v="CLI-01"/>
    <d v="2022-02-06T00:00:00"/>
    <x v="1"/>
    <n v="36"/>
    <x v="4"/>
  </r>
  <r>
    <s v="PAT-1203"/>
    <s v="ENC-203"/>
    <s v="Patricia Williams"/>
    <d v="2003-11-16T00:00:00"/>
    <s v="Non-binary"/>
    <s v="O-"/>
    <s v="645 Main St"/>
    <s v="555-498-8313"/>
    <s v="CLI-01"/>
    <d v="2022-02-05T00:00:00"/>
    <x v="2"/>
    <n v="18"/>
    <x v="4"/>
  </r>
  <r>
    <s v="PAT-1184"/>
    <s v="ENC-184"/>
    <s v="Robert Johnson"/>
    <d v="1953-03-08T00:00:00"/>
    <s v="Male"/>
    <s v="B+"/>
    <s v="4701 Main St"/>
    <s v="555-353-5732"/>
    <s v="CLI-01"/>
    <d v="2022-02-01T00:00:00"/>
    <x v="1"/>
    <n v="68"/>
    <x v="4"/>
  </r>
  <r>
    <s v="PAT-1470"/>
    <s v="ENC-470"/>
    <s v="Priya Jones"/>
    <d v="1947-10-07T00:00:00"/>
    <s v="Non-binary"/>
    <s v="A+"/>
    <s v="1339 Main St"/>
    <s v="555-961-5949"/>
    <s v="HOS-01"/>
    <d v="2022-02-01T00:00:00"/>
    <x v="3"/>
    <n v="74"/>
    <x v="4"/>
  </r>
  <r>
    <s v="PAT-1101"/>
    <s v="ENC-101"/>
    <s v="Patricia Garcia"/>
    <d v="1994-05-22T00:00:00"/>
    <s v="Male"/>
    <s v="AB-"/>
    <s v="9075 Main St"/>
    <s v="555-172-7798"/>
    <s v="CLI-01"/>
    <d v="2022-01-30T00:00:00"/>
    <x v="3"/>
    <n v="27"/>
    <x v="4"/>
  </r>
  <r>
    <s v="PAT-1249"/>
    <s v="ENC-249"/>
    <s v="James Patel"/>
    <d v="1972-11-08T00:00:00"/>
    <s v="Non-binary"/>
    <s v="AB-"/>
    <s v="8356 Main St"/>
    <s v="555-335-2037"/>
    <s v="CLI-01"/>
    <d v="2022-01-23T00:00:00"/>
    <x v="0"/>
    <n v="49"/>
    <x v="4"/>
  </r>
  <r>
    <s v="PAT-1493"/>
    <s v="ENC-493"/>
    <s v="James Jones"/>
    <d v="1961-04-30T00:00:00"/>
    <s v="Female"/>
    <s v="O+"/>
    <s v="3981 Main St"/>
    <s v="555-897-5292"/>
    <s v="HOS-01"/>
    <d v="2022-01-20T00:00:00"/>
    <x v="2"/>
    <n v="60"/>
    <x v="4"/>
  </r>
  <r>
    <s v="PAT-1009"/>
    <s v="ENC-9"/>
    <s v="Jennifer Johnson"/>
    <d v="1952-08-22T00:00:00"/>
    <s v="Female"/>
    <s v="B+"/>
    <s v="1369 Main St"/>
    <s v="555-727-2170"/>
    <s v="HOS-01"/>
    <d v="2022-01-11T00:00:00"/>
    <x v="3"/>
    <n v="69"/>
    <x v="4"/>
  </r>
  <r>
    <s v="PAT-1183"/>
    <s v="ENC-183"/>
    <s v="John Singh"/>
    <d v="1968-03-29T00:00:00"/>
    <s v="Non-binary"/>
    <s v="AB+"/>
    <s v="1370 Main St"/>
    <s v="555-616-1909"/>
    <s v="HOS-01"/>
    <d v="2022-01-02T00:00:00"/>
    <x v="0"/>
    <n v="53"/>
    <x v="4"/>
  </r>
  <r>
    <s v="PAT-1135"/>
    <s v="ENC-135"/>
    <s v="Robert Patel"/>
    <d v="2007-11-19T00:00:00"/>
    <s v="Female"/>
    <s v="A-"/>
    <s v="5595 Main St"/>
    <s v="555-624-1738"/>
    <s v="HOS-01"/>
    <d v="2022-01-01T00:00:00"/>
    <x v="1"/>
    <n v="14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CHG-304"/>
    <s v="ENC-304"/>
    <x v="0"/>
    <n v="499.36"/>
    <s v="Comprehensive metabolic panel"/>
  </r>
  <r>
    <s v="CHG-209"/>
    <s v="ENC-209"/>
    <x v="1"/>
    <n v="498.45"/>
    <s v="Complete blood count (CBC)"/>
  </r>
  <r>
    <s v="CHG-384"/>
    <s v="ENC-384"/>
    <x v="0"/>
    <n v="497.94"/>
    <s v="Comprehensive metabolic panel"/>
  </r>
  <r>
    <s v="CHG-170"/>
    <s v="ENC-170"/>
    <x v="2"/>
    <n v="496.51"/>
    <s v="Office visit, established patient, 15 min"/>
  </r>
  <r>
    <s v="CHG-95"/>
    <s v="ENC-95"/>
    <x v="0"/>
    <n v="495.11"/>
    <s v="Comprehensive metabolic panel"/>
  </r>
  <r>
    <s v="CHG-213"/>
    <s v="ENC-213"/>
    <x v="0"/>
    <n v="494.34"/>
    <s v="Comprehensive metabolic panel"/>
  </r>
  <r>
    <s v="CHG-54"/>
    <s v="ENC-54"/>
    <x v="0"/>
    <n v="493.7"/>
    <s v="Comprehensive metabolic panel"/>
  </r>
  <r>
    <s v="CHG-359"/>
    <s v="ENC-359"/>
    <x v="3"/>
    <n v="493.62"/>
    <s v="Office visit, new patient, 30 min"/>
  </r>
  <r>
    <s v="CHG-153"/>
    <s v="ENC-153"/>
    <x v="2"/>
    <n v="493.37"/>
    <s v="Office visit, established patient, 15 min"/>
  </r>
  <r>
    <s v="CHG-49"/>
    <s v="ENC-49"/>
    <x v="2"/>
    <n v="493.29"/>
    <s v="Office visit, established patient, 15 min"/>
  </r>
  <r>
    <s v="CHG-497"/>
    <s v="ENC-497"/>
    <x v="0"/>
    <n v="492.88"/>
    <s v="Comprehensive metabolic panel"/>
  </r>
  <r>
    <s v="CHG-411"/>
    <s v="ENC-411"/>
    <x v="3"/>
    <n v="490.26"/>
    <s v="Office visit, new patient, 30 min"/>
  </r>
  <r>
    <s v="CHG-338"/>
    <s v="ENC-338"/>
    <x v="3"/>
    <n v="489.48"/>
    <s v="Office visit, new patient, 30 min"/>
  </r>
  <r>
    <s v="CHG-371"/>
    <s v="ENC-371"/>
    <x v="3"/>
    <n v="488.08"/>
    <s v="Office visit, new patient, 30 min"/>
  </r>
  <r>
    <s v="CHG-245"/>
    <s v="ENC-245"/>
    <x v="2"/>
    <n v="487.23"/>
    <s v="Office visit, established patient, 15 min"/>
  </r>
  <r>
    <s v="CHG-324"/>
    <s v="ENC-324"/>
    <x v="2"/>
    <n v="487.1"/>
    <s v="Office visit, established patient, 15 min"/>
  </r>
  <r>
    <s v="CHG-135"/>
    <s v="ENC-135"/>
    <x v="1"/>
    <n v="486.81"/>
    <s v="Complete blood count (CBC)"/>
  </r>
  <r>
    <s v="CHG-200"/>
    <s v="ENC-200"/>
    <x v="3"/>
    <n v="484.98"/>
    <s v="Office visit, new patient, 30 min"/>
  </r>
  <r>
    <s v="CHG-113"/>
    <s v="ENC-113"/>
    <x v="1"/>
    <n v="483.92"/>
    <s v="Complete blood count (CBC)"/>
  </r>
  <r>
    <s v="CHG-442"/>
    <s v="ENC-442"/>
    <x v="2"/>
    <n v="482.31"/>
    <s v="Office visit, established patient, 15 min"/>
  </r>
  <r>
    <s v="CHG-208"/>
    <s v="ENC-208"/>
    <x v="0"/>
    <n v="481.84"/>
    <s v="Comprehensive metabolic panel"/>
  </r>
  <r>
    <s v="CHG-115"/>
    <s v="ENC-115"/>
    <x v="0"/>
    <n v="481.71"/>
    <s v="Comprehensive metabolic panel"/>
  </r>
  <r>
    <s v="CHG-109"/>
    <s v="ENC-109"/>
    <x v="0"/>
    <n v="481.16"/>
    <s v="Comprehensive metabolic panel"/>
  </r>
  <r>
    <s v="CHG-472"/>
    <s v="ENC-472"/>
    <x v="2"/>
    <n v="480.81"/>
    <s v="Office visit, established patient, 15 min"/>
  </r>
  <r>
    <s v="CHG-151"/>
    <s v="ENC-151"/>
    <x v="1"/>
    <n v="479.87"/>
    <s v="Complete blood count (CBC)"/>
  </r>
  <r>
    <s v="CHG-51"/>
    <s v="ENC-51"/>
    <x v="0"/>
    <n v="479.5"/>
    <s v="Comprehensive metabolic panel"/>
  </r>
  <r>
    <s v="CHG-423"/>
    <s v="ENC-423"/>
    <x v="2"/>
    <n v="479.5"/>
    <s v="Office visit, established patient, 15 min"/>
  </r>
  <r>
    <s v="CHG-212"/>
    <s v="ENC-212"/>
    <x v="1"/>
    <n v="479.34"/>
    <s v="Complete blood count (CBC)"/>
  </r>
  <r>
    <s v="CHG-424"/>
    <s v="ENC-424"/>
    <x v="3"/>
    <n v="478.64"/>
    <s v="Office visit, new patient, 30 min"/>
  </r>
  <r>
    <s v="CHG-406"/>
    <s v="ENC-406"/>
    <x v="0"/>
    <n v="478.23"/>
    <s v="Comprehensive metabolic panel"/>
  </r>
  <r>
    <s v="CHG-140"/>
    <s v="ENC-140"/>
    <x v="1"/>
    <n v="477.05"/>
    <s v="Complete blood count (CBC)"/>
  </r>
  <r>
    <s v="CHG-243"/>
    <s v="ENC-243"/>
    <x v="0"/>
    <n v="476.58"/>
    <s v="Comprehensive metabolic panel"/>
  </r>
  <r>
    <s v="CHG-298"/>
    <s v="ENC-298"/>
    <x v="2"/>
    <n v="476.16"/>
    <s v="Office visit, established patient, 15 min"/>
  </r>
  <r>
    <s v="CHG-347"/>
    <s v="ENC-347"/>
    <x v="3"/>
    <n v="476.13"/>
    <s v="Office visit, new patient, 30 min"/>
  </r>
  <r>
    <s v="CHG-234"/>
    <s v="ENC-234"/>
    <x v="3"/>
    <n v="475.61"/>
    <s v="Office visit, new patient, 30 min"/>
  </r>
  <r>
    <s v="CHG-97"/>
    <s v="ENC-97"/>
    <x v="2"/>
    <n v="475.29"/>
    <s v="Office visit, established patient, 15 min"/>
  </r>
  <r>
    <s v="CHG-401"/>
    <s v="ENC-401"/>
    <x v="2"/>
    <n v="473.93"/>
    <s v="Office visit, established patient, 15 min"/>
  </r>
  <r>
    <s v="CHG-262"/>
    <s v="ENC-262"/>
    <x v="2"/>
    <n v="472.39"/>
    <s v="Office visit, established patient, 15 min"/>
  </r>
  <r>
    <s v="CHG-254"/>
    <s v="ENC-254"/>
    <x v="3"/>
    <n v="470.85"/>
    <s v="Office visit, new patient, 30 min"/>
  </r>
  <r>
    <s v="CHG-86"/>
    <s v="ENC-86"/>
    <x v="2"/>
    <n v="470.46"/>
    <s v="Office visit, established patient, 15 min"/>
  </r>
  <r>
    <s v="CHG-205"/>
    <s v="ENC-205"/>
    <x v="3"/>
    <n v="470.46"/>
    <s v="Office visit, new patient, 30 min"/>
  </r>
  <r>
    <s v="CHG-336"/>
    <s v="ENC-336"/>
    <x v="2"/>
    <n v="469.1"/>
    <s v="Office visit, established patient, 15 min"/>
  </r>
  <r>
    <s v="CHG-349"/>
    <s v="ENC-349"/>
    <x v="0"/>
    <n v="468"/>
    <s v="Comprehensive metabolic panel"/>
  </r>
  <r>
    <s v="CHG-428"/>
    <s v="ENC-428"/>
    <x v="1"/>
    <n v="466.83"/>
    <s v="Complete blood count (CBC)"/>
  </r>
  <r>
    <s v="CHG-323"/>
    <s v="ENC-323"/>
    <x v="1"/>
    <n v="465.72"/>
    <s v="Complete blood count (CBC)"/>
  </r>
  <r>
    <s v="CHG-438"/>
    <s v="ENC-438"/>
    <x v="2"/>
    <n v="464.51"/>
    <s v="Office visit, established patient, 15 min"/>
  </r>
  <r>
    <s v="CHG-61"/>
    <s v="ENC-61"/>
    <x v="2"/>
    <n v="464.4"/>
    <s v="Office visit, established patient, 15 min"/>
  </r>
  <r>
    <s v="CHG-26"/>
    <s v="ENC-26"/>
    <x v="3"/>
    <n v="464.21"/>
    <s v="Office visit, new patient, 30 min"/>
  </r>
  <r>
    <s v="CHG-344"/>
    <s v="ENC-344"/>
    <x v="3"/>
    <n v="464.02"/>
    <s v="Office visit, new patient, 30 min"/>
  </r>
  <r>
    <s v="CHG-475"/>
    <s v="ENC-475"/>
    <x v="1"/>
    <n v="463.18"/>
    <s v="Complete blood count (CBC)"/>
  </r>
  <r>
    <s v="CHG-292"/>
    <s v="ENC-292"/>
    <x v="0"/>
    <n v="461.21"/>
    <s v="Comprehensive metabolic panel"/>
  </r>
  <r>
    <s v="CHG-289"/>
    <s v="ENC-289"/>
    <x v="3"/>
    <n v="460.07"/>
    <s v="Office visit, new patient, 30 min"/>
  </r>
  <r>
    <s v="CHG-436"/>
    <s v="ENC-436"/>
    <x v="0"/>
    <n v="459.33"/>
    <s v="Comprehensive metabolic panel"/>
  </r>
  <r>
    <s v="CHG-321"/>
    <s v="ENC-321"/>
    <x v="2"/>
    <n v="458.84"/>
    <s v="Office visit, established patient, 15 min"/>
  </r>
  <r>
    <s v="CHG-176"/>
    <s v="ENC-176"/>
    <x v="0"/>
    <n v="458.44"/>
    <s v="Comprehensive metabolic panel"/>
  </r>
  <r>
    <s v="CHG-291"/>
    <s v="ENC-291"/>
    <x v="2"/>
    <n v="455.95"/>
    <s v="Office visit, established patient, 15 min"/>
  </r>
  <r>
    <s v="CHG-33"/>
    <s v="ENC-33"/>
    <x v="0"/>
    <n v="455.17"/>
    <s v="Comprehensive metabolic panel"/>
  </r>
  <r>
    <s v="CHG-451"/>
    <s v="ENC-451"/>
    <x v="3"/>
    <n v="454.4"/>
    <s v="Office visit, new patient, 30 min"/>
  </r>
  <r>
    <s v="CHG-114"/>
    <s v="ENC-114"/>
    <x v="1"/>
    <n v="451.5"/>
    <s v="Complete blood count (CBC)"/>
  </r>
  <r>
    <s v="CHG-495"/>
    <s v="ENC-495"/>
    <x v="1"/>
    <n v="451.26"/>
    <s v="Complete blood count (CBC)"/>
  </r>
  <r>
    <s v="CHG-156"/>
    <s v="ENC-156"/>
    <x v="2"/>
    <n v="451.04"/>
    <s v="Office visit, established patient, 15 min"/>
  </r>
  <r>
    <s v="CHG-108"/>
    <s v="ENC-108"/>
    <x v="1"/>
    <n v="449.98"/>
    <s v="Complete blood count (CBC)"/>
  </r>
  <r>
    <s v="CHG-219"/>
    <s v="ENC-219"/>
    <x v="2"/>
    <n v="447.97"/>
    <s v="Office visit, established patient, 15 min"/>
  </r>
  <r>
    <s v="CHG-143"/>
    <s v="ENC-143"/>
    <x v="2"/>
    <n v="446.1"/>
    <s v="Office visit, established patient, 15 min"/>
  </r>
  <r>
    <s v="CHG-471"/>
    <s v="ENC-471"/>
    <x v="2"/>
    <n v="444.94"/>
    <s v="Office visit, established patient, 15 min"/>
  </r>
  <r>
    <s v="CHG-418"/>
    <s v="ENC-418"/>
    <x v="2"/>
    <n v="444.72"/>
    <s v="Office visit, established patient, 15 min"/>
  </r>
  <r>
    <s v="CHG-55"/>
    <s v="ENC-55"/>
    <x v="0"/>
    <n v="444.53"/>
    <s v="Comprehensive metabolic panel"/>
  </r>
  <r>
    <s v="CHG-378"/>
    <s v="ENC-378"/>
    <x v="3"/>
    <n v="444.08"/>
    <s v="Office visit, new patient, 30 min"/>
  </r>
  <r>
    <s v="CHG-98"/>
    <s v="ENC-98"/>
    <x v="2"/>
    <n v="442.87"/>
    <s v="Office visit, established patient, 15 min"/>
  </r>
  <r>
    <s v="CHG-415"/>
    <s v="ENC-415"/>
    <x v="2"/>
    <n v="442.46"/>
    <s v="Office visit, established patient, 15 min"/>
  </r>
  <r>
    <s v="CHG-357"/>
    <s v="ENC-357"/>
    <x v="0"/>
    <n v="442.44"/>
    <s v="Comprehensive metabolic panel"/>
  </r>
  <r>
    <s v="CHG-276"/>
    <s v="ENC-276"/>
    <x v="3"/>
    <n v="440.43"/>
    <s v="Office visit, new patient, 30 min"/>
  </r>
  <r>
    <s v="CHG-248"/>
    <s v="ENC-248"/>
    <x v="2"/>
    <n v="439.2"/>
    <s v="Office visit, established patient, 15 min"/>
  </r>
  <r>
    <s v="CHG-46"/>
    <s v="ENC-46"/>
    <x v="1"/>
    <n v="438.77"/>
    <s v="Complete blood count (CBC)"/>
  </r>
  <r>
    <s v="CHG-227"/>
    <s v="ENC-227"/>
    <x v="3"/>
    <n v="437.71"/>
    <s v="Office visit, new patient, 30 min"/>
  </r>
  <r>
    <s v="CHG-267"/>
    <s v="ENC-267"/>
    <x v="3"/>
    <n v="436.47"/>
    <s v="Office visit, new patient, 30 min"/>
  </r>
  <r>
    <s v="CHG-173"/>
    <s v="ENC-173"/>
    <x v="1"/>
    <n v="432.74"/>
    <s v="Complete blood count (CBC)"/>
  </r>
  <r>
    <s v="CHG-1"/>
    <s v="ENC-1"/>
    <x v="2"/>
    <n v="432.61"/>
    <s v="Office visit, established patient, 15 min"/>
  </r>
  <r>
    <s v="CHG-21"/>
    <s v="ENC-21"/>
    <x v="0"/>
    <n v="429.87"/>
    <s v="Comprehensive metabolic panel"/>
  </r>
  <r>
    <s v="CHG-319"/>
    <s v="ENC-319"/>
    <x v="2"/>
    <n v="428.66"/>
    <s v="Office visit, established patient, 15 min"/>
  </r>
  <r>
    <s v="CHG-433"/>
    <s v="ENC-433"/>
    <x v="1"/>
    <n v="428.62"/>
    <s v="Complete blood count (CBC)"/>
  </r>
  <r>
    <s v="CHG-30"/>
    <s v="ENC-30"/>
    <x v="3"/>
    <n v="427.73"/>
    <s v="Office visit, new patient, 30 min"/>
  </r>
  <r>
    <s v="CHG-404"/>
    <s v="ENC-404"/>
    <x v="3"/>
    <n v="427.14"/>
    <s v="Office visit, new patient, 30 min"/>
  </r>
  <r>
    <s v="CHG-255"/>
    <s v="ENC-255"/>
    <x v="3"/>
    <n v="426.34"/>
    <s v="Office visit, new patient, 30 min"/>
  </r>
  <r>
    <s v="CHG-222"/>
    <s v="ENC-222"/>
    <x v="3"/>
    <n v="426.02"/>
    <s v="Office visit, new patient, 30 min"/>
  </r>
  <r>
    <s v="CHG-334"/>
    <s v="ENC-334"/>
    <x v="2"/>
    <n v="425.09"/>
    <s v="Office visit, established patient, 15 min"/>
  </r>
  <r>
    <s v="CHG-88"/>
    <s v="ENC-88"/>
    <x v="2"/>
    <n v="424.68"/>
    <s v="Office visit, established patient, 15 min"/>
  </r>
  <r>
    <s v="CHG-127"/>
    <s v="ENC-127"/>
    <x v="3"/>
    <n v="424.12"/>
    <s v="Office visit, new patient, 30 min"/>
  </r>
  <r>
    <s v="CHG-163"/>
    <s v="ENC-163"/>
    <x v="2"/>
    <n v="423.81"/>
    <s v="Office visit, established patient, 15 min"/>
  </r>
  <r>
    <s v="CHG-185"/>
    <s v="ENC-185"/>
    <x v="2"/>
    <n v="422.3"/>
    <s v="Office visit, established patient, 15 min"/>
  </r>
  <r>
    <s v="CHG-149"/>
    <s v="ENC-149"/>
    <x v="0"/>
    <n v="421.93"/>
    <s v="Comprehensive metabolic panel"/>
  </r>
  <r>
    <s v="CHG-380"/>
    <s v="ENC-380"/>
    <x v="2"/>
    <n v="421.62"/>
    <s v="Office visit, established patient, 15 min"/>
  </r>
  <r>
    <s v="CHG-346"/>
    <s v="ENC-346"/>
    <x v="0"/>
    <n v="418.01"/>
    <s v="Comprehensive metabolic panel"/>
  </r>
  <r>
    <s v="CHG-481"/>
    <s v="ENC-481"/>
    <x v="0"/>
    <n v="417.21"/>
    <s v="Comprehensive metabolic panel"/>
  </r>
  <r>
    <s v="CHG-186"/>
    <s v="ENC-186"/>
    <x v="0"/>
    <n v="416.87"/>
    <s v="Comprehensive metabolic panel"/>
  </r>
  <r>
    <s v="CHG-383"/>
    <s v="ENC-383"/>
    <x v="3"/>
    <n v="416.87"/>
    <s v="Office visit, new patient, 30 min"/>
  </r>
  <r>
    <s v="CHG-450"/>
    <s v="ENC-450"/>
    <x v="3"/>
    <n v="416.75"/>
    <s v="Office visit, new patient, 30 min"/>
  </r>
  <r>
    <s v="CHG-419"/>
    <s v="ENC-419"/>
    <x v="2"/>
    <n v="416.09"/>
    <s v="Office visit, established patient, 15 min"/>
  </r>
  <r>
    <s v="CHG-260"/>
    <s v="ENC-260"/>
    <x v="3"/>
    <n v="415.4"/>
    <s v="Office visit, new patient, 30 min"/>
  </r>
  <r>
    <s v="CHG-393"/>
    <s v="ENC-393"/>
    <x v="1"/>
    <n v="415.32"/>
    <s v="Complete blood count (CBC)"/>
  </r>
  <r>
    <s v="CHG-330"/>
    <s v="ENC-330"/>
    <x v="3"/>
    <n v="414.08"/>
    <s v="Office visit, new patient, 30 min"/>
  </r>
  <r>
    <s v="CHG-249"/>
    <s v="ENC-249"/>
    <x v="0"/>
    <n v="413.65"/>
    <s v="Comprehensive metabolic panel"/>
  </r>
  <r>
    <s v="CHG-432"/>
    <s v="ENC-432"/>
    <x v="2"/>
    <n v="413.65"/>
    <s v="Office visit, established patient, 15 min"/>
  </r>
  <r>
    <s v="CHG-182"/>
    <s v="ENC-182"/>
    <x v="2"/>
    <n v="413.44"/>
    <s v="Office visit, established patient, 15 min"/>
  </r>
  <r>
    <s v="CHG-452"/>
    <s v="ENC-452"/>
    <x v="1"/>
    <n v="412.59"/>
    <s v="Complete blood count (CBC)"/>
  </r>
  <r>
    <s v="CHG-483"/>
    <s v="ENC-483"/>
    <x v="2"/>
    <n v="411.84"/>
    <s v="Office visit, established patient, 15 min"/>
  </r>
  <r>
    <s v="CHG-486"/>
    <s v="ENC-486"/>
    <x v="2"/>
    <n v="408.5"/>
    <s v="Office visit, established patient, 15 min"/>
  </r>
  <r>
    <s v="CHG-342"/>
    <s v="ENC-342"/>
    <x v="1"/>
    <n v="407.89"/>
    <s v="Complete blood count (CBC)"/>
  </r>
  <r>
    <s v="CHG-110"/>
    <s v="ENC-110"/>
    <x v="1"/>
    <n v="406.65"/>
    <s v="Complete blood count (CBC)"/>
  </r>
  <r>
    <s v="CHG-70"/>
    <s v="ENC-70"/>
    <x v="3"/>
    <n v="404.03"/>
    <s v="Office visit, new patient, 30 min"/>
  </r>
  <r>
    <s v="CHG-285"/>
    <s v="ENC-285"/>
    <x v="0"/>
    <n v="403.82"/>
    <s v="Comprehensive metabolic panel"/>
  </r>
  <r>
    <s v="CHG-197"/>
    <s v="ENC-197"/>
    <x v="1"/>
    <n v="403.58"/>
    <s v="Complete blood count (CBC)"/>
  </r>
  <r>
    <s v="CHG-337"/>
    <s v="ENC-337"/>
    <x v="1"/>
    <n v="403.15"/>
    <s v="Complete blood count (CBC)"/>
  </r>
  <r>
    <s v="CHG-332"/>
    <s v="ENC-332"/>
    <x v="1"/>
    <n v="402.02"/>
    <s v="Complete blood count (CBC)"/>
  </r>
  <r>
    <s v="CHG-90"/>
    <s v="ENC-90"/>
    <x v="3"/>
    <n v="401.64"/>
    <s v="Office visit, new patient, 30 min"/>
  </r>
  <r>
    <s v="CHG-125"/>
    <s v="ENC-125"/>
    <x v="2"/>
    <n v="400.19"/>
    <s v="Office visit, established patient, 15 min"/>
  </r>
  <r>
    <s v="CHG-455"/>
    <s v="ENC-455"/>
    <x v="3"/>
    <n v="400.09"/>
    <s v="Office visit, new patient, 30 min"/>
  </r>
  <r>
    <s v="CHG-2"/>
    <s v="ENC-2"/>
    <x v="0"/>
    <n v="399.89"/>
    <s v="Comprehensive metabolic panel"/>
  </r>
  <r>
    <s v="CHG-79"/>
    <s v="ENC-79"/>
    <x v="0"/>
    <n v="398.42"/>
    <s v="Comprehensive metabolic panel"/>
  </r>
  <r>
    <s v="CHG-409"/>
    <s v="ENC-409"/>
    <x v="2"/>
    <n v="398.21"/>
    <s v="Office visit, established patient, 15 min"/>
  </r>
  <r>
    <s v="CHG-468"/>
    <s v="ENC-468"/>
    <x v="0"/>
    <n v="397.6"/>
    <s v="Comprehensive metabolic panel"/>
  </r>
  <r>
    <s v="CHG-473"/>
    <s v="ENC-473"/>
    <x v="0"/>
    <n v="397.05"/>
    <s v="Comprehensive metabolic panel"/>
  </r>
  <r>
    <s v="CHG-463"/>
    <s v="ENC-463"/>
    <x v="1"/>
    <n v="395.07"/>
    <s v="Complete blood count (CBC)"/>
  </r>
  <r>
    <s v="CHG-256"/>
    <s v="ENC-256"/>
    <x v="2"/>
    <n v="395.03"/>
    <s v="Office visit, established patient, 15 min"/>
  </r>
  <r>
    <s v="CHG-10"/>
    <s v="ENC-10"/>
    <x v="0"/>
    <n v="393.93"/>
    <s v="Comprehensive metabolic panel"/>
  </r>
  <r>
    <s v="CHG-350"/>
    <s v="ENC-350"/>
    <x v="1"/>
    <n v="393.57"/>
    <s v="Complete blood count (CBC)"/>
  </r>
  <r>
    <s v="CHG-50"/>
    <s v="ENC-50"/>
    <x v="2"/>
    <n v="392.93"/>
    <s v="Office visit, established patient, 15 min"/>
  </r>
  <r>
    <s v="CHG-80"/>
    <s v="ENC-80"/>
    <x v="3"/>
    <n v="391.6"/>
    <s v="Office visit, new patient, 30 min"/>
  </r>
  <r>
    <s v="CHG-322"/>
    <s v="ENC-322"/>
    <x v="0"/>
    <n v="390.66"/>
    <s v="Comprehensive metabolic panel"/>
  </r>
  <r>
    <s v="CHG-407"/>
    <s v="ENC-407"/>
    <x v="1"/>
    <n v="390.59"/>
    <s v="Complete blood count (CBC)"/>
  </r>
  <r>
    <s v="CHG-199"/>
    <s v="ENC-199"/>
    <x v="1"/>
    <n v="385.25"/>
    <s v="Complete blood count (CBC)"/>
  </r>
  <r>
    <s v="CHG-239"/>
    <s v="ENC-239"/>
    <x v="1"/>
    <n v="384.55"/>
    <s v="Complete blood count (CBC)"/>
  </r>
  <r>
    <s v="CHG-161"/>
    <s v="ENC-161"/>
    <x v="0"/>
    <n v="384.34"/>
    <s v="Comprehensive metabolic panel"/>
  </r>
  <r>
    <s v="CHG-333"/>
    <s v="ENC-333"/>
    <x v="3"/>
    <n v="383.42"/>
    <s v="Office visit, new patient, 30 min"/>
  </r>
  <r>
    <s v="CHG-106"/>
    <s v="ENC-106"/>
    <x v="1"/>
    <n v="381.83"/>
    <s v="Complete blood count (CBC)"/>
  </r>
  <r>
    <s v="CHG-499"/>
    <s v="ENC-499"/>
    <x v="3"/>
    <n v="381.74"/>
    <s v="Office visit, new patient, 30 min"/>
  </r>
  <r>
    <s v="CHG-263"/>
    <s v="ENC-263"/>
    <x v="3"/>
    <n v="380.64"/>
    <s v="Office visit, new patient, 30 min"/>
  </r>
  <r>
    <s v="CHG-277"/>
    <s v="ENC-277"/>
    <x v="3"/>
    <n v="380.2"/>
    <s v="Office visit, new patient, 30 min"/>
  </r>
  <r>
    <s v="CHG-390"/>
    <s v="ENC-390"/>
    <x v="2"/>
    <n v="379.87"/>
    <s v="Office visit, established patient, 15 min"/>
  </r>
  <r>
    <s v="CHG-152"/>
    <s v="ENC-152"/>
    <x v="2"/>
    <n v="379.68"/>
    <s v="Office visit, established patient, 15 min"/>
  </r>
  <r>
    <s v="CHG-48"/>
    <s v="ENC-48"/>
    <x v="0"/>
    <n v="378.64"/>
    <s v="Comprehensive metabolic panel"/>
  </r>
  <r>
    <s v="CHG-204"/>
    <s v="ENC-204"/>
    <x v="3"/>
    <n v="377.73"/>
    <s v="Office visit, new patient, 30 min"/>
  </r>
  <r>
    <s v="CHG-117"/>
    <s v="ENC-117"/>
    <x v="2"/>
    <n v="377.69"/>
    <s v="Office visit, established patient, 15 min"/>
  </r>
  <r>
    <s v="CHG-369"/>
    <s v="ENC-369"/>
    <x v="1"/>
    <n v="377.65"/>
    <s v="Complete blood count (CBC)"/>
  </r>
  <r>
    <s v="CHG-75"/>
    <s v="ENC-75"/>
    <x v="2"/>
    <n v="377.51"/>
    <s v="Office visit, established patient, 15 min"/>
  </r>
  <r>
    <s v="CHG-111"/>
    <s v="ENC-111"/>
    <x v="0"/>
    <n v="376.57"/>
    <s v="Comprehensive metabolic panel"/>
  </r>
  <r>
    <s v="CHG-107"/>
    <s v="ENC-107"/>
    <x v="1"/>
    <n v="374.53"/>
    <s v="Complete blood count (CBC)"/>
  </r>
  <r>
    <s v="CHG-353"/>
    <s v="ENC-353"/>
    <x v="1"/>
    <n v="373.8"/>
    <s v="Complete blood count (CBC)"/>
  </r>
  <r>
    <s v="CHG-216"/>
    <s v="ENC-216"/>
    <x v="1"/>
    <n v="373.48"/>
    <s v="Complete blood count (CBC)"/>
  </r>
  <r>
    <s v="CHG-8"/>
    <s v="ENC-8"/>
    <x v="0"/>
    <n v="373.43"/>
    <s v="Comprehensive metabolic panel"/>
  </r>
  <r>
    <s v="CHG-19"/>
    <s v="ENC-19"/>
    <x v="1"/>
    <n v="372.55"/>
    <s v="Complete blood count (CBC)"/>
  </r>
  <r>
    <s v="CHG-162"/>
    <s v="ENC-162"/>
    <x v="1"/>
    <n v="371.52"/>
    <s v="Complete blood count (CBC)"/>
  </r>
  <r>
    <s v="CHG-5"/>
    <s v="ENC-5"/>
    <x v="1"/>
    <n v="371.08"/>
    <s v="Complete blood count (CBC)"/>
  </r>
  <r>
    <s v="CHG-361"/>
    <s v="ENC-361"/>
    <x v="1"/>
    <n v="370.78"/>
    <s v="Complete blood count (CBC)"/>
  </r>
  <r>
    <s v="CHG-315"/>
    <s v="ENC-315"/>
    <x v="0"/>
    <n v="370.43"/>
    <s v="Comprehensive metabolic panel"/>
  </r>
  <r>
    <s v="CHG-74"/>
    <s v="ENC-74"/>
    <x v="0"/>
    <n v="370.31"/>
    <s v="Comprehensive metabolic panel"/>
  </r>
  <r>
    <s v="CHG-12"/>
    <s v="ENC-12"/>
    <x v="0"/>
    <n v="369.59"/>
    <s v="Comprehensive metabolic panel"/>
  </r>
  <r>
    <s v="CHG-410"/>
    <s v="ENC-410"/>
    <x v="2"/>
    <n v="368.55"/>
    <s v="Office visit, established patient, 15 min"/>
  </r>
  <r>
    <s v="CHG-445"/>
    <s v="ENC-445"/>
    <x v="1"/>
    <n v="366"/>
    <s v="Complete blood count (CBC)"/>
  </r>
  <r>
    <s v="CHG-309"/>
    <s v="ENC-309"/>
    <x v="0"/>
    <n v="365.27"/>
    <s v="Comprehensive metabolic panel"/>
  </r>
  <r>
    <s v="CHG-179"/>
    <s v="ENC-179"/>
    <x v="2"/>
    <n v="363.64"/>
    <s v="Office visit, established patient, 15 min"/>
  </r>
  <r>
    <s v="CHG-158"/>
    <s v="ENC-158"/>
    <x v="1"/>
    <n v="363.31"/>
    <s v="Complete blood count (CBC)"/>
  </r>
  <r>
    <s v="CHG-305"/>
    <s v="ENC-305"/>
    <x v="2"/>
    <n v="362.93"/>
    <s v="Office visit, established patient, 15 min"/>
  </r>
  <r>
    <s v="CHG-92"/>
    <s v="ENC-92"/>
    <x v="3"/>
    <n v="361.7"/>
    <s v="Office visit, new patient, 30 min"/>
  </r>
  <r>
    <s v="CHG-444"/>
    <s v="ENC-444"/>
    <x v="0"/>
    <n v="361.7"/>
    <s v="Comprehensive metabolic panel"/>
  </r>
  <r>
    <s v="CHG-287"/>
    <s v="ENC-287"/>
    <x v="0"/>
    <n v="358.43"/>
    <s v="Comprehensive metabolic panel"/>
  </r>
  <r>
    <s v="CHG-13"/>
    <s v="ENC-13"/>
    <x v="2"/>
    <n v="358.17"/>
    <s v="Office visit, established patient, 15 min"/>
  </r>
  <r>
    <s v="CHG-101"/>
    <s v="ENC-101"/>
    <x v="0"/>
    <n v="357.47"/>
    <s v="Comprehensive metabolic panel"/>
  </r>
  <r>
    <s v="CHG-225"/>
    <s v="ENC-225"/>
    <x v="2"/>
    <n v="357.07"/>
    <s v="Office visit, established patient, 15 min"/>
  </r>
  <r>
    <s v="CHG-394"/>
    <s v="ENC-394"/>
    <x v="1"/>
    <n v="356.63"/>
    <s v="Complete blood count (CBC)"/>
  </r>
  <r>
    <s v="CHG-53"/>
    <s v="ENC-53"/>
    <x v="2"/>
    <n v="355.74"/>
    <s v="Office visit, established patient, 15 min"/>
  </r>
  <r>
    <s v="CHG-446"/>
    <s v="ENC-446"/>
    <x v="3"/>
    <n v="355.54"/>
    <s v="Office visit, new patient, 30 min"/>
  </r>
  <r>
    <s v="CHG-112"/>
    <s v="ENC-112"/>
    <x v="1"/>
    <n v="355.09"/>
    <s v="Complete blood count (CBC)"/>
  </r>
  <r>
    <s v="CHG-99"/>
    <s v="ENC-99"/>
    <x v="2"/>
    <n v="354.13"/>
    <s v="Office visit, established patient, 15 min"/>
  </r>
  <r>
    <s v="CHG-282"/>
    <s v="ENC-282"/>
    <x v="0"/>
    <n v="353.27"/>
    <s v="Comprehensive metabolic panel"/>
  </r>
  <r>
    <s v="CHG-314"/>
    <s v="ENC-314"/>
    <x v="2"/>
    <n v="353.21"/>
    <s v="Office visit, established patient, 15 min"/>
  </r>
  <r>
    <s v="CHG-441"/>
    <s v="ENC-441"/>
    <x v="3"/>
    <n v="353.04"/>
    <s v="Office visit, new patient, 30 min"/>
  </r>
  <r>
    <s v="CHG-82"/>
    <s v="ENC-82"/>
    <x v="1"/>
    <n v="352.7"/>
    <s v="Complete blood count (CBC)"/>
  </r>
  <r>
    <s v="CHG-278"/>
    <s v="ENC-278"/>
    <x v="0"/>
    <n v="349.57"/>
    <s v="Comprehensive metabolic panel"/>
  </r>
  <r>
    <s v="CHG-368"/>
    <s v="ENC-368"/>
    <x v="0"/>
    <n v="349.21"/>
    <s v="Comprehensive metabolic panel"/>
  </r>
  <r>
    <s v="CHG-362"/>
    <s v="ENC-362"/>
    <x v="1"/>
    <n v="348.71"/>
    <s v="Complete blood count (CBC)"/>
  </r>
  <r>
    <s v="CHG-351"/>
    <s v="ENC-351"/>
    <x v="0"/>
    <n v="348.31"/>
    <s v="Comprehensive metabolic panel"/>
  </r>
  <r>
    <s v="CHG-386"/>
    <s v="ENC-386"/>
    <x v="3"/>
    <n v="347.73"/>
    <s v="Office visit, new patient, 30 min"/>
  </r>
  <r>
    <s v="CHG-229"/>
    <s v="ENC-229"/>
    <x v="2"/>
    <n v="347.05"/>
    <s v="Office visit, established patient, 15 min"/>
  </r>
  <r>
    <s v="CHG-63"/>
    <s v="ENC-63"/>
    <x v="0"/>
    <n v="345.47"/>
    <s v="Comprehensive metabolic panel"/>
  </r>
  <r>
    <s v="CHG-373"/>
    <s v="ENC-373"/>
    <x v="1"/>
    <n v="344.81"/>
    <s v="Complete blood count (CBC)"/>
  </r>
  <r>
    <s v="CHG-271"/>
    <s v="ENC-271"/>
    <x v="1"/>
    <n v="343.26"/>
    <s v="Complete blood count (CBC)"/>
  </r>
  <r>
    <s v="CHG-286"/>
    <s v="ENC-286"/>
    <x v="3"/>
    <n v="341.44"/>
    <s v="Office visit, new patient, 30 min"/>
  </r>
  <r>
    <s v="CHG-206"/>
    <s v="ENC-206"/>
    <x v="1"/>
    <n v="340.44"/>
    <s v="Complete blood count (CBC)"/>
  </r>
  <r>
    <s v="CHG-405"/>
    <s v="ENC-405"/>
    <x v="0"/>
    <n v="339.84"/>
    <s v="Comprehensive metabolic panel"/>
  </r>
  <r>
    <s v="CHG-396"/>
    <s v="ENC-396"/>
    <x v="2"/>
    <n v="338.51"/>
    <s v="Office visit, established patient, 15 min"/>
  </r>
  <r>
    <s v="CHG-62"/>
    <s v="ENC-62"/>
    <x v="2"/>
    <n v="335.9"/>
    <s v="Office visit, established patient, 15 min"/>
  </r>
  <r>
    <s v="CHG-474"/>
    <s v="ENC-474"/>
    <x v="1"/>
    <n v="335.79"/>
    <s v="Complete blood count (CBC)"/>
  </r>
  <r>
    <s v="CHG-38"/>
    <s v="ENC-38"/>
    <x v="1"/>
    <n v="333.23"/>
    <s v="Complete blood count (CBC)"/>
  </r>
  <r>
    <s v="CHG-87"/>
    <s v="ENC-87"/>
    <x v="2"/>
    <n v="332.98"/>
    <s v="Office visit, established patient, 15 min"/>
  </r>
  <r>
    <s v="CHG-42"/>
    <s v="ENC-42"/>
    <x v="2"/>
    <n v="332.14"/>
    <s v="Office visit, established patient, 15 min"/>
  </r>
  <r>
    <s v="CHG-228"/>
    <s v="ENC-228"/>
    <x v="3"/>
    <n v="331.61"/>
    <s v="Office visit, new patient, 30 min"/>
  </r>
  <r>
    <s v="CHG-89"/>
    <s v="ENC-89"/>
    <x v="0"/>
    <n v="330.42"/>
    <s v="Comprehensive metabolic panel"/>
  </r>
  <r>
    <s v="CHG-251"/>
    <s v="ENC-251"/>
    <x v="3"/>
    <n v="329.68"/>
    <s v="Office visit, new patient, 30 min"/>
  </r>
  <r>
    <s v="CHG-328"/>
    <s v="ENC-328"/>
    <x v="0"/>
    <n v="329.38"/>
    <s v="Comprehensive metabolic panel"/>
  </r>
  <r>
    <s v="CHG-11"/>
    <s v="ENC-11"/>
    <x v="1"/>
    <n v="329.15"/>
    <s v="Complete blood count (CBC)"/>
  </r>
  <r>
    <s v="CHG-269"/>
    <s v="ENC-269"/>
    <x v="1"/>
    <n v="327.36"/>
    <s v="Complete blood count (CBC)"/>
  </r>
  <r>
    <s v="CHG-233"/>
    <s v="ENC-233"/>
    <x v="0"/>
    <n v="327.12"/>
    <s v="Comprehensive metabolic panel"/>
  </r>
  <r>
    <s v="CHG-59"/>
    <s v="ENC-59"/>
    <x v="0"/>
    <n v="325.73"/>
    <s v="Comprehensive metabolic panel"/>
  </r>
  <r>
    <s v="CHG-56"/>
    <s v="ENC-56"/>
    <x v="3"/>
    <n v="324.88"/>
    <s v="Office visit, new patient, 30 min"/>
  </r>
  <r>
    <s v="CHG-392"/>
    <s v="ENC-392"/>
    <x v="1"/>
    <n v="324.35000000000002"/>
    <s v="Complete blood count (CBC)"/>
  </r>
  <r>
    <s v="CHG-37"/>
    <s v="ENC-37"/>
    <x v="2"/>
    <n v="322.3"/>
    <s v="Office visit, established patient, 15 min"/>
  </r>
  <r>
    <s v="CHG-220"/>
    <s v="ENC-220"/>
    <x v="2"/>
    <n v="321.63"/>
    <s v="Office visit, established patient, 15 min"/>
  </r>
  <r>
    <s v="CHG-478"/>
    <s v="ENC-478"/>
    <x v="2"/>
    <n v="321.56"/>
    <s v="Office visit, established patient, 15 min"/>
  </r>
  <r>
    <s v="CHG-43"/>
    <s v="ENC-43"/>
    <x v="0"/>
    <n v="321.48"/>
    <s v="Comprehensive metabolic panel"/>
  </r>
  <r>
    <s v="CHG-335"/>
    <s v="ENC-335"/>
    <x v="0"/>
    <n v="318.52999999999997"/>
    <s v="Comprehensive metabolic panel"/>
  </r>
  <r>
    <s v="CHG-417"/>
    <s v="ENC-417"/>
    <x v="1"/>
    <n v="317.77"/>
    <s v="Complete blood count (CBC)"/>
  </r>
  <r>
    <s v="CHG-94"/>
    <s v="ENC-94"/>
    <x v="3"/>
    <n v="317.26"/>
    <s v="Office visit, new patient, 30 min"/>
  </r>
  <r>
    <s v="CHG-290"/>
    <s v="ENC-290"/>
    <x v="1"/>
    <n v="315.05"/>
    <s v="Complete blood count (CBC)"/>
  </r>
  <r>
    <s v="CHG-231"/>
    <s v="ENC-231"/>
    <x v="2"/>
    <n v="314.98"/>
    <s v="Office visit, established patient, 15 min"/>
  </r>
  <r>
    <s v="CHG-453"/>
    <s v="ENC-453"/>
    <x v="3"/>
    <n v="313.98"/>
    <s v="Office visit, new patient, 30 min"/>
  </r>
  <r>
    <s v="CHG-100"/>
    <s v="ENC-100"/>
    <x v="2"/>
    <n v="313.73"/>
    <s v="Office visit, established patient, 15 min"/>
  </r>
  <r>
    <s v="CHG-141"/>
    <s v="ENC-141"/>
    <x v="2"/>
    <n v="313.56"/>
    <s v="Office visit, established patient, 15 min"/>
  </r>
  <r>
    <s v="CHG-14"/>
    <s v="ENC-14"/>
    <x v="2"/>
    <n v="313.20999999999998"/>
    <s v="Office visit, established patient, 15 min"/>
  </r>
  <r>
    <s v="CHG-65"/>
    <s v="ENC-65"/>
    <x v="3"/>
    <n v="311.92"/>
    <s v="Office visit, new patient, 30 min"/>
  </r>
  <r>
    <s v="CHG-25"/>
    <s v="ENC-25"/>
    <x v="2"/>
    <n v="311.63"/>
    <s v="Office visit, established patient, 15 min"/>
  </r>
  <r>
    <s v="CHG-45"/>
    <s v="ENC-45"/>
    <x v="2"/>
    <n v="308.77999999999997"/>
    <s v="Office visit, established patient, 15 min"/>
  </r>
  <r>
    <s v="CHG-252"/>
    <s v="ENC-252"/>
    <x v="1"/>
    <n v="306.89999999999998"/>
    <s v="Complete blood count (CBC)"/>
  </r>
  <r>
    <s v="CHG-93"/>
    <s v="ENC-93"/>
    <x v="3"/>
    <n v="305.95999999999998"/>
    <s v="Office visit, new patient, 30 min"/>
  </r>
  <r>
    <s v="CHG-120"/>
    <s v="ENC-120"/>
    <x v="1"/>
    <n v="305.12"/>
    <s v="Complete blood count (CBC)"/>
  </r>
  <r>
    <s v="CHG-18"/>
    <s v="ENC-18"/>
    <x v="1"/>
    <n v="304.94"/>
    <s v="Complete blood count (CBC)"/>
  </r>
  <r>
    <s v="CHG-425"/>
    <s v="ENC-425"/>
    <x v="0"/>
    <n v="304.44"/>
    <s v="Comprehensive metabolic panel"/>
  </r>
  <r>
    <s v="CHG-223"/>
    <s v="ENC-223"/>
    <x v="1"/>
    <n v="304.01"/>
    <s v="Complete blood count (CBC)"/>
  </r>
  <r>
    <s v="CHG-491"/>
    <s v="ENC-491"/>
    <x v="3"/>
    <n v="301.79000000000002"/>
    <s v="Office visit, new patient, 30 min"/>
  </r>
  <r>
    <s v="CHG-482"/>
    <s v="ENC-482"/>
    <x v="3"/>
    <n v="301.05"/>
    <s v="Office visit, new patient, 30 min"/>
  </r>
  <r>
    <s v="CHG-479"/>
    <s v="ENC-479"/>
    <x v="0"/>
    <n v="299.76"/>
    <s v="Comprehensive metabolic panel"/>
  </r>
  <r>
    <s v="CHG-355"/>
    <s v="ENC-355"/>
    <x v="0"/>
    <n v="299.38"/>
    <s v="Comprehensive metabolic panel"/>
  </r>
  <r>
    <s v="CHG-52"/>
    <s v="ENC-52"/>
    <x v="0"/>
    <n v="299.19"/>
    <s v="Comprehensive metabolic panel"/>
  </r>
  <r>
    <s v="CHG-312"/>
    <s v="ENC-312"/>
    <x v="0"/>
    <n v="298.81"/>
    <s v="Comprehensive metabolic panel"/>
  </r>
  <r>
    <s v="CHG-261"/>
    <s v="ENC-261"/>
    <x v="1"/>
    <n v="298.52"/>
    <s v="Complete blood count (CBC)"/>
  </r>
  <r>
    <s v="CHG-429"/>
    <s v="ENC-429"/>
    <x v="3"/>
    <n v="297.69"/>
    <s v="Office visit, new patient, 30 min"/>
  </r>
  <r>
    <s v="CHG-306"/>
    <s v="ENC-306"/>
    <x v="3"/>
    <n v="293.10000000000002"/>
    <s v="Office visit, new patient, 30 min"/>
  </r>
  <r>
    <s v="CHG-421"/>
    <s v="ENC-421"/>
    <x v="2"/>
    <n v="292.44"/>
    <s v="Office visit, established patient, 15 min"/>
  </r>
  <r>
    <s v="CHG-81"/>
    <s v="ENC-81"/>
    <x v="3"/>
    <n v="290.81"/>
    <s v="Office visit, new patient, 30 min"/>
  </r>
  <r>
    <s v="CHG-188"/>
    <s v="ENC-188"/>
    <x v="1"/>
    <n v="289.74"/>
    <s v="Complete blood count (CBC)"/>
  </r>
  <r>
    <s v="CHG-126"/>
    <s v="ENC-126"/>
    <x v="3"/>
    <n v="288.77999999999997"/>
    <s v="Office visit, new patient, 30 min"/>
  </r>
  <r>
    <s v="CHG-443"/>
    <s v="ENC-443"/>
    <x v="0"/>
    <n v="287.5"/>
    <s v="Comprehensive metabolic panel"/>
  </r>
  <r>
    <s v="CHG-456"/>
    <s v="ENC-456"/>
    <x v="2"/>
    <n v="287.37"/>
    <s v="Office visit, established patient, 15 min"/>
  </r>
  <r>
    <s v="CHG-238"/>
    <s v="ENC-238"/>
    <x v="0"/>
    <n v="286.76"/>
    <s v="Comprehensive metabolic panel"/>
  </r>
  <r>
    <s v="CHG-148"/>
    <s v="ENC-148"/>
    <x v="0"/>
    <n v="286.74"/>
    <s v="Comprehensive metabolic panel"/>
  </r>
  <r>
    <s v="CHG-175"/>
    <s v="ENC-175"/>
    <x v="1"/>
    <n v="286.08"/>
    <s v="Complete blood count (CBC)"/>
  </r>
  <r>
    <s v="CHG-247"/>
    <s v="ENC-247"/>
    <x v="0"/>
    <n v="284.2"/>
    <s v="Comprehensive metabolic panel"/>
  </r>
  <r>
    <s v="CHG-496"/>
    <s v="ENC-496"/>
    <x v="3"/>
    <n v="282.16000000000003"/>
    <s v="Office visit, new patient, 30 min"/>
  </r>
  <r>
    <s v="CHG-460"/>
    <s v="ENC-460"/>
    <x v="0"/>
    <n v="281.73"/>
    <s v="Comprehensive metabolic panel"/>
  </r>
  <r>
    <s v="CHG-29"/>
    <s v="ENC-29"/>
    <x v="0"/>
    <n v="281.69"/>
    <s v="Comprehensive metabolic panel"/>
  </r>
  <r>
    <s v="CHG-41"/>
    <s v="ENC-41"/>
    <x v="0"/>
    <n v="281.61"/>
    <s v="Comprehensive metabolic panel"/>
  </r>
  <r>
    <s v="CHG-232"/>
    <s v="ENC-232"/>
    <x v="3"/>
    <n v="281.08999999999997"/>
    <s v="Office visit, new patient, 30 min"/>
  </r>
  <r>
    <s v="CHG-159"/>
    <s v="ENC-159"/>
    <x v="3"/>
    <n v="276.64"/>
    <s v="Office visit, new patient, 30 min"/>
  </r>
  <r>
    <s v="CHG-131"/>
    <s v="ENC-131"/>
    <x v="2"/>
    <n v="275.52999999999997"/>
    <s v="Office visit, established patient, 15 min"/>
  </r>
  <r>
    <s v="CHG-430"/>
    <s v="ENC-430"/>
    <x v="0"/>
    <n v="274.72000000000003"/>
    <s v="Comprehensive metabolic panel"/>
  </r>
  <r>
    <s v="CHG-300"/>
    <s v="ENC-300"/>
    <x v="2"/>
    <n v="274.70999999999998"/>
    <s v="Office visit, established patient, 15 min"/>
  </r>
  <r>
    <s v="CHG-7"/>
    <s v="ENC-7"/>
    <x v="2"/>
    <n v="274.35000000000002"/>
    <s v="Office visit, established patient, 15 min"/>
  </r>
  <r>
    <s v="CHG-84"/>
    <s v="ENC-84"/>
    <x v="0"/>
    <n v="274.26"/>
    <s v="Comprehensive metabolic panel"/>
  </r>
  <r>
    <s v="CHG-440"/>
    <s v="ENC-440"/>
    <x v="3"/>
    <n v="273.55"/>
    <s v="Office visit, new patient, 30 min"/>
  </r>
  <r>
    <s v="CHG-240"/>
    <s v="ENC-240"/>
    <x v="2"/>
    <n v="273.08"/>
    <s v="Office visit, established patient, 15 min"/>
  </r>
  <r>
    <s v="CHG-157"/>
    <s v="ENC-157"/>
    <x v="2"/>
    <n v="272.93"/>
    <s v="Office visit, established patient, 15 min"/>
  </r>
  <r>
    <s v="CHG-40"/>
    <s v="ENC-40"/>
    <x v="3"/>
    <n v="270.82"/>
    <s v="Office visit, new patient, 30 min"/>
  </r>
  <r>
    <s v="CHG-119"/>
    <s v="ENC-119"/>
    <x v="3"/>
    <n v="270.67"/>
    <s v="Office visit, new patient, 30 min"/>
  </r>
  <r>
    <s v="CHG-490"/>
    <s v="ENC-490"/>
    <x v="1"/>
    <n v="269.87"/>
    <s v="Complete blood count (CBC)"/>
  </r>
  <r>
    <s v="CHG-466"/>
    <s v="ENC-466"/>
    <x v="0"/>
    <n v="269.31"/>
    <s v="Comprehensive metabolic panel"/>
  </r>
  <r>
    <s v="CHG-268"/>
    <s v="ENC-268"/>
    <x v="2"/>
    <n v="267.85000000000002"/>
    <s v="Office visit, established patient, 15 min"/>
  </r>
  <r>
    <s v="CHG-15"/>
    <s v="ENC-15"/>
    <x v="3"/>
    <n v="267.22000000000003"/>
    <s v="Office visit, new patient, 30 min"/>
  </r>
  <r>
    <s v="CHG-295"/>
    <s v="ENC-295"/>
    <x v="2"/>
    <n v="267"/>
    <s v="Office visit, established patient, 15 min"/>
  </r>
  <r>
    <s v="CHG-224"/>
    <s v="ENC-224"/>
    <x v="1"/>
    <n v="265.76"/>
    <s v="Complete blood count (CBC)"/>
  </r>
  <r>
    <s v="CHG-230"/>
    <s v="ENC-230"/>
    <x v="1"/>
    <n v="264.42"/>
    <s v="Complete blood count (CBC)"/>
  </r>
  <r>
    <s v="CHG-202"/>
    <s v="ENC-202"/>
    <x v="2"/>
    <n v="263.32"/>
    <s v="Office visit, established patient, 15 min"/>
  </r>
  <r>
    <s v="CHG-69"/>
    <s v="ENC-69"/>
    <x v="1"/>
    <n v="262.35000000000002"/>
    <s v="Complete blood count (CBC)"/>
  </r>
  <r>
    <s v="CHG-462"/>
    <s v="ENC-462"/>
    <x v="1"/>
    <n v="258.99"/>
    <s v="Complete blood count (CBC)"/>
  </r>
  <r>
    <s v="CHG-124"/>
    <s v="ENC-124"/>
    <x v="3"/>
    <n v="258.12"/>
    <s v="Office visit, new patient, 30 min"/>
  </r>
  <r>
    <s v="CHG-236"/>
    <s v="ENC-236"/>
    <x v="3"/>
    <n v="258"/>
    <s v="Office visit, new patient, 30 min"/>
  </r>
  <r>
    <s v="CHG-250"/>
    <s v="ENC-250"/>
    <x v="1"/>
    <n v="256.58999999999997"/>
    <s v="Complete blood count (CBC)"/>
  </r>
  <r>
    <s v="CHG-85"/>
    <s v="ENC-85"/>
    <x v="2"/>
    <n v="255.45"/>
    <s v="Office visit, established patient, 15 min"/>
  </r>
  <r>
    <s v="CHG-434"/>
    <s v="ENC-434"/>
    <x v="2"/>
    <n v="255.3"/>
    <s v="Office visit, established patient, 15 min"/>
  </r>
  <r>
    <s v="CHG-354"/>
    <s v="ENC-354"/>
    <x v="1"/>
    <n v="254.71"/>
    <s v="Complete blood count (CBC)"/>
  </r>
  <r>
    <s v="CHG-273"/>
    <s v="ENC-273"/>
    <x v="1"/>
    <n v="254.45"/>
    <s v="Complete blood count (CBC)"/>
  </r>
  <r>
    <s v="CHG-72"/>
    <s v="ENC-72"/>
    <x v="2"/>
    <n v="253.39"/>
    <s v="Office visit, established patient, 15 min"/>
  </r>
  <r>
    <s v="CHG-439"/>
    <s v="ENC-439"/>
    <x v="1"/>
    <n v="253.12"/>
    <s v="Complete blood count (CBC)"/>
  </r>
  <r>
    <s v="CHG-68"/>
    <s v="ENC-68"/>
    <x v="2"/>
    <n v="252.88"/>
    <s v="Office visit, established patient, 15 min"/>
  </r>
  <r>
    <s v="CHG-189"/>
    <s v="ENC-189"/>
    <x v="0"/>
    <n v="252.69"/>
    <s v="Comprehensive metabolic panel"/>
  </r>
  <r>
    <s v="CHG-134"/>
    <s v="ENC-134"/>
    <x v="1"/>
    <n v="252.02"/>
    <s v="Complete blood count (CBC)"/>
  </r>
  <r>
    <s v="CHG-341"/>
    <s v="ENC-341"/>
    <x v="0"/>
    <n v="250.82"/>
    <s v="Comprehensive metabolic panel"/>
  </r>
  <r>
    <s v="CHG-320"/>
    <s v="ENC-320"/>
    <x v="0"/>
    <n v="250.64"/>
    <s v="Comprehensive metabolic panel"/>
  </r>
  <r>
    <s v="CHG-22"/>
    <s v="ENC-22"/>
    <x v="0"/>
    <n v="250.18"/>
    <s v="Comprehensive metabolic panel"/>
  </r>
  <r>
    <s v="CHG-356"/>
    <s v="ENC-356"/>
    <x v="2"/>
    <n v="247.74"/>
    <s v="Office visit, established patient, 15 min"/>
  </r>
  <r>
    <s v="CHG-83"/>
    <s v="ENC-83"/>
    <x v="0"/>
    <n v="245.88"/>
    <s v="Comprehensive metabolic panel"/>
  </r>
  <r>
    <s v="CHG-36"/>
    <s v="ENC-36"/>
    <x v="0"/>
    <n v="243.9"/>
    <s v="Comprehensive metabolic panel"/>
  </r>
  <r>
    <s v="CHG-487"/>
    <s v="ENC-487"/>
    <x v="1"/>
    <n v="243.67"/>
    <s v="Complete blood count (CBC)"/>
  </r>
  <r>
    <s v="CHG-201"/>
    <s v="ENC-201"/>
    <x v="2"/>
    <n v="243.56"/>
    <s v="Office visit, established patient, 15 min"/>
  </r>
  <r>
    <s v="CHG-379"/>
    <s v="ENC-379"/>
    <x v="2"/>
    <n v="242.61"/>
    <s v="Office visit, established patient, 15 min"/>
  </r>
  <r>
    <s v="CHG-128"/>
    <s v="ENC-128"/>
    <x v="2"/>
    <n v="241.98"/>
    <s v="Office visit, established patient, 15 min"/>
  </r>
  <r>
    <s v="CHG-408"/>
    <s v="ENC-408"/>
    <x v="0"/>
    <n v="239.94"/>
    <s v="Comprehensive metabolic panel"/>
  </r>
  <r>
    <s v="CHG-28"/>
    <s v="ENC-28"/>
    <x v="2"/>
    <n v="239.88"/>
    <s v="Office visit, established patient, 15 min"/>
  </r>
  <r>
    <s v="CHG-326"/>
    <s v="ENC-326"/>
    <x v="2"/>
    <n v="237.74"/>
    <s v="Office visit, established patient, 15 min"/>
  </r>
  <r>
    <s v="CHG-174"/>
    <s v="ENC-174"/>
    <x v="1"/>
    <n v="237.59"/>
    <s v="Complete blood count (CBC)"/>
  </r>
  <r>
    <s v="CHG-395"/>
    <s v="ENC-395"/>
    <x v="3"/>
    <n v="236.8"/>
    <s v="Office visit, new patient, 30 min"/>
  </r>
  <r>
    <s v="CHG-123"/>
    <s v="ENC-123"/>
    <x v="2"/>
    <n v="236.07"/>
    <s v="Office visit, established patient, 15 min"/>
  </r>
  <r>
    <s v="CHG-470"/>
    <s v="ENC-470"/>
    <x v="3"/>
    <n v="235.09"/>
    <s v="Office visit, new patient, 30 min"/>
  </r>
  <r>
    <s v="CHG-165"/>
    <s v="ENC-165"/>
    <x v="3"/>
    <n v="233.7"/>
    <s v="Office visit, new patient, 30 min"/>
  </r>
  <r>
    <s v="CHG-310"/>
    <s v="ENC-310"/>
    <x v="2"/>
    <n v="233.23"/>
    <s v="Office visit, established patient, 15 min"/>
  </r>
  <r>
    <s v="CHG-397"/>
    <s v="ENC-397"/>
    <x v="1"/>
    <n v="232.62"/>
    <s v="Complete blood count (CBC)"/>
  </r>
  <r>
    <s v="CHG-242"/>
    <s v="ENC-242"/>
    <x v="3"/>
    <n v="230.93"/>
    <s v="Office visit, new patient, 30 min"/>
  </r>
  <r>
    <s v="CHG-121"/>
    <s v="ENC-121"/>
    <x v="2"/>
    <n v="230.89"/>
    <s v="Office visit, established patient, 15 min"/>
  </r>
  <r>
    <s v="CHG-32"/>
    <s v="ENC-32"/>
    <x v="2"/>
    <n v="230.15"/>
    <s v="Office visit, established patient, 15 min"/>
  </r>
  <r>
    <s v="CHG-437"/>
    <s v="ENC-437"/>
    <x v="2"/>
    <n v="229.31"/>
    <s v="Office visit, established patient, 15 min"/>
  </r>
  <r>
    <s v="CHG-139"/>
    <s v="ENC-139"/>
    <x v="2"/>
    <n v="227.59"/>
    <s v="Office visit, established patient, 15 min"/>
  </r>
  <r>
    <s v="CHG-58"/>
    <s v="ENC-58"/>
    <x v="2"/>
    <n v="227.34"/>
    <s v="Office visit, established patient, 15 min"/>
  </r>
  <r>
    <s v="CHG-302"/>
    <s v="ENC-302"/>
    <x v="1"/>
    <n v="227.14"/>
    <s v="Complete blood count (CBC)"/>
  </r>
  <r>
    <s v="CHG-426"/>
    <s v="ENC-426"/>
    <x v="0"/>
    <n v="227.05"/>
    <s v="Comprehensive metabolic panel"/>
  </r>
  <r>
    <s v="CHG-183"/>
    <s v="ENC-183"/>
    <x v="2"/>
    <n v="226.68"/>
    <s v="Office visit, established patient, 15 min"/>
  </r>
  <r>
    <s v="CHG-469"/>
    <s v="ENC-469"/>
    <x v="0"/>
    <n v="226.23"/>
    <s v="Comprehensive metabolic panel"/>
  </r>
  <r>
    <s v="CHG-372"/>
    <s v="ENC-372"/>
    <x v="1"/>
    <n v="225.63"/>
    <s v="Complete blood count (CBC)"/>
  </r>
  <r>
    <s v="CHG-303"/>
    <s v="ENC-303"/>
    <x v="0"/>
    <n v="225"/>
    <s v="Comprehensive metabolic panel"/>
  </r>
  <r>
    <s v="CHG-147"/>
    <s v="ENC-147"/>
    <x v="0"/>
    <n v="224.62"/>
    <s v="Comprehensive metabolic panel"/>
  </r>
  <r>
    <s v="CHG-270"/>
    <s v="ENC-270"/>
    <x v="2"/>
    <n v="223.32"/>
    <s v="Office visit, established patient, 15 min"/>
  </r>
  <r>
    <s v="CHG-360"/>
    <s v="ENC-360"/>
    <x v="0"/>
    <n v="222.92"/>
    <s v="Comprehensive metabolic panel"/>
  </r>
  <r>
    <s v="CHG-23"/>
    <s v="ENC-23"/>
    <x v="2"/>
    <n v="222.27"/>
    <s v="Office visit, established patient, 15 min"/>
  </r>
  <r>
    <s v="CHG-187"/>
    <s v="ENC-187"/>
    <x v="3"/>
    <n v="222.12"/>
    <s v="Office visit, new patient, 30 min"/>
  </r>
  <r>
    <s v="CHG-339"/>
    <s v="ENC-339"/>
    <x v="1"/>
    <n v="221.8"/>
    <s v="Complete blood count (CBC)"/>
  </r>
  <r>
    <s v="CHG-195"/>
    <s v="ENC-195"/>
    <x v="0"/>
    <n v="221.27"/>
    <s v="Comprehensive metabolic panel"/>
  </r>
  <r>
    <s v="CHG-399"/>
    <s v="ENC-399"/>
    <x v="2"/>
    <n v="220.48"/>
    <s v="Office visit, established patient, 15 min"/>
  </r>
  <r>
    <s v="CHG-296"/>
    <s v="ENC-296"/>
    <x v="2"/>
    <n v="219.32"/>
    <s v="Office visit, established patient, 15 min"/>
  </r>
  <r>
    <s v="CHG-367"/>
    <s v="ENC-367"/>
    <x v="1"/>
    <n v="219.06"/>
    <s v="Complete blood count (CBC)"/>
  </r>
  <r>
    <s v="CHG-364"/>
    <s v="ENC-364"/>
    <x v="2"/>
    <n v="213.09"/>
    <s v="Office visit, established patient, 15 min"/>
  </r>
  <r>
    <s v="CHG-458"/>
    <s v="ENC-458"/>
    <x v="1"/>
    <n v="212.89"/>
    <s v="Complete blood count (CBC)"/>
  </r>
  <r>
    <s v="CHG-235"/>
    <s v="ENC-235"/>
    <x v="1"/>
    <n v="210.03"/>
    <s v="Complete blood count (CBC)"/>
  </r>
  <r>
    <s v="CHG-265"/>
    <s v="ENC-265"/>
    <x v="2"/>
    <n v="209.22"/>
    <s v="Office visit, established patient, 15 min"/>
  </r>
  <r>
    <s v="CHG-283"/>
    <s v="ENC-283"/>
    <x v="1"/>
    <n v="208.51"/>
    <s v="Complete blood count (CBC)"/>
  </r>
  <r>
    <s v="CHG-403"/>
    <s v="ENC-403"/>
    <x v="2"/>
    <n v="208.44"/>
    <s v="Office visit, established patient, 15 min"/>
  </r>
  <r>
    <s v="CHG-130"/>
    <s v="ENC-130"/>
    <x v="1"/>
    <n v="206.8"/>
    <s v="Complete blood count (CBC)"/>
  </r>
  <r>
    <s v="CHG-60"/>
    <s v="ENC-60"/>
    <x v="3"/>
    <n v="205.12"/>
    <s v="Office visit, new patient, 30 min"/>
  </r>
  <r>
    <s v="CHG-325"/>
    <s v="ENC-325"/>
    <x v="3"/>
    <n v="204.76"/>
    <s v="Office visit, new patient, 30 min"/>
  </r>
  <r>
    <s v="CHG-420"/>
    <s v="ENC-420"/>
    <x v="2"/>
    <n v="204.42"/>
    <s v="Office visit, established patient, 15 min"/>
  </r>
  <r>
    <s v="CHG-198"/>
    <s v="ENC-198"/>
    <x v="2"/>
    <n v="202.32"/>
    <s v="Office visit, established patient, 15 min"/>
  </r>
  <r>
    <s v="CHG-484"/>
    <s v="ENC-484"/>
    <x v="3"/>
    <n v="201.84"/>
    <s v="Office visit, new patient, 30 min"/>
  </r>
  <r>
    <s v="CHG-374"/>
    <s v="ENC-374"/>
    <x v="1"/>
    <n v="200.49"/>
    <s v="Complete blood count (CBC)"/>
  </r>
  <r>
    <s v="CHG-178"/>
    <s v="ENC-178"/>
    <x v="2"/>
    <n v="199.95"/>
    <s v="Office visit, established patient, 15 min"/>
  </r>
  <r>
    <s v="CHG-172"/>
    <s v="ENC-172"/>
    <x v="1"/>
    <n v="198.77"/>
    <s v="Complete blood count (CBC)"/>
  </r>
  <r>
    <s v="CHG-498"/>
    <s v="ENC-498"/>
    <x v="0"/>
    <n v="198.7"/>
    <s v="Comprehensive metabolic panel"/>
  </r>
  <r>
    <s v="CHG-274"/>
    <s v="ENC-274"/>
    <x v="0"/>
    <n v="197.4"/>
    <s v="Comprehensive metabolic panel"/>
  </r>
  <r>
    <s v="CHG-66"/>
    <s v="ENC-66"/>
    <x v="2"/>
    <n v="197.05"/>
    <s v="Office visit, established patient, 15 min"/>
  </r>
  <r>
    <s v="CHG-244"/>
    <s v="ENC-244"/>
    <x v="3"/>
    <n v="196.39"/>
    <s v="Office visit, new patient, 30 min"/>
  </r>
  <r>
    <s v="CHG-398"/>
    <s v="ENC-398"/>
    <x v="3"/>
    <n v="196.27"/>
    <s v="Office visit, new patient, 30 min"/>
  </r>
  <r>
    <s v="CHG-47"/>
    <s v="ENC-47"/>
    <x v="3"/>
    <n v="196.19"/>
    <s v="Office visit, new patient, 30 min"/>
  </r>
  <r>
    <s v="CHG-488"/>
    <s v="ENC-488"/>
    <x v="3"/>
    <n v="195.4"/>
    <s v="Office visit, new patient, 30 min"/>
  </r>
  <r>
    <s v="CHG-402"/>
    <s v="ENC-402"/>
    <x v="3"/>
    <n v="191.91"/>
    <s v="Office visit, new patient, 30 min"/>
  </r>
  <r>
    <s v="CHG-142"/>
    <s v="ENC-142"/>
    <x v="1"/>
    <n v="191.71"/>
    <s v="Complete blood count (CBC)"/>
  </r>
  <r>
    <s v="CHG-105"/>
    <s v="ENC-105"/>
    <x v="2"/>
    <n v="190.08"/>
    <s v="Office visit, established patient, 15 min"/>
  </r>
  <r>
    <s v="CHG-358"/>
    <s v="ENC-358"/>
    <x v="2"/>
    <n v="189.07"/>
    <s v="Office visit, established patient, 15 min"/>
  </r>
  <r>
    <s v="CHG-259"/>
    <s v="ENC-259"/>
    <x v="3"/>
    <n v="188.18"/>
    <s v="Office visit, new patient, 30 min"/>
  </r>
  <r>
    <s v="CHG-280"/>
    <s v="ENC-280"/>
    <x v="0"/>
    <n v="186.22"/>
    <s v="Comprehensive metabolic panel"/>
  </r>
  <r>
    <s v="CHG-266"/>
    <s v="ENC-266"/>
    <x v="0"/>
    <n v="181.06"/>
    <s v="Comprehensive metabolic panel"/>
  </r>
  <r>
    <s v="CHG-237"/>
    <s v="ENC-237"/>
    <x v="2"/>
    <n v="180.85"/>
    <s v="Office visit, established patient, 15 min"/>
  </r>
  <r>
    <s v="CHG-31"/>
    <s v="ENC-31"/>
    <x v="3"/>
    <n v="179.84"/>
    <s v="Office visit, new patient, 30 min"/>
  </r>
  <r>
    <s v="CHG-281"/>
    <s v="ENC-281"/>
    <x v="0"/>
    <n v="179.7"/>
    <s v="Comprehensive metabolic panel"/>
  </r>
  <r>
    <s v="CHG-387"/>
    <s v="ENC-387"/>
    <x v="0"/>
    <n v="179.42"/>
    <s v="Comprehensive metabolic panel"/>
  </r>
  <r>
    <s v="CHG-422"/>
    <s v="ENC-422"/>
    <x v="3"/>
    <n v="177.92"/>
    <s v="Office visit, new patient, 30 min"/>
  </r>
  <r>
    <s v="CHG-132"/>
    <s v="ENC-132"/>
    <x v="2"/>
    <n v="177.89"/>
    <s v="Office visit, established patient, 15 min"/>
  </r>
  <r>
    <s v="CHG-416"/>
    <s v="ENC-416"/>
    <x v="3"/>
    <n v="177.42"/>
    <s v="Office visit, new patient, 30 min"/>
  </r>
  <r>
    <s v="CHG-138"/>
    <s v="ENC-138"/>
    <x v="2"/>
    <n v="175.76"/>
    <s v="Office visit, established patient, 15 min"/>
  </r>
  <r>
    <s v="CHG-67"/>
    <s v="ENC-67"/>
    <x v="1"/>
    <n v="174.83"/>
    <s v="Complete blood count (CBC)"/>
  </r>
  <r>
    <s v="CHG-467"/>
    <s v="ENC-467"/>
    <x v="1"/>
    <n v="173.69"/>
    <s v="Complete blood count (CBC)"/>
  </r>
  <r>
    <s v="CHG-217"/>
    <s v="ENC-217"/>
    <x v="3"/>
    <n v="173.52"/>
    <s v="Office visit, new patient, 30 min"/>
  </r>
  <r>
    <s v="CHG-246"/>
    <s v="ENC-246"/>
    <x v="2"/>
    <n v="170.58"/>
    <s v="Office visit, established patient, 15 min"/>
  </r>
  <r>
    <s v="CHG-449"/>
    <s v="ENC-449"/>
    <x v="2"/>
    <n v="170.45"/>
    <s v="Office visit, established patient, 15 min"/>
  </r>
  <r>
    <s v="CHG-180"/>
    <s v="ENC-180"/>
    <x v="0"/>
    <n v="170.02"/>
    <s v="Comprehensive metabolic panel"/>
  </r>
  <r>
    <s v="CHG-64"/>
    <s v="ENC-64"/>
    <x v="0"/>
    <n v="169.98"/>
    <s v="Comprehensive metabolic panel"/>
  </r>
  <r>
    <s v="CHG-412"/>
    <s v="ENC-412"/>
    <x v="3"/>
    <n v="169.93"/>
    <s v="Office visit, new patient, 30 min"/>
  </r>
  <r>
    <s v="CHG-73"/>
    <s v="ENC-73"/>
    <x v="2"/>
    <n v="167.28"/>
    <s v="Office visit, established patient, 15 min"/>
  </r>
  <r>
    <s v="CHG-301"/>
    <s v="ENC-301"/>
    <x v="3"/>
    <n v="165.86"/>
    <s v="Office visit, new patient, 30 min"/>
  </r>
  <r>
    <s v="CHG-129"/>
    <s v="ENC-129"/>
    <x v="1"/>
    <n v="165.56"/>
    <s v="Complete blood count (CBC)"/>
  </r>
  <r>
    <s v="CHG-177"/>
    <s v="ENC-177"/>
    <x v="3"/>
    <n v="165.44"/>
    <s v="Office visit, new patient, 30 min"/>
  </r>
  <r>
    <s v="CHG-331"/>
    <s v="ENC-331"/>
    <x v="1"/>
    <n v="162.76"/>
    <s v="Complete blood count (CBC)"/>
  </r>
  <r>
    <s v="CHG-327"/>
    <s v="ENC-327"/>
    <x v="1"/>
    <n v="162.6"/>
    <s v="Complete blood count (CBC)"/>
  </r>
  <r>
    <s v="CHG-9"/>
    <s v="ENC-9"/>
    <x v="3"/>
    <n v="161.85"/>
    <s v="Office visit, new patient, 30 min"/>
  </r>
  <r>
    <s v="CHG-400"/>
    <s v="ENC-400"/>
    <x v="2"/>
    <n v="161.52000000000001"/>
    <s v="Office visit, established patient, 15 min"/>
  </r>
  <r>
    <s v="CHG-3"/>
    <s v="ENC-3"/>
    <x v="2"/>
    <n v="156.68"/>
    <s v="Office visit, established patient, 15 min"/>
  </r>
  <r>
    <s v="CHG-192"/>
    <s v="ENC-192"/>
    <x v="3"/>
    <n v="155.44999999999999"/>
    <s v="Office visit, new patient, 30 min"/>
  </r>
  <r>
    <s v="CHG-284"/>
    <s v="ENC-284"/>
    <x v="3"/>
    <n v="155.06"/>
    <s v="Office visit, new patient, 30 min"/>
  </r>
  <r>
    <s v="CHG-17"/>
    <s v="ENC-17"/>
    <x v="1"/>
    <n v="155.05000000000001"/>
    <s v="Complete blood count (CBC)"/>
  </r>
  <r>
    <s v="CHG-448"/>
    <s v="ENC-448"/>
    <x v="1"/>
    <n v="154.46"/>
    <s v="Complete blood count (CBC)"/>
  </r>
  <r>
    <s v="CHG-34"/>
    <s v="ENC-34"/>
    <x v="2"/>
    <n v="154.33000000000001"/>
    <s v="Office visit, established patient, 15 min"/>
  </r>
  <r>
    <s v="CHG-311"/>
    <s v="ENC-311"/>
    <x v="0"/>
    <n v="150.99"/>
    <s v="Comprehensive metabolic panel"/>
  </r>
  <r>
    <s v="CHG-457"/>
    <s v="ENC-457"/>
    <x v="0"/>
    <n v="150.82"/>
    <s v="Comprehensive metabolic panel"/>
  </r>
  <r>
    <s v="CHG-493"/>
    <s v="ENC-493"/>
    <x v="1"/>
    <n v="150.51"/>
    <s v="Complete blood count (CBC)"/>
  </r>
  <r>
    <s v="CHG-275"/>
    <s v="ENC-275"/>
    <x v="1"/>
    <n v="150.13999999999999"/>
    <s v="Complete blood count (CBC)"/>
  </r>
  <r>
    <s v="CHG-16"/>
    <s v="ENC-16"/>
    <x v="3"/>
    <n v="147.72"/>
    <s v="Office visit, new patient, 30 min"/>
  </r>
  <r>
    <s v="CHG-454"/>
    <s v="ENC-454"/>
    <x v="0"/>
    <n v="144.88999999999999"/>
    <s v="Comprehensive metabolic panel"/>
  </r>
  <r>
    <s v="CHG-297"/>
    <s v="ENC-297"/>
    <x v="0"/>
    <n v="142.80000000000001"/>
    <s v="Comprehensive metabolic panel"/>
  </r>
  <r>
    <s v="CHG-461"/>
    <s v="ENC-461"/>
    <x v="2"/>
    <n v="142.77000000000001"/>
    <s v="Office visit, established patient, 15 min"/>
  </r>
  <r>
    <s v="CHG-343"/>
    <s v="ENC-343"/>
    <x v="0"/>
    <n v="139.38999999999999"/>
    <s v="Comprehensive metabolic panel"/>
  </r>
  <r>
    <s v="CHG-264"/>
    <s v="ENC-264"/>
    <x v="1"/>
    <n v="135.31"/>
    <s v="Complete blood count (CBC)"/>
  </r>
  <r>
    <s v="CHG-447"/>
    <s v="ENC-447"/>
    <x v="2"/>
    <n v="135.24"/>
    <s v="Office visit, established patient, 15 min"/>
  </r>
  <r>
    <s v="CHG-492"/>
    <s v="ENC-492"/>
    <x v="1"/>
    <n v="135.04"/>
    <s v="Complete blood count (CBC)"/>
  </r>
  <r>
    <s v="CHG-57"/>
    <s v="ENC-57"/>
    <x v="0"/>
    <n v="135.02000000000001"/>
    <s v="Comprehensive metabolic panel"/>
  </r>
  <r>
    <s v="CHG-480"/>
    <s v="ENC-480"/>
    <x v="3"/>
    <n v="133.56"/>
    <s v="Office visit, new patient, 30 min"/>
  </r>
  <r>
    <s v="CHG-348"/>
    <s v="ENC-348"/>
    <x v="1"/>
    <n v="133.30000000000001"/>
    <s v="Complete blood count (CBC)"/>
  </r>
  <r>
    <s v="CHG-316"/>
    <s v="ENC-316"/>
    <x v="1"/>
    <n v="130.26"/>
    <s v="Complete blood count (CBC)"/>
  </r>
  <r>
    <s v="CHG-169"/>
    <s v="ENC-169"/>
    <x v="1"/>
    <n v="128.91999999999999"/>
    <s v="Complete blood count (CBC)"/>
  </r>
  <r>
    <s v="CHG-329"/>
    <s v="ENC-329"/>
    <x v="3"/>
    <n v="128.84"/>
    <s v="Office visit, new patient, 30 min"/>
  </r>
  <r>
    <s v="CHG-122"/>
    <s v="ENC-122"/>
    <x v="1"/>
    <n v="127.66"/>
    <s v="Complete blood count (CBC)"/>
  </r>
  <r>
    <s v="CHG-103"/>
    <s v="ENC-103"/>
    <x v="2"/>
    <n v="126.83"/>
    <s v="Office visit, established patient, 15 min"/>
  </r>
  <r>
    <s v="CHG-211"/>
    <s v="ENC-211"/>
    <x v="0"/>
    <n v="126.35"/>
    <s v="Comprehensive metabolic panel"/>
  </r>
  <r>
    <s v="CHG-136"/>
    <s v="ENC-136"/>
    <x v="3"/>
    <n v="125.13"/>
    <s v="Office visit, new patient, 30 min"/>
  </r>
  <r>
    <s v="CHG-164"/>
    <s v="ENC-164"/>
    <x v="3"/>
    <n v="124.92"/>
    <s v="Office visit, new patient, 30 min"/>
  </r>
  <r>
    <s v="CHG-476"/>
    <s v="ENC-476"/>
    <x v="1"/>
    <n v="122.55"/>
    <s v="Complete blood count (CBC)"/>
  </r>
  <r>
    <s v="CHG-427"/>
    <s v="ENC-427"/>
    <x v="0"/>
    <n v="120.29"/>
    <s v="Comprehensive metabolic panel"/>
  </r>
  <r>
    <s v="CHG-340"/>
    <s v="ENC-340"/>
    <x v="3"/>
    <n v="119.77"/>
    <s v="Office visit, new patient, 30 min"/>
  </r>
  <r>
    <s v="CHG-294"/>
    <s v="ENC-294"/>
    <x v="1"/>
    <n v="118.34"/>
    <s v="Complete blood count (CBC)"/>
  </r>
  <r>
    <s v="CHG-154"/>
    <s v="ENC-154"/>
    <x v="1"/>
    <n v="117.19"/>
    <s v="Complete blood count (CBC)"/>
  </r>
  <r>
    <s v="CHG-76"/>
    <s v="ENC-76"/>
    <x v="1"/>
    <n v="115.87"/>
    <s v="Complete blood count (CBC)"/>
  </r>
  <r>
    <s v="CHG-214"/>
    <s v="ENC-214"/>
    <x v="0"/>
    <n v="114.86"/>
    <s v="Comprehensive metabolic panel"/>
  </r>
  <r>
    <s v="CHG-118"/>
    <s v="ENC-118"/>
    <x v="3"/>
    <n v="114.64"/>
    <s v="Office visit, new patient, 30 min"/>
  </r>
  <r>
    <s v="CHG-288"/>
    <s v="ENC-288"/>
    <x v="2"/>
    <n v="114.38"/>
    <s v="Office visit, established patient, 15 min"/>
  </r>
  <r>
    <s v="CHG-155"/>
    <s v="ENC-155"/>
    <x v="3"/>
    <n v="112.66"/>
    <s v="Office visit, new patient, 30 min"/>
  </r>
  <r>
    <s v="CHG-307"/>
    <s v="ENC-307"/>
    <x v="0"/>
    <n v="112.65"/>
    <s v="Comprehensive metabolic panel"/>
  </r>
  <r>
    <s v="CHG-345"/>
    <s v="ENC-345"/>
    <x v="3"/>
    <n v="111.55"/>
    <s v="Office visit, new patient, 30 min"/>
  </r>
  <r>
    <s v="CHG-352"/>
    <s v="ENC-352"/>
    <x v="0"/>
    <n v="111.4"/>
    <s v="Comprehensive metabolic panel"/>
  </r>
  <r>
    <s v="CHG-20"/>
    <s v="ENC-20"/>
    <x v="2"/>
    <n v="109.88"/>
    <s v="Office visit, established patient, 15 min"/>
  </r>
  <r>
    <s v="CHG-116"/>
    <s v="ENC-116"/>
    <x v="2"/>
    <n v="109.27"/>
    <s v="Office visit, established patient, 15 min"/>
  </r>
  <r>
    <s v="CHG-133"/>
    <s v="ENC-133"/>
    <x v="2"/>
    <n v="108.06"/>
    <s v="Office visit, established patient, 15 min"/>
  </r>
  <r>
    <s v="CHG-171"/>
    <s v="ENC-171"/>
    <x v="3"/>
    <n v="107.37"/>
    <s v="Office visit, new patient, 30 min"/>
  </r>
  <r>
    <s v="CHG-382"/>
    <s v="ENC-382"/>
    <x v="1"/>
    <n v="107.17"/>
    <s v="Complete blood count (CBC)"/>
  </r>
  <r>
    <s v="CHG-191"/>
    <s v="ENC-191"/>
    <x v="2"/>
    <n v="105.88"/>
    <s v="Office visit, established patient, 15 min"/>
  </r>
  <r>
    <s v="CHG-435"/>
    <s v="ENC-435"/>
    <x v="2"/>
    <n v="105.32"/>
    <s v="Office visit, established patient, 15 min"/>
  </r>
  <r>
    <s v="CHG-253"/>
    <s v="ENC-253"/>
    <x v="0"/>
    <n v="105.27"/>
    <s v="Comprehensive metabolic panel"/>
  </r>
  <r>
    <s v="CHG-218"/>
    <s v="ENC-218"/>
    <x v="3"/>
    <n v="105.14"/>
    <s v="Office visit, new patient, 30 min"/>
  </r>
  <r>
    <s v="CHG-431"/>
    <s v="ENC-431"/>
    <x v="1"/>
    <n v="103.96"/>
    <s v="Complete blood count (CBC)"/>
  </r>
  <r>
    <s v="CHG-477"/>
    <s v="ENC-477"/>
    <x v="0"/>
    <n v="103.03"/>
    <s v="Comprehensive metabolic panel"/>
  </r>
  <r>
    <s v="CHG-375"/>
    <s v="ENC-375"/>
    <x v="1"/>
    <n v="101.13"/>
    <s v="Complete blood count (CBC)"/>
  </r>
  <r>
    <s v="CHG-24"/>
    <s v="ENC-24"/>
    <x v="0"/>
    <n v="100.65"/>
    <s v="Comprehensive metabolic panel"/>
  </r>
  <r>
    <s v="CHG-145"/>
    <s v="ENC-145"/>
    <x v="2"/>
    <n v="100.05"/>
    <s v="Office visit, established patient, 15 min"/>
  </r>
  <r>
    <s v="CHG-168"/>
    <s v="ENC-168"/>
    <x v="0"/>
    <n v="99.36"/>
    <s v="Comprehensive metabolic panel"/>
  </r>
  <r>
    <s v="CHG-104"/>
    <s v="ENC-104"/>
    <x v="1"/>
    <n v="98.24"/>
    <s v="Complete blood count (CBC)"/>
  </r>
  <r>
    <s v="CHG-317"/>
    <s v="ENC-317"/>
    <x v="3"/>
    <n v="97.51"/>
    <s v="Office visit, new patient, 30 min"/>
  </r>
  <r>
    <s v="CHG-215"/>
    <s v="ENC-215"/>
    <x v="2"/>
    <n v="97.34"/>
    <s v="Office visit, established patient, 15 min"/>
  </r>
  <r>
    <s v="CHG-196"/>
    <s v="ENC-196"/>
    <x v="3"/>
    <n v="96.4"/>
    <s v="Office visit, new patient, 30 min"/>
  </r>
  <r>
    <s v="CHG-318"/>
    <s v="ENC-318"/>
    <x v="2"/>
    <n v="94.83"/>
    <s v="Office visit, established patient, 15 min"/>
  </r>
  <r>
    <s v="CHG-365"/>
    <s v="ENC-365"/>
    <x v="1"/>
    <n v="94.83"/>
    <s v="Complete blood count (CBC)"/>
  </r>
  <r>
    <s v="CHG-160"/>
    <s v="ENC-160"/>
    <x v="3"/>
    <n v="93.14"/>
    <s v="Office visit, new patient, 30 min"/>
  </r>
  <r>
    <s v="CHG-257"/>
    <s v="ENC-257"/>
    <x v="1"/>
    <n v="93.02"/>
    <s v="Complete blood count (CBC)"/>
  </r>
  <r>
    <s v="CHG-71"/>
    <s v="ENC-71"/>
    <x v="1"/>
    <n v="91.89"/>
    <s v="Complete blood count (CBC)"/>
  </r>
  <r>
    <s v="CHG-39"/>
    <s v="ENC-39"/>
    <x v="2"/>
    <n v="91.77"/>
    <s v="Office visit, established patient, 15 min"/>
  </r>
  <r>
    <s v="CHG-207"/>
    <s v="ENC-207"/>
    <x v="2"/>
    <n v="91.68"/>
    <s v="Office visit, established patient, 15 min"/>
  </r>
  <r>
    <s v="CHG-308"/>
    <s v="ENC-308"/>
    <x v="0"/>
    <n v="90.89"/>
    <s v="Comprehensive metabolic panel"/>
  </r>
  <r>
    <s v="CHG-272"/>
    <s v="ENC-272"/>
    <x v="3"/>
    <n v="89.51"/>
    <s v="Office visit, new patient, 30 min"/>
  </r>
  <r>
    <s v="CHG-465"/>
    <s v="ENC-465"/>
    <x v="0"/>
    <n v="88.42"/>
    <s v="Comprehensive metabolic panel"/>
  </r>
  <r>
    <s v="CHG-6"/>
    <s v="ENC-6"/>
    <x v="2"/>
    <n v="88.3"/>
    <s v="Office visit, established patient, 15 min"/>
  </r>
  <r>
    <s v="CHG-190"/>
    <s v="ENC-190"/>
    <x v="3"/>
    <n v="87.92"/>
    <s v="Office visit, new patient, 30 min"/>
  </r>
  <r>
    <s v="CHG-388"/>
    <s v="ENC-388"/>
    <x v="3"/>
    <n v="83.15"/>
    <s v="Office visit, new patient, 30 min"/>
  </r>
  <r>
    <s v="CHG-27"/>
    <s v="ENC-27"/>
    <x v="0"/>
    <n v="83.11"/>
    <s v="Comprehensive metabolic panel"/>
  </r>
  <r>
    <s v="CHG-150"/>
    <s v="ENC-150"/>
    <x v="0"/>
    <n v="82.4"/>
    <s v="Comprehensive metabolic panel"/>
  </r>
  <r>
    <s v="CHG-184"/>
    <s v="ENC-184"/>
    <x v="3"/>
    <n v="81.8"/>
    <s v="Office visit, new patient, 30 min"/>
  </r>
  <r>
    <s v="CHG-78"/>
    <s v="ENC-78"/>
    <x v="3"/>
    <n v="81.5"/>
    <s v="Office visit, new patient, 30 min"/>
  </r>
  <r>
    <s v="CHG-391"/>
    <s v="ENC-391"/>
    <x v="2"/>
    <n v="80.599999999999994"/>
    <s v="Office visit, established patient, 15 min"/>
  </r>
  <r>
    <s v="CHG-377"/>
    <s v="ENC-377"/>
    <x v="3"/>
    <n v="79.73"/>
    <s v="Office visit, new patient, 30 min"/>
  </r>
  <r>
    <s v="CHG-376"/>
    <s v="ENC-376"/>
    <x v="2"/>
    <n v="77.489999999999995"/>
    <s v="Office visit, established patient, 15 min"/>
  </r>
  <r>
    <s v="CHG-4"/>
    <s v="ENC-4"/>
    <x v="0"/>
    <n v="76.62"/>
    <s v="Comprehensive metabolic panel"/>
  </r>
  <r>
    <s v="CHG-366"/>
    <s v="ENC-366"/>
    <x v="2"/>
    <n v="76.13"/>
    <s v="Office visit, established patient, 15 min"/>
  </r>
  <r>
    <s v="CHG-293"/>
    <s v="ENC-293"/>
    <x v="3"/>
    <n v="75.42"/>
    <s v="Office visit, new patient, 30 min"/>
  </r>
  <r>
    <s v="CHG-485"/>
    <s v="ENC-485"/>
    <x v="3"/>
    <n v="74.739999999999995"/>
    <s v="Office visit, new patient, 30 min"/>
  </r>
  <r>
    <s v="CHG-500"/>
    <s v="ENC-500"/>
    <x v="3"/>
    <n v="74.56"/>
    <s v="Office visit, new patient, 30 min"/>
  </r>
  <r>
    <s v="CHG-459"/>
    <s v="ENC-459"/>
    <x v="0"/>
    <n v="73"/>
    <s v="Comprehensive metabolic panel"/>
  </r>
  <r>
    <s v="CHG-210"/>
    <s v="ENC-210"/>
    <x v="2"/>
    <n v="71.97"/>
    <s v="Office visit, established patient, 15 min"/>
  </r>
  <r>
    <s v="CHG-203"/>
    <s v="ENC-203"/>
    <x v="1"/>
    <n v="71.069999999999993"/>
    <s v="Complete blood count (CBC)"/>
  </r>
  <r>
    <s v="CHG-414"/>
    <s v="ENC-414"/>
    <x v="0"/>
    <n v="70.569999999999993"/>
    <s v="Comprehensive metabolic panel"/>
  </r>
  <r>
    <s v="CHG-489"/>
    <s v="ENC-489"/>
    <x v="0"/>
    <n v="69.989999999999995"/>
    <s v="Comprehensive metabolic panel"/>
  </r>
  <r>
    <s v="CHG-464"/>
    <s v="ENC-464"/>
    <x v="2"/>
    <n v="69.7"/>
    <s v="Office visit, established patient, 15 min"/>
  </r>
  <r>
    <s v="CHG-194"/>
    <s v="ENC-194"/>
    <x v="3"/>
    <n v="68.989999999999995"/>
    <s v="Office visit, new patient, 30 min"/>
  </r>
  <r>
    <s v="CHG-146"/>
    <s v="ENC-146"/>
    <x v="2"/>
    <n v="68.67"/>
    <s v="Office visit, established patient, 15 min"/>
  </r>
  <r>
    <s v="CHG-385"/>
    <s v="ENC-385"/>
    <x v="1"/>
    <n v="68.34"/>
    <s v="Complete blood count (CBC)"/>
  </r>
  <r>
    <s v="CHG-279"/>
    <s v="ENC-279"/>
    <x v="1"/>
    <n v="67.98"/>
    <s v="Complete blood count (CBC)"/>
  </r>
  <r>
    <s v="CHG-389"/>
    <s v="ENC-389"/>
    <x v="0"/>
    <n v="65.69"/>
    <s v="Comprehensive metabolic panel"/>
  </r>
  <r>
    <s v="CHG-167"/>
    <s v="ENC-167"/>
    <x v="0"/>
    <n v="64.400000000000006"/>
    <s v="Comprehensive metabolic panel"/>
  </r>
  <r>
    <s v="CHG-144"/>
    <s v="ENC-144"/>
    <x v="2"/>
    <n v="63.8"/>
    <s v="Office visit, established patient, 15 min"/>
  </r>
  <r>
    <s v="CHG-44"/>
    <s v="ENC-44"/>
    <x v="3"/>
    <n v="61.9"/>
    <s v="Office visit, new patient, 30 min"/>
  </r>
  <r>
    <s v="CHG-77"/>
    <s v="ENC-77"/>
    <x v="0"/>
    <n v="61.22"/>
    <s v="Comprehensive metabolic panel"/>
  </r>
  <r>
    <s v="CHG-413"/>
    <s v="ENC-413"/>
    <x v="3"/>
    <n v="60.84"/>
    <s v="Office visit, new patient, 30 min"/>
  </r>
  <r>
    <s v="CHG-299"/>
    <s v="ENC-299"/>
    <x v="3"/>
    <n v="60.24"/>
    <s v="Office visit, new patient, 30 min"/>
  </r>
  <r>
    <s v="CHG-35"/>
    <s v="ENC-35"/>
    <x v="0"/>
    <n v="59.62"/>
    <s v="Comprehensive metabolic panel"/>
  </r>
  <r>
    <s v="CHG-181"/>
    <s v="ENC-181"/>
    <x v="3"/>
    <n v="59.35"/>
    <s v="Office visit, new patient, 30 min"/>
  </r>
  <r>
    <s v="CHG-166"/>
    <s v="ENC-166"/>
    <x v="0"/>
    <n v="58.54"/>
    <s v="Comprehensive metabolic panel"/>
  </r>
  <r>
    <s v="CHG-91"/>
    <s v="ENC-91"/>
    <x v="0"/>
    <n v="56.26"/>
    <s v="Comprehensive metabolic panel"/>
  </r>
  <r>
    <s v="CHG-258"/>
    <s v="ENC-258"/>
    <x v="2"/>
    <n v="56.25"/>
    <s v="Office visit, established patient, 15 min"/>
  </r>
  <r>
    <s v="CHG-313"/>
    <s v="ENC-313"/>
    <x v="0"/>
    <n v="55.78"/>
    <s v="Comprehensive metabolic panel"/>
  </r>
  <r>
    <s v="CHG-102"/>
    <s v="ENC-102"/>
    <x v="2"/>
    <n v="55.68"/>
    <s v="Office visit, established patient, 15 min"/>
  </r>
  <r>
    <s v="CHG-363"/>
    <s v="ENC-363"/>
    <x v="0"/>
    <n v="55.11"/>
    <s v="Comprehensive metabolic panel"/>
  </r>
  <r>
    <s v="CHG-370"/>
    <s v="ENC-370"/>
    <x v="1"/>
    <n v="54.56"/>
    <s v="Complete blood count (CBC)"/>
  </r>
  <r>
    <s v="CHG-221"/>
    <s v="ENC-221"/>
    <x v="1"/>
    <n v="54.23"/>
    <s v="Complete blood count (CBC)"/>
  </r>
  <r>
    <s v="CHG-494"/>
    <s v="ENC-494"/>
    <x v="2"/>
    <n v="54"/>
    <s v="Office visit, established patient, 15 min"/>
  </r>
  <r>
    <s v="CHG-96"/>
    <s v="ENC-96"/>
    <x v="1"/>
    <n v="53.84"/>
    <s v="Complete blood count (CBC)"/>
  </r>
  <r>
    <s v="CHG-381"/>
    <s v="ENC-381"/>
    <x v="3"/>
    <n v="52.68"/>
    <s v="Office visit, new patient, 30 min"/>
  </r>
  <r>
    <s v="CHG-241"/>
    <s v="ENC-241"/>
    <x v="2"/>
    <n v="51.34"/>
    <s v="Office visit, established patient, 15 min"/>
  </r>
  <r>
    <s v="CHG-226"/>
    <s v="ENC-226"/>
    <x v="1"/>
    <n v="50.6"/>
    <s v="Complete blood count (CBC)"/>
  </r>
  <r>
    <s v="CHG-193"/>
    <s v="ENC-193"/>
    <x v="0"/>
    <n v="50.46"/>
    <s v="Comprehensive metabolic panel"/>
  </r>
  <r>
    <s v="CHG-137"/>
    <s v="ENC-137"/>
    <x v="0"/>
    <n v="50.26"/>
    <s v="Comprehensive metabolic panel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DIAG-1"/>
    <s v="ENC-1"/>
    <x v="0"/>
    <s v="Type 2 diabetes mellitus without complications"/>
  </r>
  <r>
    <s v="DIAG-5"/>
    <s v="ENC-5"/>
    <x v="0"/>
    <s v="Type 2 diabetes mellitus without complications"/>
  </r>
  <r>
    <s v="DIAG-8"/>
    <s v="ENC-8"/>
    <x v="0"/>
    <s v="Type 2 diabetes mellitus without complications"/>
  </r>
  <r>
    <s v="DIAG-25"/>
    <s v="ENC-25"/>
    <x v="0"/>
    <s v="Type 2 diabetes mellitus without complications"/>
  </r>
  <r>
    <s v="DIAG-35"/>
    <s v="ENC-35"/>
    <x v="0"/>
    <s v="Type 2 diabetes mellitus without complications"/>
  </r>
  <r>
    <s v="DIAG-49"/>
    <s v="ENC-49"/>
    <x v="0"/>
    <s v="Type 2 diabetes mellitus without complications"/>
  </r>
  <r>
    <s v="DIAG-55"/>
    <s v="ENC-55"/>
    <x v="0"/>
    <s v="Type 2 diabetes mellitus without complications"/>
  </r>
  <r>
    <s v="DIAG-58"/>
    <s v="ENC-58"/>
    <x v="0"/>
    <s v="Type 2 diabetes mellitus without complications"/>
  </r>
  <r>
    <s v="DIAG-96"/>
    <s v="ENC-96"/>
    <x v="0"/>
    <s v="Type 2 diabetes mellitus without complications"/>
  </r>
  <r>
    <s v="DIAG-98"/>
    <s v="ENC-98"/>
    <x v="0"/>
    <s v="Type 2 diabetes mellitus without complications"/>
  </r>
  <r>
    <s v="DIAG-101"/>
    <s v="ENC-101"/>
    <x v="0"/>
    <s v="Type 2 diabetes mellitus without complications"/>
  </r>
  <r>
    <s v="DIAG-117"/>
    <s v="ENC-117"/>
    <x v="0"/>
    <s v="Type 2 diabetes mellitus without complications"/>
  </r>
  <r>
    <s v="DIAG-119"/>
    <s v="ENC-119"/>
    <x v="0"/>
    <s v="Type 2 diabetes mellitus without complications"/>
  </r>
  <r>
    <s v="DIAG-121"/>
    <s v="ENC-121"/>
    <x v="0"/>
    <s v="Type 2 diabetes mellitus without complications"/>
  </r>
  <r>
    <s v="DIAG-136"/>
    <s v="ENC-136"/>
    <x v="0"/>
    <s v="Type 2 diabetes mellitus without complications"/>
  </r>
  <r>
    <s v="DIAG-146"/>
    <s v="ENC-146"/>
    <x v="0"/>
    <s v="Type 2 diabetes mellitus without complications"/>
  </r>
  <r>
    <s v="DIAG-148"/>
    <s v="ENC-148"/>
    <x v="0"/>
    <s v="Type 2 diabetes mellitus without complications"/>
  </r>
  <r>
    <s v="DIAG-150"/>
    <s v="ENC-150"/>
    <x v="0"/>
    <s v="Type 2 diabetes mellitus without complications"/>
  </r>
  <r>
    <s v="DIAG-151"/>
    <s v="ENC-151"/>
    <x v="0"/>
    <s v="Type 2 diabetes mellitus without complications"/>
  </r>
  <r>
    <s v="DIAG-162"/>
    <s v="ENC-162"/>
    <x v="0"/>
    <s v="Type 2 diabetes mellitus without complications"/>
  </r>
  <r>
    <s v="DIAG-172"/>
    <s v="ENC-172"/>
    <x v="0"/>
    <s v="Type 2 diabetes mellitus without complications"/>
  </r>
  <r>
    <s v="DIAG-185"/>
    <s v="ENC-185"/>
    <x v="0"/>
    <s v="Type 2 diabetes mellitus without complications"/>
  </r>
  <r>
    <s v="DIAG-188"/>
    <s v="ENC-188"/>
    <x v="0"/>
    <s v="Type 2 diabetes mellitus without complications"/>
  </r>
  <r>
    <s v="DIAG-196"/>
    <s v="ENC-196"/>
    <x v="0"/>
    <s v="Type 2 diabetes mellitus without complications"/>
  </r>
  <r>
    <s v="DIAG-205"/>
    <s v="ENC-205"/>
    <x v="0"/>
    <s v="Type 2 diabetes mellitus without complications"/>
  </r>
  <r>
    <s v="DIAG-207"/>
    <s v="ENC-207"/>
    <x v="0"/>
    <s v="Type 2 diabetes mellitus without complications"/>
  </r>
  <r>
    <s v="DIAG-217"/>
    <s v="ENC-217"/>
    <x v="0"/>
    <s v="Type 2 diabetes mellitus without complications"/>
  </r>
  <r>
    <s v="DIAG-228"/>
    <s v="ENC-228"/>
    <x v="0"/>
    <s v="Type 2 diabetes mellitus without complications"/>
  </r>
  <r>
    <s v="DIAG-237"/>
    <s v="ENC-237"/>
    <x v="0"/>
    <s v="Type 2 diabetes mellitus without complications"/>
  </r>
  <r>
    <s v="DIAG-239"/>
    <s v="ENC-239"/>
    <x v="0"/>
    <s v="Type 2 diabetes mellitus without complications"/>
  </r>
  <r>
    <s v="DIAG-256"/>
    <s v="ENC-256"/>
    <x v="0"/>
    <s v="Type 2 diabetes mellitus without complications"/>
  </r>
  <r>
    <s v="DIAG-273"/>
    <s v="ENC-273"/>
    <x v="0"/>
    <s v="Type 2 diabetes mellitus without complications"/>
  </r>
  <r>
    <s v="DIAG-277"/>
    <s v="ENC-277"/>
    <x v="0"/>
    <s v="Type 2 diabetes mellitus without complications"/>
  </r>
  <r>
    <s v="DIAG-278"/>
    <s v="ENC-278"/>
    <x v="0"/>
    <s v="Type 2 diabetes mellitus without complications"/>
  </r>
  <r>
    <s v="DIAG-280"/>
    <s v="ENC-280"/>
    <x v="0"/>
    <s v="Type 2 diabetes mellitus without complications"/>
  </r>
  <r>
    <s v="DIAG-283"/>
    <s v="ENC-283"/>
    <x v="0"/>
    <s v="Type 2 diabetes mellitus without complications"/>
  </r>
  <r>
    <s v="DIAG-284"/>
    <s v="ENC-284"/>
    <x v="0"/>
    <s v="Type 2 diabetes mellitus without complications"/>
  </r>
  <r>
    <s v="DIAG-286"/>
    <s v="ENC-286"/>
    <x v="0"/>
    <s v="Type 2 diabetes mellitus without complications"/>
  </r>
  <r>
    <s v="DIAG-294"/>
    <s v="ENC-294"/>
    <x v="0"/>
    <s v="Type 2 diabetes mellitus without complications"/>
  </r>
  <r>
    <s v="DIAG-303"/>
    <s v="ENC-303"/>
    <x v="0"/>
    <s v="Type 2 diabetes mellitus without complications"/>
  </r>
  <r>
    <s v="DIAG-305"/>
    <s v="ENC-305"/>
    <x v="0"/>
    <s v="Type 2 diabetes mellitus without complications"/>
  </r>
  <r>
    <s v="DIAG-306"/>
    <s v="ENC-306"/>
    <x v="0"/>
    <s v="Type 2 diabetes mellitus without complications"/>
  </r>
  <r>
    <s v="DIAG-307"/>
    <s v="ENC-307"/>
    <x v="0"/>
    <s v="Type 2 diabetes mellitus without complications"/>
  </r>
  <r>
    <s v="DIAG-308"/>
    <s v="ENC-308"/>
    <x v="0"/>
    <s v="Type 2 diabetes mellitus without complications"/>
  </r>
  <r>
    <s v="DIAG-313"/>
    <s v="ENC-313"/>
    <x v="0"/>
    <s v="Type 2 diabetes mellitus without complications"/>
  </r>
  <r>
    <s v="DIAG-314"/>
    <s v="ENC-314"/>
    <x v="0"/>
    <s v="Type 2 diabetes mellitus without complications"/>
  </r>
  <r>
    <s v="DIAG-319"/>
    <s v="ENC-319"/>
    <x v="0"/>
    <s v="Type 2 diabetes mellitus without complications"/>
  </r>
  <r>
    <s v="DIAG-321"/>
    <s v="ENC-321"/>
    <x v="0"/>
    <s v="Type 2 diabetes mellitus without complications"/>
  </r>
  <r>
    <s v="DIAG-327"/>
    <s v="ENC-327"/>
    <x v="0"/>
    <s v="Type 2 diabetes mellitus without complications"/>
  </r>
  <r>
    <s v="DIAG-330"/>
    <s v="ENC-330"/>
    <x v="0"/>
    <s v="Type 2 diabetes mellitus without complications"/>
  </r>
  <r>
    <s v="DIAG-333"/>
    <s v="ENC-333"/>
    <x v="0"/>
    <s v="Type 2 diabetes mellitus without complications"/>
  </r>
  <r>
    <s v="DIAG-334"/>
    <s v="ENC-334"/>
    <x v="0"/>
    <s v="Type 2 diabetes mellitus without complications"/>
  </r>
  <r>
    <s v="DIAG-335"/>
    <s v="ENC-335"/>
    <x v="0"/>
    <s v="Type 2 diabetes mellitus without complications"/>
  </r>
  <r>
    <s v="DIAG-337"/>
    <s v="ENC-337"/>
    <x v="0"/>
    <s v="Type 2 diabetes mellitus without complications"/>
  </r>
  <r>
    <s v="DIAG-343"/>
    <s v="ENC-343"/>
    <x v="0"/>
    <s v="Type 2 diabetes mellitus without complications"/>
  </r>
  <r>
    <s v="DIAG-345"/>
    <s v="ENC-345"/>
    <x v="0"/>
    <s v="Type 2 diabetes mellitus without complications"/>
  </r>
  <r>
    <s v="DIAG-346"/>
    <s v="ENC-346"/>
    <x v="0"/>
    <s v="Type 2 diabetes mellitus without complications"/>
  </r>
  <r>
    <s v="DIAG-349"/>
    <s v="ENC-349"/>
    <x v="0"/>
    <s v="Type 2 diabetes mellitus without complications"/>
  </r>
  <r>
    <s v="DIAG-357"/>
    <s v="ENC-357"/>
    <x v="0"/>
    <s v="Type 2 diabetes mellitus without complications"/>
  </r>
  <r>
    <s v="DIAG-364"/>
    <s v="ENC-364"/>
    <x v="0"/>
    <s v="Type 2 diabetes mellitus without complications"/>
  </r>
  <r>
    <s v="DIAG-369"/>
    <s v="ENC-369"/>
    <x v="0"/>
    <s v="Type 2 diabetes mellitus without complications"/>
  </r>
  <r>
    <s v="DIAG-372"/>
    <s v="ENC-372"/>
    <x v="0"/>
    <s v="Type 2 diabetes mellitus without complications"/>
  </r>
  <r>
    <s v="DIAG-375"/>
    <s v="ENC-375"/>
    <x v="0"/>
    <s v="Type 2 diabetes mellitus without complications"/>
  </r>
  <r>
    <s v="DIAG-379"/>
    <s v="ENC-379"/>
    <x v="0"/>
    <s v="Type 2 diabetes mellitus without complications"/>
  </r>
  <r>
    <s v="DIAG-380"/>
    <s v="ENC-380"/>
    <x v="0"/>
    <s v="Type 2 diabetes mellitus without complications"/>
  </r>
  <r>
    <s v="DIAG-382"/>
    <s v="ENC-382"/>
    <x v="0"/>
    <s v="Type 2 diabetes mellitus without complications"/>
  </r>
  <r>
    <s v="DIAG-383"/>
    <s v="ENC-383"/>
    <x v="0"/>
    <s v="Type 2 diabetes mellitus without complications"/>
  </r>
  <r>
    <s v="DIAG-392"/>
    <s v="ENC-392"/>
    <x v="0"/>
    <s v="Type 2 diabetes mellitus without complications"/>
  </r>
  <r>
    <s v="DIAG-405"/>
    <s v="ENC-405"/>
    <x v="0"/>
    <s v="Type 2 diabetes mellitus without complications"/>
  </r>
  <r>
    <s v="DIAG-410"/>
    <s v="ENC-410"/>
    <x v="0"/>
    <s v="Type 2 diabetes mellitus without complications"/>
  </r>
  <r>
    <s v="DIAG-411"/>
    <s v="ENC-411"/>
    <x v="0"/>
    <s v="Type 2 diabetes mellitus without complications"/>
  </r>
  <r>
    <s v="DIAG-412"/>
    <s v="ENC-412"/>
    <x v="0"/>
    <s v="Type 2 diabetes mellitus without complications"/>
  </r>
  <r>
    <s v="DIAG-413"/>
    <s v="ENC-413"/>
    <x v="0"/>
    <s v="Type 2 diabetes mellitus without complications"/>
  </r>
  <r>
    <s v="DIAG-415"/>
    <s v="ENC-415"/>
    <x v="0"/>
    <s v="Type 2 diabetes mellitus without complications"/>
  </r>
  <r>
    <s v="DIAG-422"/>
    <s v="ENC-422"/>
    <x v="0"/>
    <s v="Type 2 diabetes mellitus without complications"/>
  </r>
  <r>
    <s v="DIAG-428"/>
    <s v="ENC-428"/>
    <x v="0"/>
    <s v="Type 2 diabetes mellitus without complications"/>
  </r>
  <r>
    <s v="DIAG-433"/>
    <s v="ENC-433"/>
    <x v="0"/>
    <s v="Type 2 diabetes mellitus without complications"/>
  </r>
  <r>
    <s v="DIAG-435"/>
    <s v="ENC-435"/>
    <x v="0"/>
    <s v="Type 2 diabetes mellitus without complications"/>
  </r>
  <r>
    <s v="DIAG-437"/>
    <s v="ENC-437"/>
    <x v="0"/>
    <s v="Type 2 diabetes mellitus without complications"/>
  </r>
  <r>
    <s v="DIAG-440"/>
    <s v="ENC-440"/>
    <x v="0"/>
    <s v="Type 2 diabetes mellitus without complications"/>
  </r>
  <r>
    <s v="DIAG-452"/>
    <s v="ENC-452"/>
    <x v="0"/>
    <s v="Type 2 diabetes mellitus without complications"/>
  </r>
  <r>
    <s v="DIAG-454"/>
    <s v="ENC-454"/>
    <x v="0"/>
    <s v="Type 2 diabetes mellitus without complications"/>
  </r>
  <r>
    <s v="DIAG-457"/>
    <s v="ENC-457"/>
    <x v="0"/>
    <s v="Type 2 diabetes mellitus without complications"/>
  </r>
  <r>
    <s v="DIAG-458"/>
    <s v="ENC-458"/>
    <x v="0"/>
    <s v="Type 2 diabetes mellitus without complications"/>
  </r>
  <r>
    <s v="DIAG-463"/>
    <s v="ENC-463"/>
    <x v="0"/>
    <s v="Type 2 diabetes mellitus without complications"/>
  </r>
  <r>
    <s v="DIAG-466"/>
    <s v="ENC-466"/>
    <x v="0"/>
    <s v="Type 2 diabetes mellitus without complications"/>
  </r>
  <r>
    <s v="DIAG-471"/>
    <s v="ENC-471"/>
    <x v="0"/>
    <s v="Type 2 diabetes mellitus without complications"/>
  </r>
  <r>
    <s v="DIAG-472"/>
    <s v="ENC-472"/>
    <x v="0"/>
    <s v="Type 2 diabetes mellitus without complications"/>
  </r>
  <r>
    <s v="DIAG-473"/>
    <s v="ENC-473"/>
    <x v="0"/>
    <s v="Type 2 diabetes mellitus without complications"/>
  </r>
  <r>
    <s v="DIAG-476"/>
    <s v="ENC-476"/>
    <x v="0"/>
    <s v="Type 2 diabetes mellitus without complications"/>
  </r>
  <r>
    <s v="DIAG-484"/>
    <s v="ENC-484"/>
    <x v="0"/>
    <s v="Type 2 diabetes mellitus without complications"/>
  </r>
  <r>
    <s v="DIAG-485"/>
    <s v="ENC-485"/>
    <x v="0"/>
    <s v="Type 2 diabetes mellitus without complications"/>
  </r>
  <r>
    <s v="DIAG-487"/>
    <s v="ENC-487"/>
    <x v="0"/>
    <s v="Type 2 diabetes mellitus without complications"/>
  </r>
  <r>
    <s v="DIAG-488"/>
    <s v="ENC-488"/>
    <x v="0"/>
    <s v="Type 2 diabetes mellitus without complications"/>
  </r>
  <r>
    <s v="DIAG-489"/>
    <s v="ENC-489"/>
    <x v="0"/>
    <s v="Type 2 diabetes mellitus without complications"/>
  </r>
  <r>
    <s v="DIAG-495"/>
    <s v="ENC-495"/>
    <x v="0"/>
    <s v="Type 2 diabetes mellitus without complications"/>
  </r>
  <r>
    <s v="DIAG-499"/>
    <s v="ENC-499"/>
    <x v="0"/>
    <s v="Type 2 diabetes mellitus without complications"/>
  </r>
  <r>
    <s v="DIAG-10"/>
    <s v="ENC-10"/>
    <x v="1"/>
    <s v="Essential (primary) hypertension"/>
  </r>
  <r>
    <s v="DIAG-11"/>
    <s v="ENC-11"/>
    <x v="1"/>
    <s v="Essential (primary) hypertension"/>
  </r>
  <r>
    <s v="DIAG-13"/>
    <s v="ENC-13"/>
    <x v="1"/>
    <s v="Essential (primary) hypertension"/>
  </r>
  <r>
    <s v="DIAG-17"/>
    <s v="ENC-17"/>
    <x v="1"/>
    <s v="Essential (primary) hypertension"/>
  </r>
  <r>
    <s v="DIAG-19"/>
    <s v="ENC-19"/>
    <x v="1"/>
    <s v="Essential (primary) hypertension"/>
  </r>
  <r>
    <s v="DIAG-23"/>
    <s v="ENC-23"/>
    <x v="1"/>
    <s v="Essential (primary) hypertension"/>
  </r>
  <r>
    <s v="DIAG-29"/>
    <s v="ENC-29"/>
    <x v="1"/>
    <s v="Essential (primary) hypertension"/>
  </r>
  <r>
    <s v="DIAG-30"/>
    <s v="ENC-30"/>
    <x v="1"/>
    <s v="Essential (primary) hypertension"/>
  </r>
  <r>
    <s v="DIAG-31"/>
    <s v="ENC-31"/>
    <x v="1"/>
    <s v="Essential (primary) hypertension"/>
  </r>
  <r>
    <s v="DIAG-45"/>
    <s v="ENC-45"/>
    <x v="1"/>
    <s v="Essential (primary) hypertension"/>
  </r>
  <r>
    <s v="DIAG-50"/>
    <s v="ENC-50"/>
    <x v="1"/>
    <s v="Essential (primary) hypertension"/>
  </r>
  <r>
    <s v="DIAG-62"/>
    <s v="ENC-62"/>
    <x v="1"/>
    <s v="Essential (primary) hypertension"/>
  </r>
  <r>
    <s v="DIAG-66"/>
    <s v="ENC-66"/>
    <x v="1"/>
    <s v="Essential (primary) hypertension"/>
  </r>
  <r>
    <s v="DIAG-69"/>
    <s v="ENC-69"/>
    <x v="1"/>
    <s v="Essential (primary) hypertension"/>
  </r>
  <r>
    <s v="DIAG-71"/>
    <s v="ENC-71"/>
    <x v="1"/>
    <s v="Essential (primary) hypertension"/>
  </r>
  <r>
    <s v="DIAG-76"/>
    <s v="ENC-76"/>
    <x v="1"/>
    <s v="Essential (primary) hypertension"/>
  </r>
  <r>
    <s v="DIAG-77"/>
    <s v="ENC-77"/>
    <x v="1"/>
    <s v="Essential (primary) hypertension"/>
  </r>
  <r>
    <s v="DIAG-78"/>
    <s v="ENC-78"/>
    <x v="1"/>
    <s v="Essential (primary) hypertension"/>
  </r>
  <r>
    <s v="DIAG-84"/>
    <s v="ENC-84"/>
    <x v="1"/>
    <s v="Essential (primary) hypertension"/>
  </r>
  <r>
    <s v="DIAG-86"/>
    <s v="ENC-86"/>
    <x v="1"/>
    <s v="Essential (primary) hypertension"/>
  </r>
  <r>
    <s v="DIAG-87"/>
    <s v="ENC-87"/>
    <x v="1"/>
    <s v="Essential (primary) hypertension"/>
  </r>
  <r>
    <s v="DIAG-88"/>
    <s v="ENC-88"/>
    <x v="1"/>
    <s v="Essential (primary) hypertension"/>
  </r>
  <r>
    <s v="DIAG-89"/>
    <s v="ENC-89"/>
    <x v="1"/>
    <s v="Essential (primary) hypertension"/>
  </r>
  <r>
    <s v="DIAG-91"/>
    <s v="ENC-91"/>
    <x v="1"/>
    <s v="Essential (primary) hypertension"/>
  </r>
  <r>
    <s v="DIAG-93"/>
    <s v="ENC-93"/>
    <x v="1"/>
    <s v="Essential (primary) hypertension"/>
  </r>
  <r>
    <s v="DIAG-94"/>
    <s v="ENC-94"/>
    <x v="1"/>
    <s v="Essential (primary) hypertension"/>
  </r>
  <r>
    <s v="DIAG-99"/>
    <s v="ENC-99"/>
    <x v="1"/>
    <s v="Essential (primary) hypertension"/>
  </r>
  <r>
    <s v="DIAG-100"/>
    <s v="ENC-100"/>
    <x v="1"/>
    <s v="Essential (primary) hypertension"/>
  </r>
  <r>
    <s v="DIAG-102"/>
    <s v="ENC-102"/>
    <x v="1"/>
    <s v="Essential (primary) hypertension"/>
  </r>
  <r>
    <s v="DIAG-104"/>
    <s v="ENC-104"/>
    <x v="1"/>
    <s v="Essential (primary) hypertension"/>
  </r>
  <r>
    <s v="DIAG-106"/>
    <s v="ENC-106"/>
    <x v="1"/>
    <s v="Essential (primary) hypertension"/>
  </r>
  <r>
    <s v="DIAG-108"/>
    <s v="ENC-108"/>
    <x v="1"/>
    <s v="Essential (primary) hypertension"/>
  </r>
  <r>
    <s v="DIAG-109"/>
    <s v="ENC-109"/>
    <x v="1"/>
    <s v="Essential (primary) hypertension"/>
  </r>
  <r>
    <s v="DIAG-110"/>
    <s v="ENC-110"/>
    <x v="1"/>
    <s v="Essential (primary) hypertension"/>
  </r>
  <r>
    <s v="DIAG-118"/>
    <s v="ENC-118"/>
    <x v="1"/>
    <s v="Essential (primary) hypertension"/>
  </r>
  <r>
    <s v="DIAG-124"/>
    <s v="ENC-124"/>
    <x v="1"/>
    <s v="Essential (primary) hypertension"/>
  </r>
  <r>
    <s v="DIAG-126"/>
    <s v="ENC-126"/>
    <x v="1"/>
    <s v="Essential (primary) hypertension"/>
  </r>
  <r>
    <s v="DIAG-127"/>
    <s v="ENC-127"/>
    <x v="1"/>
    <s v="Essential (primary) hypertension"/>
  </r>
  <r>
    <s v="DIAG-131"/>
    <s v="ENC-131"/>
    <x v="1"/>
    <s v="Essential (primary) hypertension"/>
  </r>
  <r>
    <s v="DIAG-137"/>
    <s v="ENC-137"/>
    <x v="1"/>
    <s v="Essential (primary) hypertension"/>
  </r>
  <r>
    <s v="DIAG-144"/>
    <s v="ENC-144"/>
    <x v="1"/>
    <s v="Essential (primary) hypertension"/>
  </r>
  <r>
    <s v="DIAG-152"/>
    <s v="ENC-152"/>
    <x v="1"/>
    <s v="Essential (primary) hypertension"/>
  </r>
  <r>
    <s v="DIAG-154"/>
    <s v="ENC-154"/>
    <x v="1"/>
    <s v="Essential (primary) hypertension"/>
  </r>
  <r>
    <s v="DIAG-157"/>
    <s v="ENC-157"/>
    <x v="1"/>
    <s v="Essential (primary) hypertension"/>
  </r>
  <r>
    <s v="DIAG-160"/>
    <s v="ENC-160"/>
    <x v="1"/>
    <s v="Essential (primary) hypertension"/>
  </r>
  <r>
    <s v="DIAG-166"/>
    <s v="ENC-166"/>
    <x v="1"/>
    <s v="Essential (primary) hypertension"/>
  </r>
  <r>
    <s v="DIAG-174"/>
    <s v="ENC-174"/>
    <x v="1"/>
    <s v="Essential (primary) hypertension"/>
  </r>
  <r>
    <s v="DIAG-176"/>
    <s v="ENC-176"/>
    <x v="1"/>
    <s v="Essential (primary) hypertension"/>
  </r>
  <r>
    <s v="DIAG-177"/>
    <s v="ENC-177"/>
    <x v="1"/>
    <s v="Essential (primary) hypertension"/>
  </r>
  <r>
    <s v="DIAG-178"/>
    <s v="ENC-178"/>
    <x v="1"/>
    <s v="Essential (primary) hypertension"/>
  </r>
  <r>
    <s v="DIAG-179"/>
    <s v="ENC-179"/>
    <x v="1"/>
    <s v="Essential (primary) hypertension"/>
  </r>
  <r>
    <s v="DIAG-180"/>
    <s v="ENC-180"/>
    <x v="1"/>
    <s v="Essential (primary) hypertension"/>
  </r>
  <r>
    <s v="DIAG-187"/>
    <s v="ENC-187"/>
    <x v="1"/>
    <s v="Essential (primary) hypertension"/>
  </r>
  <r>
    <s v="DIAG-191"/>
    <s v="ENC-191"/>
    <x v="1"/>
    <s v="Essential (primary) hypertension"/>
  </r>
  <r>
    <s v="DIAG-199"/>
    <s v="ENC-199"/>
    <x v="1"/>
    <s v="Essential (primary) hypertension"/>
  </r>
  <r>
    <s v="DIAG-210"/>
    <s v="ENC-210"/>
    <x v="1"/>
    <s v="Essential (primary) hypertension"/>
  </r>
  <r>
    <s v="DIAG-212"/>
    <s v="ENC-212"/>
    <x v="1"/>
    <s v="Essential (primary) hypertension"/>
  </r>
  <r>
    <s v="DIAG-213"/>
    <s v="ENC-213"/>
    <x v="1"/>
    <s v="Essential (primary) hypertension"/>
  </r>
  <r>
    <s v="DIAG-214"/>
    <s v="ENC-214"/>
    <x v="1"/>
    <s v="Essential (primary) hypertension"/>
  </r>
  <r>
    <s v="DIAG-220"/>
    <s v="ENC-220"/>
    <x v="1"/>
    <s v="Essential (primary) hypertension"/>
  </r>
  <r>
    <s v="DIAG-223"/>
    <s v="ENC-223"/>
    <x v="1"/>
    <s v="Essential (primary) hypertension"/>
  </r>
  <r>
    <s v="DIAG-230"/>
    <s v="ENC-230"/>
    <x v="1"/>
    <s v="Essential (primary) hypertension"/>
  </r>
  <r>
    <s v="DIAG-236"/>
    <s v="ENC-236"/>
    <x v="1"/>
    <s v="Essential (primary) hypertension"/>
  </r>
  <r>
    <s v="DIAG-238"/>
    <s v="ENC-238"/>
    <x v="1"/>
    <s v="Essential (primary) hypertension"/>
  </r>
  <r>
    <s v="DIAG-241"/>
    <s v="ENC-241"/>
    <x v="1"/>
    <s v="Essential (primary) hypertension"/>
  </r>
  <r>
    <s v="DIAG-246"/>
    <s v="ENC-246"/>
    <x v="1"/>
    <s v="Essential (primary) hypertension"/>
  </r>
  <r>
    <s v="DIAG-250"/>
    <s v="ENC-250"/>
    <x v="1"/>
    <s v="Essential (primary) hypertension"/>
  </r>
  <r>
    <s v="DIAG-254"/>
    <s v="ENC-254"/>
    <x v="1"/>
    <s v="Essential (primary) hypertension"/>
  </r>
  <r>
    <s v="DIAG-259"/>
    <s v="ENC-259"/>
    <x v="1"/>
    <s v="Essential (primary) hypertension"/>
  </r>
  <r>
    <s v="DIAG-261"/>
    <s v="ENC-261"/>
    <x v="1"/>
    <s v="Essential (primary) hypertension"/>
  </r>
  <r>
    <s v="DIAG-266"/>
    <s v="ENC-266"/>
    <x v="1"/>
    <s v="Essential (primary) hypertension"/>
  </r>
  <r>
    <s v="DIAG-275"/>
    <s v="ENC-275"/>
    <x v="1"/>
    <s v="Essential (primary) hypertension"/>
  </r>
  <r>
    <s v="DIAG-282"/>
    <s v="ENC-282"/>
    <x v="1"/>
    <s v="Essential (primary) hypertension"/>
  </r>
  <r>
    <s v="DIAG-288"/>
    <s v="ENC-288"/>
    <x v="1"/>
    <s v="Essential (primary) hypertension"/>
  </r>
  <r>
    <s v="DIAG-292"/>
    <s v="ENC-292"/>
    <x v="1"/>
    <s v="Essential (primary) hypertension"/>
  </r>
  <r>
    <s v="DIAG-298"/>
    <s v="ENC-298"/>
    <x v="1"/>
    <s v="Essential (primary) hypertension"/>
  </r>
  <r>
    <s v="DIAG-304"/>
    <s v="ENC-304"/>
    <x v="1"/>
    <s v="Essential (primary) hypertension"/>
  </r>
  <r>
    <s v="DIAG-312"/>
    <s v="ENC-312"/>
    <x v="1"/>
    <s v="Essential (primary) hypertension"/>
  </r>
  <r>
    <s v="DIAG-316"/>
    <s v="ENC-316"/>
    <x v="1"/>
    <s v="Essential (primary) hypertension"/>
  </r>
  <r>
    <s v="DIAG-329"/>
    <s v="ENC-329"/>
    <x v="1"/>
    <s v="Essential (primary) hypertension"/>
  </r>
  <r>
    <s v="DIAG-340"/>
    <s v="ENC-340"/>
    <x v="1"/>
    <s v="Essential (primary) hypertension"/>
  </r>
  <r>
    <s v="DIAG-341"/>
    <s v="ENC-341"/>
    <x v="1"/>
    <s v="Essential (primary) hypertension"/>
  </r>
  <r>
    <s v="DIAG-342"/>
    <s v="ENC-342"/>
    <x v="1"/>
    <s v="Essential (primary) hypertension"/>
  </r>
  <r>
    <s v="DIAG-350"/>
    <s v="ENC-350"/>
    <x v="1"/>
    <s v="Essential (primary) hypertension"/>
  </r>
  <r>
    <s v="DIAG-353"/>
    <s v="ENC-353"/>
    <x v="1"/>
    <s v="Essential (primary) hypertension"/>
  </r>
  <r>
    <s v="DIAG-354"/>
    <s v="ENC-354"/>
    <x v="1"/>
    <s v="Essential (primary) hypertension"/>
  </r>
  <r>
    <s v="DIAG-356"/>
    <s v="ENC-356"/>
    <x v="1"/>
    <s v="Essential (primary) hypertension"/>
  </r>
  <r>
    <s v="DIAG-366"/>
    <s v="ENC-366"/>
    <x v="1"/>
    <s v="Essential (primary) hypertension"/>
  </r>
  <r>
    <s v="DIAG-384"/>
    <s v="ENC-384"/>
    <x v="1"/>
    <s v="Essential (primary) hypertension"/>
  </r>
  <r>
    <s v="DIAG-387"/>
    <s v="ENC-387"/>
    <x v="1"/>
    <s v="Essential (primary) hypertension"/>
  </r>
  <r>
    <s v="DIAG-396"/>
    <s v="ENC-396"/>
    <x v="1"/>
    <s v="Essential (primary) hypertension"/>
  </r>
  <r>
    <s v="DIAG-398"/>
    <s v="ENC-398"/>
    <x v="1"/>
    <s v="Essential (primary) hypertension"/>
  </r>
  <r>
    <s v="DIAG-400"/>
    <s v="ENC-400"/>
    <x v="1"/>
    <s v="Essential (primary) hypertension"/>
  </r>
  <r>
    <s v="DIAG-406"/>
    <s v="ENC-406"/>
    <x v="1"/>
    <s v="Essential (primary) hypertension"/>
  </r>
  <r>
    <s v="DIAG-416"/>
    <s v="ENC-416"/>
    <x v="1"/>
    <s v="Essential (primary) hypertension"/>
  </r>
  <r>
    <s v="DIAG-420"/>
    <s v="ENC-420"/>
    <x v="1"/>
    <s v="Essential (primary) hypertension"/>
  </r>
  <r>
    <s v="DIAG-430"/>
    <s v="ENC-430"/>
    <x v="1"/>
    <s v="Essential (primary) hypertension"/>
  </r>
  <r>
    <s v="DIAG-436"/>
    <s v="ENC-436"/>
    <x v="1"/>
    <s v="Essential (primary) hypertension"/>
  </r>
  <r>
    <s v="DIAG-438"/>
    <s v="ENC-438"/>
    <x v="1"/>
    <s v="Essential (primary) hypertension"/>
  </r>
  <r>
    <s v="DIAG-439"/>
    <s v="ENC-439"/>
    <x v="1"/>
    <s v="Essential (primary) hypertension"/>
  </r>
  <r>
    <s v="DIAG-441"/>
    <s v="ENC-441"/>
    <x v="1"/>
    <s v="Essential (primary) hypertension"/>
  </r>
  <r>
    <s v="DIAG-450"/>
    <s v="ENC-450"/>
    <x v="1"/>
    <s v="Essential (primary) hypertension"/>
  </r>
  <r>
    <s v="DIAG-460"/>
    <s v="ENC-460"/>
    <x v="1"/>
    <s v="Essential (primary) hypertension"/>
  </r>
  <r>
    <s v="DIAG-470"/>
    <s v="ENC-470"/>
    <x v="1"/>
    <s v="Essential (primary) hypertension"/>
  </r>
  <r>
    <s v="DIAG-475"/>
    <s v="ENC-475"/>
    <x v="1"/>
    <s v="Essential (primary) hypertension"/>
  </r>
  <r>
    <s v="DIAG-480"/>
    <s v="ENC-480"/>
    <x v="1"/>
    <s v="Essential (primary) hypertension"/>
  </r>
  <r>
    <s v="DIAG-482"/>
    <s v="ENC-482"/>
    <x v="1"/>
    <s v="Essential (primary) hypertension"/>
  </r>
  <r>
    <s v="DIAG-486"/>
    <s v="ENC-486"/>
    <x v="1"/>
    <s v="Essential (primary) hypertension"/>
  </r>
  <r>
    <s v="DIAG-493"/>
    <s v="ENC-493"/>
    <x v="1"/>
    <s v="Essential (primary) hypertension"/>
  </r>
  <r>
    <s v="DIAG-494"/>
    <s v="ENC-494"/>
    <x v="1"/>
    <s v="Essential (primary) hypertension"/>
  </r>
  <r>
    <s v="DIAG-496"/>
    <s v="ENC-496"/>
    <x v="1"/>
    <s v="Essential (primary) hypertension"/>
  </r>
  <r>
    <s v="DIAG-4"/>
    <s v="ENC-4"/>
    <x v="2"/>
    <s v="Acute upper respiratory infection, unspecified"/>
  </r>
  <r>
    <s v="DIAG-6"/>
    <s v="ENC-6"/>
    <x v="2"/>
    <s v="Acute upper respiratory infection, unspecified"/>
  </r>
  <r>
    <s v="DIAG-7"/>
    <s v="ENC-7"/>
    <x v="2"/>
    <s v="Acute upper respiratory infection, unspecified"/>
  </r>
  <r>
    <s v="DIAG-9"/>
    <s v="ENC-9"/>
    <x v="2"/>
    <s v="Acute upper respiratory infection, unspecified"/>
  </r>
  <r>
    <s v="DIAG-16"/>
    <s v="ENC-16"/>
    <x v="2"/>
    <s v="Acute upper respiratory infection, unspecified"/>
  </r>
  <r>
    <s v="DIAG-22"/>
    <s v="ENC-22"/>
    <x v="2"/>
    <s v="Acute upper respiratory infection, unspecified"/>
  </r>
  <r>
    <s v="DIAG-24"/>
    <s v="ENC-24"/>
    <x v="2"/>
    <s v="Acute upper respiratory infection, unspecified"/>
  </r>
  <r>
    <s v="DIAG-26"/>
    <s v="ENC-26"/>
    <x v="2"/>
    <s v="Acute upper respiratory infection, unspecified"/>
  </r>
  <r>
    <s v="DIAG-34"/>
    <s v="ENC-34"/>
    <x v="2"/>
    <s v="Acute upper respiratory infection, unspecified"/>
  </r>
  <r>
    <s v="DIAG-36"/>
    <s v="ENC-36"/>
    <x v="2"/>
    <s v="Acute upper respiratory infection, unspecified"/>
  </r>
  <r>
    <s v="DIAG-38"/>
    <s v="ENC-38"/>
    <x v="2"/>
    <s v="Acute upper respiratory infection, unspecified"/>
  </r>
  <r>
    <s v="DIAG-43"/>
    <s v="ENC-43"/>
    <x v="2"/>
    <s v="Acute upper respiratory infection, unspecified"/>
  </r>
  <r>
    <s v="DIAG-51"/>
    <s v="ENC-51"/>
    <x v="2"/>
    <s v="Acute upper respiratory infection, unspecified"/>
  </r>
  <r>
    <s v="DIAG-59"/>
    <s v="ENC-59"/>
    <x v="2"/>
    <s v="Acute upper respiratory infection, unspecified"/>
  </r>
  <r>
    <s v="DIAG-60"/>
    <s v="ENC-60"/>
    <x v="2"/>
    <s v="Acute upper respiratory infection, unspecified"/>
  </r>
  <r>
    <s v="DIAG-70"/>
    <s v="ENC-70"/>
    <x v="2"/>
    <s v="Acute upper respiratory infection, unspecified"/>
  </r>
  <r>
    <s v="DIAG-73"/>
    <s v="ENC-73"/>
    <x v="2"/>
    <s v="Acute upper respiratory infection, unspecified"/>
  </r>
  <r>
    <s v="DIAG-74"/>
    <s v="ENC-74"/>
    <x v="2"/>
    <s v="Acute upper respiratory infection, unspecified"/>
  </r>
  <r>
    <s v="DIAG-81"/>
    <s v="ENC-81"/>
    <x v="2"/>
    <s v="Acute upper respiratory infection, unspecified"/>
  </r>
  <r>
    <s v="DIAG-85"/>
    <s v="ENC-85"/>
    <x v="2"/>
    <s v="Acute upper respiratory infection, unspecified"/>
  </r>
  <r>
    <s v="DIAG-95"/>
    <s v="ENC-95"/>
    <x v="2"/>
    <s v="Acute upper respiratory infection, unspecified"/>
  </r>
  <r>
    <s v="DIAG-105"/>
    <s v="ENC-105"/>
    <x v="2"/>
    <s v="Acute upper respiratory infection, unspecified"/>
  </r>
  <r>
    <s v="DIAG-107"/>
    <s v="ENC-107"/>
    <x v="2"/>
    <s v="Acute upper respiratory infection, unspecified"/>
  </r>
  <r>
    <s v="DIAG-111"/>
    <s v="ENC-111"/>
    <x v="2"/>
    <s v="Acute upper respiratory infection, unspecified"/>
  </r>
  <r>
    <s v="DIAG-120"/>
    <s v="ENC-120"/>
    <x v="2"/>
    <s v="Acute upper respiratory infection, unspecified"/>
  </r>
  <r>
    <s v="DIAG-122"/>
    <s v="ENC-122"/>
    <x v="2"/>
    <s v="Acute upper respiratory infection, unspecified"/>
  </r>
  <r>
    <s v="DIAG-123"/>
    <s v="ENC-123"/>
    <x v="2"/>
    <s v="Acute upper respiratory infection, unspecified"/>
  </r>
  <r>
    <s v="DIAG-129"/>
    <s v="ENC-129"/>
    <x v="2"/>
    <s v="Acute upper respiratory infection, unspecified"/>
  </r>
  <r>
    <s v="DIAG-133"/>
    <s v="ENC-133"/>
    <x v="2"/>
    <s v="Acute upper respiratory infection, unspecified"/>
  </r>
  <r>
    <s v="DIAG-134"/>
    <s v="ENC-134"/>
    <x v="2"/>
    <s v="Acute upper respiratory infection, unspecified"/>
  </r>
  <r>
    <s v="DIAG-149"/>
    <s v="ENC-149"/>
    <x v="2"/>
    <s v="Acute upper respiratory infection, unspecified"/>
  </r>
  <r>
    <s v="DIAG-153"/>
    <s v="ENC-153"/>
    <x v="2"/>
    <s v="Acute upper respiratory infection, unspecified"/>
  </r>
  <r>
    <s v="DIAG-155"/>
    <s v="ENC-155"/>
    <x v="2"/>
    <s v="Acute upper respiratory infection, unspecified"/>
  </r>
  <r>
    <s v="DIAG-161"/>
    <s v="ENC-161"/>
    <x v="2"/>
    <s v="Acute upper respiratory infection, unspecified"/>
  </r>
  <r>
    <s v="DIAG-165"/>
    <s v="ENC-165"/>
    <x v="2"/>
    <s v="Acute upper respiratory infection, unspecified"/>
  </r>
  <r>
    <s v="DIAG-167"/>
    <s v="ENC-167"/>
    <x v="2"/>
    <s v="Acute upper respiratory infection, unspecified"/>
  </r>
  <r>
    <s v="DIAG-169"/>
    <s v="ENC-169"/>
    <x v="2"/>
    <s v="Acute upper respiratory infection, unspecified"/>
  </r>
  <r>
    <s v="DIAG-170"/>
    <s v="ENC-170"/>
    <x v="2"/>
    <s v="Acute upper respiratory infection, unspecified"/>
  </r>
  <r>
    <s v="DIAG-171"/>
    <s v="ENC-171"/>
    <x v="2"/>
    <s v="Acute upper respiratory infection, unspecified"/>
  </r>
  <r>
    <s v="DIAG-173"/>
    <s v="ENC-173"/>
    <x v="2"/>
    <s v="Acute upper respiratory infection, unspecified"/>
  </r>
  <r>
    <s v="DIAG-181"/>
    <s v="ENC-181"/>
    <x v="2"/>
    <s v="Acute upper respiratory infection, unspecified"/>
  </r>
  <r>
    <s v="DIAG-182"/>
    <s v="ENC-182"/>
    <x v="2"/>
    <s v="Acute upper respiratory infection, unspecified"/>
  </r>
  <r>
    <s v="DIAG-184"/>
    <s v="ENC-184"/>
    <x v="2"/>
    <s v="Acute upper respiratory infection, unspecified"/>
  </r>
  <r>
    <s v="DIAG-186"/>
    <s v="ENC-186"/>
    <x v="2"/>
    <s v="Acute upper respiratory infection, unspecified"/>
  </r>
  <r>
    <s v="DIAG-190"/>
    <s v="ENC-190"/>
    <x v="2"/>
    <s v="Acute upper respiratory infection, unspecified"/>
  </r>
  <r>
    <s v="DIAG-192"/>
    <s v="ENC-192"/>
    <x v="2"/>
    <s v="Acute upper respiratory infection, unspecified"/>
  </r>
  <r>
    <s v="DIAG-195"/>
    <s v="ENC-195"/>
    <x v="2"/>
    <s v="Acute upper respiratory infection, unspecified"/>
  </r>
  <r>
    <s v="DIAG-202"/>
    <s v="ENC-202"/>
    <x v="2"/>
    <s v="Acute upper respiratory infection, unspecified"/>
  </r>
  <r>
    <s v="DIAG-203"/>
    <s v="ENC-203"/>
    <x v="2"/>
    <s v="Acute upper respiratory infection, unspecified"/>
  </r>
  <r>
    <s v="DIAG-204"/>
    <s v="ENC-204"/>
    <x v="2"/>
    <s v="Acute upper respiratory infection, unspecified"/>
  </r>
  <r>
    <s v="DIAG-209"/>
    <s v="ENC-209"/>
    <x v="2"/>
    <s v="Acute upper respiratory infection, unspecified"/>
  </r>
  <r>
    <s v="DIAG-218"/>
    <s v="ENC-218"/>
    <x v="2"/>
    <s v="Acute upper respiratory infection, unspecified"/>
  </r>
  <r>
    <s v="DIAG-224"/>
    <s v="ENC-224"/>
    <x v="2"/>
    <s v="Acute upper respiratory infection, unspecified"/>
  </r>
  <r>
    <s v="DIAG-225"/>
    <s v="ENC-225"/>
    <x v="2"/>
    <s v="Acute upper respiratory infection, unspecified"/>
  </r>
  <r>
    <s v="DIAG-229"/>
    <s v="ENC-229"/>
    <x v="2"/>
    <s v="Acute upper respiratory infection, unspecified"/>
  </r>
  <r>
    <s v="DIAG-232"/>
    <s v="ENC-232"/>
    <x v="2"/>
    <s v="Acute upper respiratory infection, unspecified"/>
  </r>
  <r>
    <s v="DIAG-243"/>
    <s v="ENC-243"/>
    <x v="2"/>
    <s v="Acute upper respiratory infection, unspecified"/>
  </r>
  <r>
    <s v="DIAG-252"/>
    <s v="ENC-252"/>
    <x v="2"/>
    <s v="Acute upper respiratory infection, unspecified"/>
  </r>
  <r>
    <s v="DIAG-258"/>
    <s v="ENC-258"/>
    <x v="2"/>
    <s v="Acute upper respiratory infection, unspecified"/>
  </r>
  <r>
    <s v="DIAG-264"/>
    <s v="ENC-264"/>
    <x v="2"/>
    <s v="Acute upper respiratory infection, unspecified"/>
  </r>
  <r>
    <s v="DIAG-267"/>
    <s v="ENC-267"/>
    <x v="2"/>
    <s v="Acute upper respiratory infection, unspecified"/>
  </r>
  <r>
    <s v="DIAG-268"/>
    <s v="ENC-268"/>
    <x v="2"/>
    <s v="Acute upper respiratory infection, unspecified"/>
  </r>
  <r>
    <s v="DIAG-270"/>
    <s v="ENC-270"/>
    <x v="2"/>
    <s v="Acute upper respiratory infection, unspecified"/>
  </r>
  <r>
    <s v="DIAG-272"/>
    <s v="ENC-272"/>
    <x v="2"/>
    <s v="Acute upper respiratory infection, unspecified"/>
  </r>
  <r>
    <s v="DIAG-274"/>
    <s v="ENC-274"/>
    <x v="2"/>
    <s v="Acute upper respiratory infection, unspecified"/>
  </r>
  <r>
    <s v="DIAG-285"/>
    <s v="ENC-285"/>
    <x v="2"/>
    <s v="Acute upper respiratory infection, unspecified"/>
  </r>
  <r>
    <s v="DIAG-297"/>
    <s v="ENC-297"/>
    <x v="2"/>
    <s v="Acute upper respiratory infection, unspecified"/>
  </r>
  <r>
    <s v="DIAG-310"/>
    <s v="ENC-310"/>
    <x v="2"/>
    <s v="Acute upper respiratory infection, unspecified"/>
  </r>
  <r>
    <s v="DIAG-311"/>
    <s v="ENC-311"/>
    <x v="2"/>
    <s v="Acute upper respiratory infection, unspecified"/>
  </r>
  <r>
    <s v="DIAG-323"/>
    <s v="ENC-323"/>
    <x v="2"/>
    <s v="Acute upper respiratory infection, unspecified"/>
  </r>
  <r>
    <s v="DIAG-325"/>
    <s v="ENC-325"/>
    <x v="2"/>
    <s v="Acute upper respiratory infection, unspecified"/>
  </r>
  <r>
    <s v="DIAG-332"/>
    <s v="ENC-332"/>
    <x v="2"/>
    <s v="Acute upper respiratory infection, unspecified"/>
  </r>
  <r>
    <s v="DIAG-344"/>
    <s v="ENC-344"/>
    <x v="2"/>
    <s v="Acute upper respiratory infection, unspecified"/>
  </r>
  <r>
    <s v="DIAG-347"/>
    <s v="ENC-347"/>
    <x v="2"/>
    <s v="Acute upper respiratory infection, unspecified"/>
  </r>
  <r>
    <s v="DIAG-351"/>
    <s v="ENC-351"/>
    <x v="2"/>
    <s v="Acute upper respiratory infection, unspecified"/>
  </r>
  <r>
    <s v="DIAG-352"/>
    <s v="ENC-352"/>
    <x v="2"/>
    <s v="Acute upper respiratory infection, unspecified"/>
  </r>
  <r>
    <s v="DIAG-358"/>
    <s v="ENC-358"/>
    <x v="2"/>
    <s v="Acute upper respiratory infection, unspecified"/>
  </r>
  <r>
    <s v="DIAG-360"/>
    <s v="ENC-360"/>
    <x v="2"/>
    <s v="Acute upper respiratory infection, unspecified"/>
  </r>
  <r>
    <s v="DIAG-362"/>
    <s v="ENC-362"/>
    <x v="2"/>
    <s v="Acute upper respiratory infection, unspecified"/>
  </r>
  <r>
    <s v="DIAG-367"/>
    <s v="ENC-367"/>
    <x v="2"/>
    <s v="Acute upper respiratory infection, unspecified"/>
  </r>
  <r>
    <s v="DIAG-368"/>
    <s v="ENC-368"/>
    <x v="2"/>
    <s v="Acute upper respiratory infection, unspecified"/>
  </r>
  <r>
    <s v="DIAG-370"/>
    <s v="ENC-370"/>
    <x v="2"/>
    <s v="Acute upper respiratory infection, unspecified"/>
  </r>
  <r>
    <s v="DIAG-374"/>
    <s v="ENC-374"/>
    <x v="2"/>
    <s v="Acute upper respiratory infection, unspecified"/>
  </r>
  <r>
    <s v="DIAG-377"/>
    <s v="ENC-377"/>
    <x v="2"/>
    <s v="Acute upper respiratory infection, unspecified"/>
  </r>
  <r>
    <s v="DIAG-385"/>
    <s v="ENC-385"/>
    <x v="2"/>
    <s v="Acute upper respiratory infection, unspecified"/>
  </r>
  <r>
    <s v="DIAG-388"/>
    <s v="ENC-388"/>
    <x v="2"/>
    <s v="Acute upper respiratory infection, unspecified"/>
  </r>
  <r>
    <s v="DIAG-395"/>
    <s v="ENC-395"/>
    <x v="2"/>
    <s v="Acute upper respiratory infection, unspecified"/>
  </r>
  <r>
    <s v="DIAG-404"/>
    <s v="ENC-404"/>
    <x v="2"/>
    <s v="Acute upper respiratory infection, unspecified"/>
  </r>
  <r>
    <s v="DIAG-408"/>
    <s v="ENC-408"/>
    <x v="2"/>
    <s v="Acute upper respiratory infection, unspecified"/>
  </r>
  <r>
    <s v="DIAG-409"/>
    <s v="ENC-409"/>
    <x v="2"/>
    <s v="Acute upper respiratory infection, unspecified"/>
  </r>
  <r>
    <s v="DIAG-417"/>
    <s v="ENC-417"/>
    <x v="2"/>
    <s v="Acute upper respiratory infection, unspecified"/>
  </r>
  <r>
    <s v="DIAG-421"/>
    <s v="ENC-421"/>
    <x v="2"/>
    <s v="Acute upper respiratory infection, unspecified"/>
  </r>
  <r>
    <s v="DIAG-423"/>
    <s v="ENC-423"/>
    <x v="2"/>
    <s v="Acute upper respiratory infection, unspecified"/>
  </r>
  <r>
    <s v="DIAG-429"/>
    <s v="ENC-429"/>
    <x v="2"/>
    <s v="Acute upper respiratory infection, unspecified"/>
  </r>
  <r>
    <s v="DIAG-431"/>
    <s v="ENC-431"/>
    <x v="2"/>
    <s v="Acute upper respiratory infection, unspecified"/>
  </r>
  <r>
    <s v="DIAG-432"/>
    <s v="ENC-432"/>
    <x v="2"/>
    <s v="Acute upper respiratory infection, unspecified"/>
  </r>
  <r>
    <s v="DIAG-444"/>
    <s v="ENC-444"/>
    <x v="2"/>
    <s v="Acute upper respiratory infection, unspecified"/>
  </r>
  <r>
    <s v="DIAG-446"/>
    <s v="ENC-446"/>
    <x v="2"/>
    <s v="Acute upper respiratory infection, unspecified"/>
  </r>
  <r>
    <s v="DIAG-448"/>
    <s v="ENC-448"/>
    <x v="2"/>
    <s v="Acute upper respiratory infection, unspecified"/>
  </r>
  <r>
    <s v="DIAG-451"/>
    <s v="ENC-451"/>
    <x v="2"/>
    <s v="Acute upper respiratory infection, unspecified"/>
  </r>
  <r>
    <s v="DIAG-459"/>
    <s v="ENC-459"/>
    <x v="2"/>
    <s v="Acute upper respiratory infection, unspecified"/>
  </r>
  <r>
    <s v="DIAG-462"/>
    <s v="ENC-462"/>
    <x v="2"/>
    <s v="Acute upper respiratory infection, unspecified"/>
  </r>
  <r>
    <s v="DIAG-464"/>
    <s v="ENC-464"/>
    <x v="2"/>
    <s v="Acute upper respiratory infection, unspecified"/>
  </r>
  <r>
    <s v="DIAG-467"/>
    <s v="ENC-467"/>
    <x v="2"/>
    <s v="Acute upper respiratory infection, unspecified"/>
  </r>
  <r>
    <s v="DIAG-468"/>
    <s v="ENC-468"/>
    <x v="2"/>
    <s v="Acute upper respiratory infection, unspecified"/>
  </r>
  <r>
    <s v="DIAG-474"/>
    <s v="ENC-474"/>
    <x v="2"/>
    <s v="Acute upper respiratory infection, unspecified"/>
  </r>
  <r>
    <s v="DIAG-478"/>
    <s v="ENC-478"/>
    <x v="2"/>
    <s v="Acute upper respiratory infection, unspecified"/>
  </r>
  <r>
    <s v="DIAG-2"/>
    <s v="ENC-2"/>
    <x v="3"/>
    <s v="Gastro-esophageal reflux disease without esophagitis"/>
  </r>
  <r>
    <s v="DIAG-3"/>
    <s v="ENC-3"/>
    <x v="3"/>
    <s v="Gastro-esophageal reflux disease without esophagitis"/>
  </r>
  <r>
    <s v="DIAG-12"/>
    <s v="ENC-12"/>
    <x v="3"/>
    <s v="Gastro-esophageal reflux disease without esophagitis"/>
  </r>
  <r>
    <s v="DIAG-15"/>
    <s v="ENC-15"/>
    <x v="3"/>
    <s v="Gastro-esophageal reflux disease without esophagitis"/>
  </r>
  <r>
    <s v="DIAG-18"/>
    <s v="ENC-18"/>
    <x v="3"/>
    <s v="Gastro-esophageal reflux disease without esophagitis"/>
  </r>
  <r>
    <s v="DIAG-21"/>
    <s v="ENC-21"/>
    <x v="3"/>
    <s v="Gastro-esophageal reflux disease without esophagitis"/>
  </r>
  <r>
    <s v="DIAG-33"/>
    <s v="ENC-33"/>
    <x v="3"/>
    <s v="Gastro-esophageal reflux disease without esophagitis"/>
  </r>
  <r>
    <s v="DIAG-37"/>
    <s v="ENC-37"/>
    <x v="3"/>
    <s v="Gastro-esophageal reflux disease without esophagitis"/>
  </r>
  <r>
    <s v="DIAG-40"/>
    <s v="ENC-40"/>
    <x v="3"/>
    <s v="Gastro-esophageal reflux disease without esophagitis"/>
  </r>
  <r>
    <s v="DIAG-41"/>
    <s v="ENC-41"/>
    <x v="3"/>
    <s v="Gastro-esophageal reflux disease without esophagitis"/>
  </r>
  <r>
    <s v="DIAG-44"/>
    <s v="ENC-44"/>
    <x v="3"/>
    <s v="Gastro-esophageal reflux disease without esophagitis"/>
  </r>
  <r>
    <s v="DIAG-47"/>
    <s v="ENC-47"/>
    <x v="3"/>
    <s v="Gastro-esophageal reflux disease without esophagitis"/>
  </r>
  <r>
    <s v="DIAG-61"/>
    <s v="ENC-61"/>
    <x v="3"/>
    <s v="Gastro-esophageal reflux disease without esophagitis"/>
  </r>
  <r>
    <s v="DIAG-63"/>
    <s v="ENC-63"/>
    <x v="3"/>
    <s v="Gastro-esophageal reflux disease without esophagitis"/>
  </r>
  <r>
    <s v="DIAG-64"/>
    <s v="ENC-64"/>
    <x v="3"/>
    <s v="Gastro-esophageal reflux disease without esophagitis"/>
  </r>
  <r>
    <s v="DIAG-65"/>
    <s v="ENC-65"/>
    <x v="3"/>
    <s v="Gastro-esophageal reflux disease without esophagitis"/>
  </r>
  <r>
    <s v="DIAG-67"/>
    <s v="ENC-67"/>
    <x v="3"/>
    <s v="Gastro-esophageal reflux disease without esophagitis"/>
  </r>
  <r>
    <s v="DIAG-75"/>
    <s v="ENC-75"/>
    <x v="3"/>
    <s v="Gastro-esophageal reflux disease without esophagitis"/>
  </r>
  <r>
    <s v="DIAG-80"/>
    <s v="ENC-80"/>
    <x v="3"/>
    <s v="Gastro-esophageal reflux disease without esophagitis"/>
  </r>
  <r>
    <s v="DIAG-82"/>
    <s v="ENC-82"/>
    <x v="3"/>
    <s v="Gastro-esophageal reflux disease without esophagitis"/>
  </r>
  <r>
    <s v="DIAG-113"/>
    <s v="ENC-113"/>
    <x v="3"/>
    <s v="Gastro-esophageal reflux disease without esophagitis"/>
  </r>
  <r>
    <s v="DIAG-114"/>
    <s v="ENC-114"/>
    <x v="3"/>
    <s v="Gastro-esophageal reflux disease without esophagitis"/>
  </r>
  <r>
    <s v="DIAG-128"/>
    <s v="ENC-128"/>
    <x v="3"/>
    <s v="Gastro-esophageal reflux disease without esophagitis"/>
  </r>
  <r>
    <s v="DIAG-132"/>
    <s v="ENC-132"/>
    <x v="3"/>
    <s v="Gastro-esophageal reflux disease without esophagitis"/>
  </r>
  <r>
    <s v="DIAG-138"/>
    <s v="ENC-138"/>
    <x v="3"/>
    <s v="Gastro-esophageal reflux disease without esophagitis"/>
  </r>
  <r>
    <s v="DIAG-139"/>
    <s v="ENC-139"/>
    <x v="3"/>
    <s v="Gastro-esophageal reflux disease without esophagitis"/>
  </r>
  <r>
    <s v="DIAG-141"/>
    <s v="ENC-141"/>
    <x v="3"/>
    <s v="Gastro-esophageal reflux disease without esophagitis"/>
  </r>
  <r>
    <s v="DIAG-143"/>
    <s v="ENC-143"/>
    <x v="3"/>
    <s v="Gastro-esophageal reflux disease without esophagitis"/>
  </r>
  <r>
    <s v="DIAG-145"/>
    <s v="ENC-145"/>
    <x v="3"/>
    <s v="Gastro-esophageal reflux disease without esophagitis"/>
  </r>
  <r>
    <s v="DIAG-147"/>
    <s v="ENC-147"/>
    <x v="3"/>
    <s v="Gastro-esophageal reflux disease without esophagitis"/>
  </r>
  <r>
    <s v="DIAG-156"/>
    <s v="ENC-156"/>
    <x v="3"/>
    <s v="Gastro-esophageal reflux disease without esophagitis"/>
  </r>
  <r>
    <s v="DIAG-159"/>
    <s v="ENC-159"/>
    <x v="3"/>
    <s v="Gastro-esophageal reflux disease without esophagitis"/>
  </r>
  <r>
    <s v="DIAG-164"/>
    <s v="ENC-164"/>
    <x v="3"/>
    <s v="Gastro-esophageal reflux disease without esophagitis"/>
  </r>
  <r>
    <s v="DIAG-168"/>
    <s v="ENC-168"/>
    <x v="3"/>
    <s v="Gastro-esophageal reflux disease without esophagitis"/>
  </r>
  <r>
    <s v="DIAG-201"/>
    <s v="ENC-201"/>
    <x v="3"/>
    <s v="Gastro-esophageal reflux disease without esophagitis"/>
  </r>
  <r>
    <s v="DIAG-206"/>
    <s v="ENC-206"/>
    <x v="3"/>
    <s v="Gastro-esophageal reflux disease without esophagitis"/>
  </r>
  <r>
    <s v="DIAG-208"/>
    <s v="ENC-208"/>
    <x v="3"/>
    <s v="Gastro-esophageal reflux disease without esophagitis"/>
  </r>
  <r>
    <s v="DIAG-219"/>
    <s v="ENC-219"/>
    <x v="3"/>
    <s v="Gastro-esophageal reflux disease without esophagitis"/>
  </r>
  <r>
    <s v="DIAG-221"/>
    <s v="ENC-221"/>
    <x v="3"/>
    <s v="Gastro-esophageal reflux disease without esophagitis"/>
  </r>
  <r>
    <s v="DIAG-226"/>
    <s v="ENC-226"/>
    <x v="3"/>
    <s v="Gastro-esophageal reflux disease without esophagitis"/>
  </r>
  <r>
    <s v="DIAG-231"/>
    <s v="ENC-231"/>
    <x v="3"/>
    <s v="Gastro-esophageal reflux disease without esophagitis"/>
  </r>
  <r>
    <s v="DIAG-233"/>
    <s v="ENC-233"/>
    <x v="3"/>
    <s v="Gastro-esophageal reflux disease without esophagitis"/>
  </r>
  <r>
    <s v="DIAG-240"/>
    <s v="ENC-240"/>
    <x v="3"/>
    <s v="Gastro-esophageal reflux disease without esophagitis"/>
  </r>
  <r>
    <s v="DIAG-248"/>
    <s v="ENC-248"/>
    <x v="3"/>
    <s v="Gastro-esophageal reflux disease without esophagitis"/>
  </r>
  <r>
    <s v="DIAG-251"/>
    <s v="ENC-251"/>
    <x v="3"/>
    <s v="Gastro-esophageal reflux disease without esophagitis"/>
  </r>
  <r>
    <s v="DIAG-260"/>
    <s v="ENC-260"/>
    <x v="3"/>
    <s v="Gastro-esophageal reflux disease without esophagitis"/>
  </r>
  <r>
    <s v="DIAG-271"/>
    <s v="ENC-271"/>
    <x v="3"/>
    <s v="Gastro-esophageal reflux disease without esophagitis"/>
  </r>
  <r>
    <s v="DIAG-276"/>
    <s v="ENC-276"/>
    <x v="3"/>
    <s v="Gastro-esophageal reflux disease without esophagitis"/>
  </r>
  <r>
    <s v="DIAG-279"/>
    <s v="ENC-279"/>
    <x v="3"/>
    <s v="Gastro-esophageal reflux disease without esophagitis"/>
  </r>
  <r>
    <s v="DIAG-281"/>
    <s v="ENC-281"/>
    <x v="3"/>
    <s v="Gastro-esophageal reflux disease without esophagitis"/>
  </r>
  <r>
    <s v="DIAG-287"/>
    <s v="ENC-287"/>
    <x v="3"/>
    <s v="Gastro-esophageal reflux disease without esophagitis"/>
  </r>
  <r>
    <s v="DIAG-289"/>
    <s v="ENC-289"/>
    <x v="3"/>
    <s v="Gastro-esophageal reflux disease without esophagitis"/>
  </r>
  <r>
    <s v="DIAG-290"/>
    <s v="ENC-290"/>
    <x v="3"/>
    <s v="Gastro-esophageal reflux disease without esophagitis"/>
  </r>
  <r>
    <s v="DIAG-291"/>
    <s v="ENC-291"/>
    <x v="3"/>
    <s v="Gastro-esophageal reflux disease without esophagitis"/>
  </r>
  <r>
    <s v="DIAG-296"/>
    <s v="ENC-296"/>
    <x v="3"/>
    <s v="Gastro-esophageal reflux disease without esophagitis"/>
  </r>
  <r>
    <s v="DIAG-300"/>
    <s v="ENC-300"/>
    <x v="3"/>
    <s v="Gastro-esophageal reflux disease without esophagitis"/>
  </r>
  <r>
    <s v="DIAG-315"/>
    <s v="ENC-315"/>
    <x v="3"/>
    <s v="Gastro-esophageal reflux disease without esophagitis"/>
  </r>
  <r>
    <s v="DIAG-317"/>
    <s v="ENC-317"/>
    <x v="3"/>
    <s v="Gastro-esophageal reflux disease without esophagitis"/>
  </r>
  <r>
    <s v="DIAG-318"/>
    <s v="ENC-318"/>
    <x v="3"/>
    <s v="Gastro-esophageal reflux disease without esophagitis"/>
  </r>
  <r>
    <s v="DIAG-322"/>
    <s v="ENC-322"/>
    <x v="3"/>
    <s v="Gastro-esophageal reflux disease without esophagitis"/>
  </r>
  <r>
    <s v="DIAG-324"/>
    <s v="ENC-324"/>
    <x v="3"/>
    <s v="Gastro-esophageal reflux disease without esophagitis"/>
  </r>
  <r>
    <s v="DIAG-326"/>
    <s v="ENC-326"/>
    <x v="3"/>
    <s v="Gastro-esophageal reflux disease without esophagitis"/>
  </r>
  <r>
    <s v="DIAG-328"/>
    <s v="ENC-328"/>
    <x v="3"/>
    <s v="Gastro-esophageal reflux disease without esophagitis"/>
  </r>
  <r>
    <s v="DIAG-338"/>
    <s v="ENC-338"/>
    <x v="3"/>
    <s v="Gastro-esophageal reflux disease without esophagitis"/>
  </r>
  <r>
    <s v="DIAG-348"/>
    <s v="ENC-348"/>
    <x v="3"/>
    <s v="Gastro-esophageal reflux disease without esophagitis"/>
  </r>
  <r>
    <s v="DIAG-355"/>
    <s v="ENC-355"/>
    <x v="3"/>
    <s v="Gastro-esophageal reflux disease without esophagitis"/>
  </r>
  <r>
    <s v="DIAG-359"/>
    <s v="ENC-359"/>
    <x v="3"/>
    <s v="Gastro-esophageal reflux disease without esophagitis"/>
  </r>
  <r>
    <s v="DIAG-365"/>
    <s v="ENC-365"/>
    <x v="3"/>
    <s v="Gastro-esophageal reflux disease without esophagitis"/>
  </r>
  <r>
    <s v="DIAG-373"/>
    <s v="ENC-373"/>
    <x v="3"/>
    <s v="Gastro-esophageal reflux disease without esophagitis"/>
  </r>
  <r>
    <s v="DIAG-376"/>
    <s v="ENC-376"/>
    <x v="3"/>
    <s v="Gastro-esophageal reflux disease without esophagitis"/>
  </r>
  <r>
    <s v="DIAG-389"/>
    <s v="ENC-389"/>
    <x v="3"/>
    <s v="Gastro-esophageal reflux disease without esophagitis"/>
  </r>
  <r>
    <s v="DIAG-394"/>
    <s v="ENC-394"/>
    <x v="3"/>
    <s v="Gastro-esophageal reflux disease without esophagitis"/>
  </r>
  <r>
    <s v="DIAG-407"/>
    <s v="ENC-407"/>
    <x v="3"/>
    <s v="Gastro-esophageal reflux disease without esophagitis"/>
  </r>
  <r>
    <s v="DIAG-414"/>
    <s v="ENC-414"/>
    <x v="3"/>
    <s v="Gastro-esophageal reflux disease without esophagitis"/>
  </r>
  <r>
    <s v="DIAG-419"/>
    <s v="ENC-419"/>
    <x v="3"/>
    <s v="Gastro-esophageal reflux disease without esophagitis"/>
  </r>
  <r>
    <s v="DIAG-425"/>
    <s v="ENC-425"/>
    <x v="3"/>
    <s v="Gastro-esophageal reflux disease without esophagitis"/>
  </r>
  <r>
    <s v="DIAG-426"/>
    <s v="ENC-426"/>
    <x v="3"/>
    <s v="Gastro-esophageal reflux disease without esophagitis"/>
  </r>
  <r>
    <s v="DIAG-434"/>
    <s v="ENC-434"/>
    <x v="3"/>
    <s v="Gastro-esophageal reflux disease without esophagitis"/>
  </r>
  <r>
    <s v="DIAG-442"/>
    <s v="ENC-442"/>
    <x v="3"/>
    <s v="Gastro-esophageal reflux disease without esophagitis"/>
  </r>
  <r>
    <s v="DIAG-443"/>
    <s v="ENC-443"/>
    <x v="3"/>
    <s v="Gastro-esophageal reflux disease without esophagitis"/>
  </r>
  <r>
    <s v="DIAG-445"/>
    <s v="ENC-445"/>
    <x v="3"/>
    <s v="Gastro-esophageal reflux disease without esophagitis"/>
  </r>
  <r>
    <s v="DIAG-453"/>
    <s v="ENC-453"/>
    <x v="3"/>
    <s v="Gastro-esophageal reflux disease without esophagitis"/>
  </r>
  <r>
    <s v="DIAG-455"/>
    <s v="ENC-455"/>
    <x v="3"/>
    <s v="Gastro-esophageal reflux disease without esophagitis"/>
  </r>
  <r>
    <s v="DIAG-461"/>
    <s v="ENC-461"/>
    <x v="3"/>
    <s v="Gastro-esophageal reflux disease without esophagitis"/>
  </r>
  <r>
    <s v="DIAG-479"/>
    <s v="ENC-479"/>
    <x v="3"/>
    <s v="Gastro-esophageal reflux disease without esophagitis"/>
  </r>
  <r>
    <s v="DIAG-481"/>
    <s v="ENC-481"/>
    <x v="3"/>
    <s v="Gastro-esophageal reflux disease without esophagitis"/>
  </r>
  <r>
    <s v="DIAG-490"/>
    <s v="ENC-490"/>
    <x v="3"/>
    <s v="Gastro-esophageal reflux disease without esophagitis"/>
  </r>
  <r>
    <s v="DIAG-491"/>
    <s v="ENC-491"/>
    <x v="3"/>
    <s v="Gastro-esophageal reflux disease without esophagitis"/>
  </r>
  <r>
    <s v="DIAG-498"/>
    <s v="ENC-498"/>
    <x v="3"/>
    <s v="Gastro-esophageal reflux disease without esophagitis"/>
  </r>
  <r>
    <s v="DIAG-14"/>
    <s v="ENC-14"/>
    <x v="4"/>
    <s v="Low back pain"/>
  </r>
  <r>
    <s v="DIAG-20"/>
    <s v="ENC-20"/>
    <x v="4"/>
    <s v="Low back pain"/>
  </r>
  <r>
    <s v="DIAG-27"/>
    <s v="ENC-27"/>
    <x v="4"/>
    <s v="Low back pain"/>
  </r>
  <r>
    <s v="DIAG-28"/>
    <s v="ENC-28"/>
    <x v="4"/>
    <s v="Low back pain"/>
  </r>
  <r>
    <s v="DIAG-32"/>
    <s v="ENC-32"/>
    <x v="4"/>
    <s v="Low back pain"/>
  </r>
  <r>
    <s v="DIAG-39"/>
    <s v="ENC-39"/>
    <x v="4"/>
    <s v="Low back pain"/>
  </r>
  <r>
    <s v="DIAG-42"/>
    <s v="ENC-42"/>
    <x v="4"/>
    <s v="Low back pain"/>
  </r>
  <r>
    <s v="DIAG-46"/>
    <s v="ENC-46"/>
    <x v="4"/>
    <s v="Low back pain"/>
  </r>
  <r>
    <s v="DIAG-48"/>
    <s v="ENC-48"/>
    <x v="4"/>
    <s v="Low back pain"/>
  </r>
  <r>
    <s v="DIAG-52"/>
    <s v="ENC-52"/>
    <x v="4"/>
    <s v="Low back pain"/>
  </r>
  <r>
    <s v="DIAG-53"/>
    <s v="ENC-53"/>
    <x v="4"/>
    <s v="Low back pain"/>
  </r>
  <r>
    <s v="DIAG-54"/>
    <s v="ENC-54"/>
    <x v="4"/>
    <s v="Low back pain"/>
  </r>
  <r>
    <s v="DIAG-56"/>
    <s v="ENC-56"/>
    <x v="4"/>
    <s v="Low back pain"/>
  </r>
  <r>
    <s v="DIAG-57"/>
    <s v="ENC-57"/>
    <x v="4"/>
    <s v="Low back pain"/>
  </r>
  <r>
    <s v="DIAG-68"/>
    <s v="ENC-68"/>
    <x v="4"/>
    <s v="Low back pain"/>
  </r>
  <r>
    <s v="DIAG-72"/>
    <s v="ENC-72"/>
    <x v="4"/>
    <s v="Low back pain"/>
  </r>
  <r>
    <s v="DIAG-79"/>
    <s v="ENC-79"/>
    <x v="4"/>
    <s v="Low back pain"/>
  </r>
  <r>
    <s v="DIAG-83"/>
    <s v="ENC-83"/>
    <x v="4"/>
    <s v="Low back pain"/>
  </r>
  <r>
    <s v="DIAG-90"/>
    <s v="ENC-90"/>
    <x v="4"/>
    <s v="Low back pain"/>
  </r>
  <r>
    <s v="DIAG-92"/>
    <s v="ENC-92"/>
    <x v="4"/>
    <s v="Low back pain"/>
  </r>
  <r>
    <s v="DIAG-97"/>
    <s v="ENC-97"/>
    <x v="4"/>
    <s v="Low back pain"/>
  </r>
  <r>
    <s v="DIAG-103"/>
    <s v="ENC-103"/>
    <x v="4"/>
    <s v="Low back pain"/>
  </r>
  <r>
    <s v="DIAG-112"/>
    <s v="ENC-112"/>
    <x v="4"/>
    <s v="Low back pain"/>
  </r>
  <r>
    <s v="DIAG-115"/>
    <s v="ENC-115"/>
    <x v="4"/>
    <s v="Low back pain"/>
  </r>
  <r>
    <s v="DIAG-116"/>
    <s v="ENC-116"/>
    <x v="4"/>
    <s v="Low back pain"/>
  </r>
  <r>
    <s v="DIAG-125"/>
    <s v="ENC-125"/>
    <x v="4"/>
    <s v="Low back pain"/>
  </r>
  <r>
    <s v="DIAG-130"/>
    <s v="ENC-130"/>
    <x v="4"/>
    <s v="Low back pain"/>
  </r>
  <r>
    <s v="DIAG-135"/>
    <s v="ENC-135"/>
    <x v="4"/>
    <s v="Low back pain"/>
  </r>
  <r>
    <s v="DIAG-140"/>
    <s v="ENC-140"/>
    <x v="4"/>
    <s v="Low back pain"/>
  </r>
  <r>
    <s v="DIAG-142"/>
    <s v="ENC-142"/>
    <x v="4"/>
    <s v="Low back pain"/>
  </r>
  <r>
    <s v="DIAG-158"/>
    <s v="ENC-158"/>
    <x v="4"/>
    <s v="Low back pain"/>
  </r>
  <r>
    <s v="DIAG-163"/>
    <s v="ENC-163"/>
    <x v="4"/>
    <s v="Low back pain"/>
  </r>
  <r>
    <s v="DIAG-175"/>
    <s v="ENC-175"/>
    <x v="4"/>
    <s v="Low back pain"/>
  </r>
  <r>
    <s v="DIAG-183"/>
    <s v="ENC-183"/>
    <x v="4"/>
    <s v="Low back pain"/>
  </r>
  <r>
    <s v="DIAG-189"/>
    <s v="ENC-189"/>
    <x v="4"/>
    <s v="Low back pain"/>
  </r>
  <r>
    <s v="DIAG-193"/>
    <s v="ENC-193"/>
    <x v="4"/>
    <s v="Low back pain"/>
  </r>
  <r>
    <s v="DIAG-194"/>
    <s v="ENC-194"/>
    <x v="4"/>
    <s v="Low back pain"/>
  </r>
  <r>
    <s v="DIAG-197"/>
    <s v="ENC-197"/>
    <x v="4"/>
    <s v="Low back pain"/>
  </r>
  <r>
    <s v="DIAG-198"/>
    <s v="ENC-198"/>
    <x v="4"/>
    <s v="Low back pain"/>
  </r>
  <r>
    <s v="DIAG-200"/>
    <s v="ENC-200"/>
    <x v="4"/>
    <s v="Low back pain"/>
  </r>
  <r>
    <s v="DIAG-211"/>
    <s v="ENC-211"/>
    <x v="4"/>
    <s v="Low back pain"/>
  </r>
  <r>
    <s v="DIAG-215"/>
    <s v="ENC-215"/>
    <x v="4"/>
    <s v="Low back pain"/>
  </r>
  <r>
    <s v="DIAG-216"/>
    <s v="ENC-216"/>
    <x v="4"/>
    <s v="Low back pain"/>
  </r>
  <r>
    <s v="DIAG-222"/>
    <s v="ENC-222"/>
    <x v="4"/>
    <s v="Low back pain"/>
  </r>
  <r>
    <s v="DIAG-227"/>
    <s v="ENC-227"/>
    <x v="4"/>
    <s v="Low back pain"/>
  </r>
  <r>
    <s v="DIAG-234"/>
    <s v="ENC-234"/>
    <x v="4"/>
    <s v="Low back pain"/>
  </r>
  <r>
    <s v="DIAG-235"/>
    <s v="ENC-235"/>
    <x v="4"/>
    <s v="Low back pain"/>
  </r>
  <r>
    <s v="DIAG-242"/>
    <s v="ENC-242"/>
    <x v="4"/>
    <s v="Low back pain"/>
  </r>
  <r>
    <s v="DIAG-244"/>
    <s v="ENC-244"/>
    <x v="4"/>
    <s v="Low back pain"/>
  </r>
  <r>
    <s v="DIAG-245"/>
    <s v="ENC-245"/>
    <x v="4"/>
    <s v="Low back pain"/>
  </r>
  <r>
    <s v="DIAG-247"/>
    <s v="ENC-247"/>
    <x v="4"/>
    <s v="Low back pain"/>
  </r>
  <r>
    <s v="DIAG-249"/>
    <s v="ENC-249"/>
    <x v="4"/>
    <s v="Low back pain"/>
  </r>
  <r>
    <s v="DIAG-253"/>
    <s v="ENC-253"/>
    <x v="4"/>
    <s v="Low back pain"/>
  </r>
  <r>
    <s v="DIAG-255"/>
    <s v="ENC-255"/>
    <x v="4"/>
    <s v="Low back pain"/>
  </r>
  <r>
    <s v="DIAG-257"/>
    <s v="ENC-257"/>
    <x v="4"/>
    <s v="Low back pain"/>
  </r>
  <r>
    <s v="DIAG-262"/>
    <s v="ENC-262"/>
    <x v="4"/>
    <s v="Low back pain"/>
  </r>
  <r>
    <s v="DIAG-263"/>
    <s v="ENC-263"/>
    <x v="4"/>
    <s v="Low back pain"/>
  </r>
  <r>
    <s v="DIAG-265"/>
    <s v="ENC-265"/>
    <x v="4"/>
    <s v="Low back pain"/>
  </r>
  <r>
    <s v="DIAG-269"/>
    <s v="ENC-269"/>
    <x v="4"/>
    <s v="Low back pain"/>
  </r>
  <r>
    <s v="DIAG-293"/>
    <s v="ENC-293"/>
    <x v="4"/>
    <s v="Low back pain"/>
  </r>
  <r>
    <s v="DIAG-295"/>
    <s v="ENC-295"/>
    <x v="4"/>
    <s v="Low back pain"/>
  </r>
  <r>
    <s v="DIAG-299"/>
    <s v="ENC-299"/>
    <x v="4"/>
    <s v="Low back pain"/>
  </r>
  <r>
    <s v="DIAG-301"/>
    <s v="ENC-301"/>
    <x v="4"/>
    <s v="Low back pain"/>
  </r>
  <r>
    <s v="DIAG-302"/>
    <s v="ENC-302"/>
    <x v="4"/>
    <s v="Low back pain"/>
  </r>
  <r>
    <s v="DIAG-309"/>
    <s v="ENC-309"/>
    <x v="4"/>
    <s v="Low back pain"/>
  </r>
  <r>
    <s v="DIAG-320"/>
    <s v="ENC-320"/>
    <x v="4"/>
    <s v="Low back pain"/>
  </r>
  <r>
    <s v="DIAG-331"/>
    <s v="ENC-331"/>
    <x v="4"/>
    <s v="Low back pain"/>
  </r>
  <r>
    <s v="DIAG-336"/>
    <s v="ENC-336"/>
    <x v="4"/>
    <s v="Low back pain"/>
  </r>
  <r>
    <s v="DIAG-339"/>
    <s v="ENC-339"/>
    <x v="4"/>
    <s v="Low back pain"/>
  </r>
  <r>
    <s v="DIAG-361"/>
    <s v="ENC-361"/>
    <x v="4"/>
    <s v="Low back pain"/>
  </r>
  <r>
    <s v="DIAG-363"/>
    <s v="ENC-363"/>
    <x v="4"/>
    <s v="Low back pain"/>
  </r>
  <r>
    <s v="DIAG-371"/>
    <s v="ENC-371"/>
    <x v="4"/>
    <s v="Low back pain"/>
  </r>
  <r>
    <s v="DIAG-378"/>
    <s v="ENC-378"/>
    <x v="4"/>
    <s v="Low back pain"/>
  </r>
  <r>
    <s v="DIAG-381"/>
    <s v="ENC-381"/>
    <x v="4"/>
    <s v="Low back pain"/>
  </r>
  <r>
    <s v="DIAG-386"/>
    <s v="ENC-386"/>
    <x v="4"/>
    <s v="Low back pain"/>
  </r>
  <r>
    <s v="DIAG-390"/>
    <s v="ENC-390"/>
    <x v="4"/>
    <s v="Low back pain"/>
  </r>
  <r>
    <s v="DIAG-391"/>
    <s v="ENC-391"/>
    <x v="4"/>
    <s v="Low back pain"/>
  </r>
  <r>
    <s v="DIAG-393"/>
    <s v="ENC-393"/>
    <x v="4"/>
    <s v="Low back pain"/>
  </r>
  <r>
    <s v="DIAG-397"/>
    <s v="ENC-397"/>
    <x v="4"/>
    <s v="Low back pain"/>
  </r>
  <r>
    <s v="DIAG-399"/>
    <s v="ENC-399"/>
    <x v="4"/>
    <s v="Low back pain"/>
  </r>
  <r>
    <s v="DIAG-401"/>
    <s v="ENC-401"/>
    <x v="4"/>
    <s v="Low back pain"/>
  </r>
  <r>
    <s v="DIAG-402"/>
    <s v="ENC-402"/>
    <x v="4"/>
    <s v="Low back pain"/>
  </r>
  <r>
    <s v="DIAG-403"/>
    <s v="ENC-403"/>
    <x v="4"/>
    <s v="Low back pain"/>
  </r>
  <r>
    <s v="DIAG-418"/>
    <s v="ENC-418"/>
    <x v="4"/>
    <s v="Low back pain"/>
  </r>
  <r>
    <s v="DIAG-424"/>
    <s v="ENC-424"/>
    <x v="4"/>
    <s v="Low back pain"/>
  </r>
  <r>
    <s v="DIAG-427"/>
    <s v="ENC-427"/>
    <x v="4"/>
    <s v="Low back pain"/>
  </r>
  <r>
    <s v="DIAG-447"/>
    <s v="ENC-447"/>
    <x v="4"/>
    <s v="Low back pain"/>
  </r>
  <r>
    <s v="DIAG-449"/>
    <s v="ENC-449"/>
    <x v="4"/>
    <s v="Low back pain"/>
  </r>
  <r>
    <s v="DIAG-456"/>
    <s v="ENC-456"/>
    <x v="4"/>
    <s v="Low back pain"/>
  </r>
  <r>
    <s v="DIAG-465"/>
    <s v="ENC-465"/>
    <x v="4"/>
    <s v="Low back pain"/>
  </r>
  <r>
    <s v="DIAG-469"/>
    <s v="ENC-469"/>
    <x v="4"/>
    <s v="Low back pain"/>
  </r>
  <r>
    <s v="DIAG-477"/>
    <s v="ENC-477"/>
    <x v="4"/>
    <s v="Low back pain"/>
  </r>
  <r>
    <s v="DIAG-483"/>
    <s v="ENC-483"/>
    <x v="4"/>
    <s v="Low back pain"/>
  </r>
  <r>
    <s v="DIAG-492"/>
    <s v="ENC-492"/>
    <x v="4"/>
    <s v="Low back pain"/>
  </r>
  <r>
    <s v="DIAG-497"/>
    <s v="ENC-497"/>
    <x v="4"/>
    <s v="Low back pain"/>
  </r>
  <r>
    <s v="DIAG-500"/>
    <s v="ENC-500"/>
    <x v="4"/>
    <s v="Low back pai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C2DA06-E48D-4F88-B7F2-FBDCA1475A7D}" name="pvtDiagnosisFrequency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L4:M10" firstHeaderRow="1" firstDataRow="1" firstDataCol="1"/>
  <pivotFields count="4">
    <pivotField dataField="1" compact="0" outline="0" showAll="0" defaultSubtotal="0"/>
    <pivotField compact="0" outline="0" showAll="0" defaultSubtotal="0"/>
    <pivotField axis="axisRow" compact="0" outline="0" showAll="0" defaultSubtotal="0">
      <items count="5">
        <item x="0"/>
        <item x="1"/>
        <item x="2"/>
        <item x="3"/>
        <item x="4"/>
      </items>
    </pivotField>
    <pivotField compact="0" outline="0"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DiagnosisID" fld="0" subtotal="count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2" type="button" dataOnly="0" labelOnly="1" outline="0" axis="axisRow" fieldPosition="0"/>
    </format>
    <format dxfId="2">
      <pivotArea dataOnly="0" labelOnly="1" outline="0" fieldPosition="0">
        <references count="1">
          <reference field="2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8CD3F4-9342-4A5D-AD03-1C3E100C4A3C}" name="pvtChargesByCPT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H4:I9" firstHeaderRow="1" firstDataRow="1" firstDataCol="1"/>
  <pivotFields count="5">
    <pivotField compact="0" outline="0" showAll="0" defaultSubtotal="0"/>
    <pivotField compact="0" outline="0" showAll="0" defaultSubtotal="0"/>
    <pivotField axis="axisRow" compact="0" outline="0" showAll="0" defaultSubtotal="0">
      <items count="4">
        <item x="0"/>
        <item x="1"/>
        <item x="3"/>
        <item x="2"/>
      </items>
    </pivotField>
    <pivotField dataField="1" compact="0" numFmtId="166" outline="0" showAll="0" defaultSubtotal="0"/>
    <pivotField compact="0" outline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hargeAmount" fld="3" baseField="0" baseItem="0" numFmtId="166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2" type="button" dataOnly="0" labelOnly="1" outline="0" axis="axisRow" fieldPosition="0"/>
    </format>
    <format dxfId="8">
      <pivotArea dataOnly="0" labelOnly="1" outline="0" fieldPosition="0">
        <references count="1">
          <reference field="2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DB62A7-63B2-4CB8-927C-49E224DDE565}" name="pvtEncounterMix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F11" firstHeaderRow="1" firstDataRow="2" firstDataCol="1"/>
  <pivotFields count="13">
    <pivotField dataField="1" compact="0" outline="0" showAll="0" defaultSubtotal="0"/>
    <pivotField compact="0" outline="0" showAll="0" defaultSubtotal="0"/>
    <pivotField compact="0" outline="0" showAll="0" defaultSubtotal="0"/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4" outline="0" showAll="0" defaultSubtotal="0"/>
    <pivotField axis="axisCol" compact="0" outline="0" showAll="0" defaultSubtotal="0">
      <items count="4">
        <item x="0"/>
        <item x="1"/>
        <item x="2"/>
        <item x="3"/>
      </items>
    </pivotField>
    <pivotField compact="0" numFmtId="1" outline="0" showAll="0" defaultSubtotal="0"/>
    <pivotField axis="axisRow" compact="0" numFmtId="1" outline="0" showAll="0" defaultSubtotal="0">
      <items count="5">
        <item x="4"/>
        <item x="3"/>
        <item x="2"/>
        <item x="1"/>
        <item x="0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0"/>
  </colFields>
  <colItems count="5">
    <i>
      <x/>
    </i>
    <i>
      <x v="1"/>
    </i>
    <i>
      <x v="2"/>
    </i>
    <i>
      <x v="3"/>
    </i>
    <i t="grand">
      <x/>
    </i>
  </colItems>
  <dataFields count="1">
    <dataField name="Count of PatientID" fld="0" subtotal="count" baseField="0" baseItem="0"/>
  </dataFields>
  <formats count="10">
    <format dxfId="21">
      <pivotArea type="all" dataOnly="0" outline="0" fieldPosition="0"/>
    </format>
    <format dxfId="20">
      <pivotArea outline="0" collapsedLevelsAreSubtotals="1" fieldPosition="0"/>
    </format>
    <format dxfId="19">
      <pivotArea type="origin" dataOnly="0" labelOnly="1" outline="0" fieldPosition="0"/>
    </format>
    <format dxfId="18">
      <pivotArea field="10" type="button" dataOnly="0" labelOnly="1" outline="0" axis="axisCol" fieldPosition="0"/>
    </format>
    <format dxfId="17">
      <pivotArea type="topRight" dataOnly="0" labelOnly="1" outline="0" fieldPosition="0"/>
    </format>
    <format dxfId="16">
      <pivotArea field="12" type="button" dataOnly="0" labelOnly="1" outline="0" axis="axisRow" fieldPosition="0"/>
    </format>
    <format dxfId="15">
      <pivotArea dataOnly="0" labelOnly="1" outline="0" fieldPosition="0">
        <references count="1">
          <reference field="12" count="0"/>
        </references>
      </pivotArea>
    </format>
    <format dxfId="14">
      <pivotArea dataOnly="0" labelOnly="1" grandRow="1" outline="0" fieldPosition="0"/>
    </format>
    <format dxfId="13">
      <pivotArea dataOnly="0" labelOnly="1" outline="0" fieldPosition="0">
        <references count="1">
          <reference field="10" count="0"/>
        </references>
      </pivotArea>
    </format>
    <format dxfId="12">
      <pivotArea dataOnly="0" labelOnly="1" grandCol="1" outline="0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870570-11A3-445C-9653-3F563A0CFF83}" name="tblCleanPatients" displayName="tblCleanPatients" ref="A1:M501" totalsRowShown="0" headerRowDxfId="87" dataDxfId="86">
  <autoFilter ref="A1:M501" xr:uid="{29870570-11A3-445C-9653-3F563A0CFF83}"/>
  <tableColumns count="13">
    <tableColumn id="1" xr3:uid="{20A26066-4B9B-4411-A113-A431E68F5572}" name="PatientID" dataDxfId="85"/>
    <tableColumn id="2" xr3:uid="{5CD84391-E0E5-4823-9150-FF0BB4C09CA9}" name="EncounterID" dataDxfId="84">
      <calculatedColumnFormula>"ENC-"&amp;(VALUE(RIGHT(A2,4))-1000)</calculatedColumnFormula>
    </tableColumn>
    <tableColumn id="3" xr3:uid="{0F1BDCF0-A51B-4579-A41B-DBA4862A283A}" name="FullName" dataDxfId="83"/>
    <tableColumn id="4" xr3:uid="{92A20122-620D-455D-8562-9AEAC7159C96}" name="DateOfBirth" dataDxfId="82"/>
    <tableColumn id="5" xr3:uid="{4FA18E09-11A6-4238-98A3-DE96AA3B0BA3}" name="Gender" dataDxfId="81"/>
    <tableColumn id="6" xr3:uid="{04C26197-E853-415B-9398-2483C4B1234D}" name="BloodType" dataDxfId="80"/>
    <tableColumn id="7" xr3:uid="{CF004958-9676-49B5-ACC3-4FE27D9E1458}" name="Address" dataDxfId="79"/>
    <tableColumn id="8" xr3:uid="{E756D6F0-143D-442B-9EDD-13DF04B296EE}" name="Phone" dataDxfId="78"/>
    <tableColumn id="9" xr3:uid="{BB93F6D6-5ACD-4CC0-9D03-707CA28D9E24}" name="FacilityID" dataDxfId="77"/>
    <tableColumn id="10" xr3:uid="{48B5C4F0-A942-41DF-B620-EA32B773CF64}" name="EncounterDate" dataDxfId="76"/>
    <tableColumn id="11" xr3:uid="{AEE2F608-1378-43EB-B4D7-EFDDD80CCF84}" name="EncounterType" dataDxfId="75"/>
    <tableColumn id="12" xr3:uid="{7D890124-9BC2-46B7-A1A2-B81A0F219119}" name="AgeAtEncounter" dataDxfId="74">
      <calculatedColumnFormula>DATEDIF(D2,J2,"Y")</calculatedColumnFormula>
    </tableColumn>
    <tableColumn id="13" xr3:uid="{DA8D97E0-BBE9-4202-95D9-F5F0012A8CC5}" name="EncounterYear" dataDxfId="73">
      <calculatedColumnFormula>YEAR(J2)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C903A9E-838A-4DBE-9780-11A6EA02BFBB}" name="tblCleanVitals" displayName="tblCleanVitals" ref="A1:G501" totalsRowShown="0" headerRowDxfId="72" dataDxfId="71">
  <autoFilter ref="A1:G501" xr:uid="{4C903A9E-838A-4DBE-9780-11A6EA02BFBB}"/>
  <tableColumns count="7">
    <tableColumn id="1" xr3:uid="{1D5D9403-436B-4997-979F-57C327591086}" name="VitalsID" dataDxfId="70"/>
    <tableColumn id="2" xr3:uid="{8885D63C-34EA-4387-AA5B-94504869F64C}" name="EncounterID" dataDxfId="69"/>
    <tableColumn id="3" xr3:uid="{9D86A7BE-6ABD-4837-B2A7-6315C411A5F2}" name="SystolicBP" dataDxfId="68"/>
    <tableColumn id="4" xr3:uid="{E6FC53C3-9202-4933-AD55-64EB721381F2}" name="DiastolicBP" dataDxfId="67"/>
    <tableColumn id="5" xr3:uid="{53C629E1-D0CB-4FB7-9D9D-6FDFD241BABB}" name="HeartRate" dataDxfId="66"/>
    <tableColumn id="6" xr3:uid="{D44E53AA-2861-4126-9584-5D1729DAAF85}" name="Temperature_F" dataDxfId="65"/>
    <tableColumn id="7" xr3:uid="{8CBF2F0D-D0CF-4231-B521-1F22C735895E}" name="PulsePressure" dataDxfId="64">
      <calculatedColumnFormula>C2-D2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07F1047-A251-4001-86EC-77CAAC85DACD}" name="tblCleanDiagnoses" displayName="tblCleanDiagnoses" ref="A1:D501" totalsRowShown="0" headerRowDxfId="63" dataDxfId="62">
  <autoFilter ref="A1:D501" xr:uid="{B07F1047-A251-4001-86EC-77CAAC85DACD}"/>
  <tableColumns count="4">
    <tableColumn id="1" xr3:uid="{B46C9EBA-6D09-4A35-AA51-C701C65CF208}" name="DiagnosisID" dataDxfId="61"/>
    <tableColumn id="2" xr3:uid="{CE830636-D575-4B93-97F2-717D6C72F8AA}" name="EncounterID" dataDxfId="60"/>
    <tableColumn id="3" xr3:uid="{DC55212C-026C-4AD7-A100-1BF63DA884FE}" name="ICD10_Code" dataDxfId="59"/>
    <tableColumn id="4" xr3:uid="{2BB65BD2-8A09-4F3A-A3DE-DE9B06171421}" name="DiagnosisDescription" dataDxfId="5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9F92AF8-49A6-471E-B858-727A176B3615}" name="tblCleanProcedures" displayName="tblCleanProcedures" ref="A1:B5" totalsRowShown="0" headerRowDxfId="57" dataDxfId="56">
  <autoFilter ref="A1:B5" xr:uid="{99F92AF8-49A6-471E-B858-727A176B3615}"/>
  <tableColumns count="2">
    <tableColumn id="1" xr3:uid="{9565B565-67CB-470F-AEFC-E28AB80BDA35}" name="CPT_Code" dataDxfId="55"/>
    <tableColumn id="2" xr3:uid="{7EE49405-1A1F-475F-BF60-7C7998456124}" name="ProcedureDescription" dataDxfId="5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F0BA390-43A8-4FFC-9026-E29B93724941}" name="tblCleanCharges" displayName="tblCleanCharges" ref="A1:E501" totalsRowShown="0" headerRowDxfId="53" dataDxfId="52">
  <autoFilter ref="A1:E501" xr:uid="{1F0BA390-43A8-4FFC-9026-E29B93724941}"/>
  <tableColumns count="5">
    <tableColumn id="1" xr3:uid="{5A0341AC-2E28-4E9F-8CA2-F48731BB3C5B}" name="ChargeID" dataDxfId="51"/>
    <tableColumn id="2" xr3:uid="{0CC7AA63-1F01-41E3-8FAA-48390DF3FF34}" name="EncounterID" dataDxfId="50"/>
    <tableColumn id="3" xr3:uid="{41D9C99C-E829-4437-8F9E-ADB2065F98F9}" name="CPT_Code" dataDxfId="49"/>
    <tableColumn id="4" xr3:uid="{B2417067-E5A9-4B83-9862-0FC76CBC7BB8}" name="ChargeAmount" dataDxfId="48"/>
    <tableColumn id="5" xr3:uid="{082BC5B0-5D01-4921-9559-19B6577A049A}" name="ProcedureDescription" dataDxfId="47">
      <calculatedColumnFormula>_xlfn.XLOOKUP(C2,'Clean Procedures'!$A$2:$A$5,'Clean Procedures'!$B$2:$B$5,"Not mapped")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0F4A14A-B592-4672-B5F5-C69D4419E98C}" name="tblCleanClaims" displayName="tblCleanClaims" ref="A1:H501" totalsRowShown="0" headerRowDxfId="46" dataDxfId="45">
  <autoFilter ref="A1:H501" xr:uid="{20F4A14A-B592-4672-B5F5-C69D4419E98C}"/>
  <tableColumns count="8">
    <tableColumn id="1" xr3:uid="{71D4D86C-740C-4811-9970-34D520CA7E42}" name="ClaimID" dataDxfId="44"/>
    <tableColumn id="2" xr3:uid="{D9EA8DAE-F4FB-414B-A2F1-1D2A3A0E67DB}" name="ChargeID" dataDxfId="43"/>
    <tableColumn id="3" xr3:uid="{FCBF6408-6C57-4B7B-9D0C-B153B3BE31B0}" name="InsuranceProvider" dataDxfId="42"/>
    <tableColumn id="4" xr3:uid="{3F791EA8-64CE-4D7F-A407-E937AD2D1471}" name="AmountBilled" dataDxfId="41"/>
    <tableColumn id="5" xr3:uid="{495FCBFE-C36E-4361-8408-9CD64173D43F}" name="AmountPaid" dataDxfId="40"/>
    <tableColumn id="6" xr3:uid="{0268A6F8-4DAD-45F0-BB76-FE977FC91ABB}" name="Status" dataDxfId="39"/>
    <tableColumn id="7" xr3:uid="{61E7BCEB-D92A-4708-BCEC-AADFAD9A4CCB}" name="OutstandingBalance" dataDxfId="38">
      <calculatedColumnFormula>D2-E2</calculatedColumnFormula>
    </tableColumn>
    <tableColumn id="8" xr3:uid="{F3C6D730-829A-49CC-BA88-50A0FEE24F8A}" name="PaidRate" dataDxfId="37">
      <calculatedColumnFormula>IFERROR(E2/D2,0)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FEE2537-3637-4E12-98CE-1E09355A4266}" name="tblCleanProviders" displayName="tblCleanProviders" ref="A1:C31" totalsRowShown="0" headerRowDxfId="36" dataDxfId="35">
  <autoFilter ref="A1:C31" xr:uid="{6FEE2537-3637-4E12-98CE-1E09355A4266}"/>
  <tableColumns count="3">
    <tableColumn id="1" xr3:uid="{F01251EE-6647-4638-90D7-7CDAB15877B3}" name="ProviderID" dataDxfId="34"/>
    <tableColumn id="2" xr3:uid="{FB3D295E-5CED-48A9-938C-BD2273287EE1}" name="FullName" dataDxfId="33"/>
    <tableColumn id="3" xr3:uid="{8DF648EE-C1FD-4BDE-9818-4B9B88F5C2C7}" name="Specialty" dataDxfId="3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524A770-E60C-4946-880D-6046BE9399FD}" name="tblCleanPrescriptions" displayName="tblCleanPrescriptions" ref="A1:H501" totalsRowShown="0" headerRowDxfId="31" dataDxfId="30">
  <autoFilter ref="A1:H501" xr:uid="{1524A770-E60C-4946-880D-6046BE9399FD}"/>
  <tableColumns count="8">
    <tableColumn id="1" xr3:uid="{9898193D-B0C3-43B7-A413-CAED15A5E818}" name="PrescriptionID" dataDxfId="29"/>
    <tableColumn id="2" xr3:uid="{C02EF643-A84B-4C9F-A048-4A5AA685FFB2}" name="EncounterID" dataDxfId="28"/>
    <tableColumn id="3" xr3:uid="{263F0020-7A9C-419A-AC5E-3CDC98B3AB84}" name="MedicationID" dataDxfId="27"/>
    <tableColumn id="4" xr3:uid="{E68FE921-BF49-4BC9-94B1-6F317E18D094}" name="PharmacyID" dataDxfId="26"/>
    <tableColumn id="5" xr3:uid="{0B7BD357-1446-44C8-9B88-1DE1886FF019}" name="DatePrescribed" dataDxfId="25"/>
    <tableColumn id="6" xr3:uid="{BC092FF8-0900-4B0D-BB12-9AE639C660C4}" name="Quantity" dataDxfId="24"/>
    <tableColumn id="7" xr3:uid="{3E0905F1-3FF9-471B-B6FD-605717BA8A4A}" name="Refills" dataDxfId="23"/>
    <tableColumn id="8" xr3:uid="{A1663EA5-42B9-47E5-BF3C-3492FBECE3C6}" name="TotalUnitsAuthorized" dataDxfId="22">
      <calculatedColumnFormula>F2*(G2+1)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0D69379-9A96-48B6-A9E9-9320E1BD2D1C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fc3f1c95-72cc-476d-a478-0e8aa6100d07&quot;"/>
  </we:properties>
  <we:bindings/>
  <we:snapshot xmlns:r="http://schemas.openxmlformats.org/officeDocument/2006/relationships"/>
</we:webextension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opLeftCell="A13" workbookViewId="0">
      <selection activeCell="M42" sqref="M42"/>
    </sheetView>
  </sheetViews>
  <sheetFormatPr defaultRowHeight="15.75" x14ac:dyDescent="0.25"/>
  <cols>
    <col min="2" max="2" width="15.25" bestFit="1" customWidth="1"/>
    <col min="3" max="3" width="10.875" bestFit="1" customWidth="1"/>
    <col min="6" max="6" width="11.875" bestFit="1" customWidth="1"/>
    <col min="7" max="7" width="12.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1093</v>
      </c>
      <c r="G1" t="s">
        <v>1094</v>
      </c>
      <c r="H1" t="s">
        <v>2082</v>
      </c>
      <c r="I1" t="s">
        <v>2083</v>
      </c>
      <c r="J1" t="s">
        <v>2084</v>
      </c>
    </row>
    <row r="2" spans="1:10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1095</v>
      </c>
      <c r="G2" t="s">
        <v>1096</v>
      </c>
      <c r="H2" t="s">
        <v>2087</v>
      </c>
      <c r="I2" t="s">
        <v>2088</v>
      </c>
      <c r="J2" t="s">
        <v>2089</v>
      </c>
    </row>
    <row r="3" spans="1:10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  <c r="F3" t="s">
        <v>1097</v>
      </c>
      <c r="G3" t="s">
        <v>1098</v>
      </c>
      <c r="H3" t="s">
        <v>2087</v>
      </c>
      <c r="I3" t="s">
        <v>2092</v>
      </c>
      <c r="J3" t="s">
        <v>2093</v>
      </c>
    </row>
    <row r="4" spans="1:10" x14ac:dyDescent="0.25">
      <c r="A4" t="s">
        <v>14</v>
      </c>
      <c r="B4" t="s">
        <v>11</v>
      </c>
      <c r="C4" t="s">
        <v>15</v>
      </c>
      <c r="D4" t="s">
        <v>8</v>
      </c>
      <c r="E4" t="s">
        <v>16</v>
      </c>
      <c r="F4" t="s">
        <v>1099</v>
      </c>
      <c r="G4" t="s">
        <v>1100</v>
      </c>
      <c r="H4" t="s">
        <v>2096</v>
      </c>
      <c r="I4" t="s">
        <v>2097</v>
      </c>
      <c r="J4" t="s">
        <v>2093</v>
      </c>
    </row>
    <row r="5" spans="1:10" x14ac:dyDescent="0.25">
      <c r="A5" t="s">
        <v>17</v>
      </c>
      <c r="B5" t="s">
        <v>18</v>
      </c>
      <c r="C5" t="s">
        <v>19</v>
      </c>
      <c r="D5" t="s">
        <v>8</v>
      </c>
      <c r="E5" t="s">
        <v>20</v>
      </c>
      <c r="F5" t="s">
        <v>1101</v>
      </c>
      <c r="G5" t="s">
        <v>1102</v>
      </c>
      <c r="H5" t="s">
        <v>2087</v>
      </c>
      <c r="I5" t="s">
        <v>2100</v>
      </c>
      <c r="J5" t="s">
        <v>2093</v>
      </c>
    </row>
    <row r="6" spans="1:10" x14ac:dyDescent="0.25">
      <c r="A6" t="s">
        <v>21</v>
      </c>
      <c r="B6" t="s">
        <v>22</v>
      </c>
      <c r="C6" t="s">
        <v>23</v>
      </c>
      <c r="D6" t="s">
        <v>8</v>
      </c>
      <c r="E6" t="s">
        <v>24</v>
      </c>
      <c r="F6" t="s">
        <v>1103</v>
      </c>
      <c r="G6" t="s">
        <v>1104</v>
      </c>
      <c r="H6" t="s">
        <v>2087</v>
      </c>
      <c r="I6" t="s">
        <v>2103</v>
      </c>
      <c r="J6" t="s">
        <v>2104</v>
      </c>
    </row>
    <row r="7" spans="1:10" x14ac:dyDescent="0.25">
      <c r="A7" t="s">
        <v>25</v>
      </c>
      <c r="B7" t="s">
        <v>26</v>
      </c>
      <c r="C7" t="s">
        <v>27</v>
      </c>
      <c r="D7" t="s">
        <v>8</v>
      </c>
      <c r="E7" t="s">
        <v>28</v>
      </c>
      <c r="F7" t="s">
        <v>1105</v>
      </c>
      <c r="G7" t="s">
        <v>1106</v>
      </c>
      <c r="H7" t="s">
        <v>2087</v>
      </c>
      <c r="I7" t="s">
        <v>2107</v>
      </c>
      <c r="J7" t="s">
        <v>2108</v>
      </c>
    </row>
    <row r="8" spans="1:10" x14ac:dyDescent="0.25">
      <c r="A8" t="s">
        <v>29</v>
      </c>
      <c r="B8" t="s">
        <v>30</v>
      </c>
      <c r="C8" t="s">
        <v>31</v>
      </c>
      <c r="D8" t="s">
        <v>8</v>
      </c>
      <c r="E8" t="s">
        <v>16</v>
      </c>
      <c r="F8" t="s">
        <v>1107</v>
      </c>
      <c r="G8" t="s">
        <v>1108</v>
      </c>
      <c r="H8" t="s">
        <v>2087</v>
      </c>
      <c r="I8" t="s">
        <v>2111</v>
      </c>
      <c r="J8" t="s">
        <v>2089</v>
      </c>
    </row>
    <row r="9" spans="1:10" x14ac:dyDescent="0.25">
      <c r="A9" t="s">
        <v>32</v>
      </c>
      <c r="B9" t="s">
        <v>33</v>
      </c>
      <c r="C9" t="s">
        <v>34</v>
      </c>
      <c r="D9" t="s">
        <v>35</v>
      </c>
      <c r="E9" t="s">
        <v>9</v>
      </c>
      <c r="F9" t="s">
        <v>1109</v>
      </c>
      <c r="G9" t="s">
        <v>1110</v>
      </c>
      <c r="H9" t="s">
        <v>2087</v>
      </c>
      <c r="I9" t="s">
        <v>2114</v>
      </c>
      <c r="J9" t="s">
        <v>2089</v>
      </c>
    </row>
    <row r="10" spans="1:10" x14ac:dyDescent="0.25">
      <c r="A10" t="s">
        <v>36</v>
      </c>
      <c r="B10" t="s">
        <v>37</v>
      </c>
      <c r="C10" t="s">
        <v>38</v>
      </c>
      <c r="D10" t="s">
        <v>35</v>
      </c>
      <c r="E10" t="s">
        <v>28</v>
      </c>
      <c r="F10" t="s">
        <v>1111</v>
      </c>
      <c r="G10" t="s">
        <v>1112</v>
      </c>
      <c r="H10" t="s">
        <v>2096</v>
      </c>
      <c r="I10" t="s">
        <v>2117</v>
      </c>
      <c r="J10" t="s">
        <v>2089</v>
      </c>
    </row>
    <row r="11" spans="1:10" x14ac:dyDescent="0.25">
      <c r="A11" t="s">
        <v>39</v>
      </c>
      <c r="B11" t="s">
        <v>40</v>
      </c>
      <c r="C11" t="s">
        <v>41</v>
      </c>
      <c r="D11" t="s">
        <v>35</v>
      </c>
      <c r="E11" t="s">
        <v>42</v>
      </c>
      <c r="F11" t="s">
        <v>1113</v>
      </c>
      <c r="G11" t="s">
        <v>1114</v>
      </c>
      <c r="H11" t="s">
        <v>2096</v>
      </c>
      <c r="I11" t="s">
        <v>2119</v>
      </c>
      <c r="J11" t="s">
        <v>2104</v>
      </c>
    </row>
    <row r="12" spans="1:10" x14ac:dyDescent="0.25">
      <c r="A12" t="s">
        <v>43</v>
      </c>
      <c r="B12" t="s">
        <v>44</v>
      </c>
      <c r="C12" t="s">
        <v>45</v>
      </c>
      <c r="D12" t="s">
        <v>35</v>
      </c>
      <c r="E12" t="s">
        <v>24</v>
      </c>
      <c r="F12" t="s">
        <v>1115</v>
      </c>
      <c r="G12" t="s">
        <v>1116</v>
      </c>
      <c r="H12" t="s">
        <v>2087</v>
      </c>
      <c r="I12" t="s">
        <v>2121</v>
      </c>
      <c r="J12" t="s">
        <v>2108</v>
      </c>
    </row>
    <row r="13" spans="1:10" x14ac:dyDescent="0.25">
      <c r="A13" t="s">
        <v>46</v>
      </c>
      <c r="B13" t="s">
        <v>47</v>
      </c>
      <c r="C13" t="s">
        <v>48</v>
      </c>
      <c r="D13" t="s">
        <v>8</v>
      </c>
      <c r="E13" t="s">
        <v>24</v>
      </c>
      <c r="F13" t="s">
        <v>1117</v>
      </c>
      <c r="G13" t="s">
        <v>1118</v>
      </c>
      <c r="H13" t="s">
        <v>2096</v>
      </c>
      <c r="I13" t="s">
        <v>2124</v>
      </c>
      <c r="J13" t="s">
        <v>2093</v>
      </c>
    </row>
    <row r="14" spans="1:10" x14ac:dyDescent="0.25">
      <c r="A14" t="s">
        <v>49</v>
      </c>
      <c r="B14" t="s">
        <v>50</v>
      </c>
      <c r="C14" t="s">
        <v>51</v>
      </c>
      <c r="D14" t="s">
        <v>52</v>
      </c>
      <c r="E14" t="s">
        <v>42</v>
      </c>
      <c r="F14" t="s">
        <v>1119</v>
      </c>
      <c r="G14" t="s">
        <v>1120</v>
      </c>
      <c r="H14" t="s">
        <v>2096</v>
      </c>
      <c r="I14" t="s">
        <v>2127</v>
      </c>
      <c r="J14" t="s">
        <v>2104</v>
      </c>
    </row>
    <row r="15" spans="1:10" x14ac:dyDescent="0.25">
      <c r="A15" t="s">
        <v>53</v>
      </c>
      <c r="B15" t="s">
        <v>54</v>
      </c>
      <c r="C15" t="s">
        <v>55</v>
      </c>
      <c r="D15" t="s">
        <v>8</v>
      </c>
      <c r="E15" t="s">
        <v>56</v>
      </c>
      <c r="F15" t="s">
        <v>1121</v>
      </c>
      <c r="G15" t="s">
        <v>1122</v>
      </c>
      <c r="H15" t="s">
        <v>2096</v>
      </c>
      <c r="I15" t="s">
        <v>2130</v>
      </c>
      <c r="J15" t="s">
        <v>2108</v>
      </c>
    </row>
    <row r="16" spans="1:10" x14ac:dyDescent="0.25">
      <c r="A16" t="s">
        <v>57</v>
      </c>
      <c r="B16" t="s">
        <v>58</v>
      </c>
      <c r="C16" t="s">
        <v>59</v>
      </c>
      <c r="D16" t="s">
        <v>52</v>
      </c>
      <c r="E16" t="s">
        <v>16</v>
      </c>
      <c r="F16" t="s">
        <v>1123</v>
      </c>
      <c r="G16" t="s">
        <v>1124</v>
      </c>
      <c r="H16" t="s">
        <v>2087</v>
      </c>
      <c r="I16" t="s">
        <v>2133</v>
      </c>
      <c r="J16" t="s">
        <v>2089</v>
      </c>
    </row>
    <row r="17" spans="1:10" x14ac:dyDescent="0.25">
      <c r="A17" t="s">
        <v>60</v>
      </c>
      <c r="B17" t="s">
        <v>61</v>
      </c>
      <c r="C17" t="s">
        <v>62</v>
      </c>
      <c r="D17" t="s">
        <v>35</v>
      </c>
      <c r="E17" t="s">
        <v>20</v>
      </c>
      <c r="F17" t="s">
        <v>1125</v>
      </c>
      <c r="G17" t="s">
        <v>1126</v>
      </c>
      <c r="H17" t="s">
        <v>2096</v>
      </c>
      <c r="I17" t="s">
        <v>2136</v>
      </c>
      <c r="J17" t="s">
        <v>2104</v>
      </c>
    </row>
    <row r="18" spans="1:10" x14ac:dyDescent="0.25">
      <c r="A18" t="s">
        <v>63</v>
      </c>
      <c r="B18" t="s">
        <v>64</v>
      </c>
      <c r="C18" t="s">
        <v>65</v>
      </c>
      <c r="D18" t="s">
        <v>35</v>
      </c>
      <c r="E18" t="s">
        <v>56</v>
      </c>
      <c r="F18" t="s">
        <v>1127</v>
      </c>
      <c r="G18" t="s">
        <v>1128</v>
      </c>
      <c r="H18" t="s">
        <v>2096</v>
      </c>
      <c r="I18" t="s">
        <v>2139</v>
      </c>
      <c r="J18" t="s">
        <v>2089</v>
      </c>
    </row>
    <row r="19" spans="1:10" x14ac:dyDescent="0.25">
      <c r="A19" t="s">
        <v>66</v>
      </c>
      <c r="B19" t="s">
        <v>67</v>
      </c>
      <c r="C19" t="s">
        <v>68</v>
      </c>
      <c r="D19" t="s">
        <v>35</v>
      </c>
      <c r="E19" t="s">
        <v>20</v>
      </c>
      <c r="F19" t="s">
        <v>1129</v>
      </c>
      <c r="G19" t="s">
        <v>1130</v>
      </c>
      <c r="H19" t="s">
        <v>2087</v>
      </c>
      <c r="I19" t="s">
        <v>2141</v>
      </c>
      <c r="J19" t="s">
        <v>2108</v>
      </c>
    </row>
    <row r="20" spans="1:10" x14ac:dyDescent="0.25">
      <c r="A20" t="s">
        <v>69</v>
      </c>
      <c r="B20" t="s">
        <v>70</v>
      </c>
      <c r="C20" t="s">
        <v>71</v>
      </c>
      <c r="D20" t="s">
        <v>52</v>
      </c>
      <c r="E20" t="s">
        <v>9</v>
      </c>
      <c r="F20" t="s">
        <v>1131</v>
      </c>
      <c r="G20" t="s">
        <v>1132</v>
      </c>
      <c r="H20" t="s">
        <v>2087</v>
      </c>
      <c r="I20" t="s">
        <v>2143</v>
      </c>
      <c r="J20" t="s">
        <v>2093</v>
      </c>
    </row>
    <row r="21" spans="1:10" x14ac:dyDescent="0.25">
      <c r="A21" t="s">
        <v>72</v>
      </c>
      <c r="B21" t="s">
        <v>73</v>
      </c>
      <c r="C21" t="s">
        <v>74</v>
      </c>
      <c r="D21" t="s">
        <v>8</v>
      </c>
      <c r="E21" t="s">
        <v>20</v>
      </c>
      <c r="F21" t="s">
        <v>1133</v>
      </c>
      <c r="G21" t="s">
        <v>1134</v>
      </c>
      <c r="H21" t="s">
        <v>2087</v>
      </c>
      <c r="I21" t="s">
        <v>2145</v>
      </c>
      <c r="J21" t="s">
        <v>2093</v>
      </c>
    </row>
    <row r="22" spans="1:10" x14ac:dyDescent="0.25">
      <c r="A22" t="s">
        <v>75</v>
      </c>
      <c r="B22" t="s">
        <v>76</v>
      </c>
      <c r="C22" t="s">
        <v>77</v>
      </c>
      <c r="D22" t="s">
        <v>8</v>
      </c>
      <c r="E22" t="s">
        <v>42</v>
      </c>
      <c r="F22" t="s">
        <v>1135</v>
      </c>
      <c r="G22" t="s">
        <v>1136</v>
      </c>
      <c r="H22" t="s">
        <v>2087</v>
      </c>
      <c r="I22" t="s">
        <v>2148</v>
      </c>
      <c r="J22" t="s">
        <v>2093</v>
      </c>
    </row>
    <row r="23" spans="1:10" x14ac:dyDescent="0.25">
      <c r="A23" t="s">
        <v>78</v>
      </c>
      <c r="B23" t="s">
        <v>33</v>
      </c>
      <c r="C23" t="s">
        <v>79</v>
      </c>
      <c r="D23" t="s">
        <v>35</v>
      </c>
      <c r="E23" t="s">
        <v>20</v>
      </c>
      <c r="F23" t="s">
        <v>1137</v>
      </c>
      <c r="G23" t="s">
        <v>1138</v>
      </c>
      <c r="H23" t="s">
        <v>2096</v>
      </c>
      <c r="I23" t="s">
        <v>2150</v>
      </c>
      <c r="J23" t="s">
        <v>2093</v>
      </c>
    </row>
    <row r="24" spans="1:10" x14ac:dyDescent="0.25">
      <c r="A24" t="s">
        <v>80</v>
      </c>
      <c r="B24" t="s">
        <v>81</v>
      </c>
      <c r="C24" t="s">
        <v>82</v>
      </c>
      <c r="D24" t="s">
        <v>8</v>
      </c>
      <c r="E24" t="s">
        <v>24</v>
      </c>
      <c r="F24" t="s">
        <v>1139</v>
      </c>
      <c r="G24" t="s">
        <v>1140</v>
      </c>
      <c r="H24" t="s">
        <v>2087</v>
      </c>
      <c r="I24" t="s">
        <v>2153</v>
      </c>
      <c r="J24" t="s">
        <v>2093</v>
      </c>
    </row>
    <row r="25" spans="1:10" x14ac:dyDescent="0.25">
      <c r="A25" t="s">
        <v>83</v>
      </c>
      <c r="B25" t="s">
        <v>84</v>
      </c>
      <c r="C25" t="s">
        <v>85</v>
      </c>
      <c r="D25" t="s">
        <v>35</v>
      </c>
      <c r="E25" t="s">
        <v>20</v>
      </c>
      <c r="F25" t="s">
        <v>1141</v>
      </c>
      <c r="G25" t="s">
        <v>1142</v>
      </c>
      <c r="H25" t="s">
        <v>2087</v>
      </c>
      <c r="I25" t="s">
        <v>2155</v>
      </c>
      <c r="J25" t="s">
        <v>2108</v>
      </c>
    </row>
    <row r="26" spans="1:10" x14ac:dyDescent="0.25">
      <c r="A26" t="s">
        <v>86</v>
      </c>
      <c r="B26" t="s">
        <v>87</v>
      </c>
      <c r="C26" t="s">
        <v>88</v>
      </c>
      <c r="D26" t="s">
        <v>8</v>
      </c>
      <c r="E26" t="s">
        <v>56</v>
      </c>
      <c r="F26" t="s">
        <v>1143</v>
      </c>
      <c r="G26" t="s">
        <v>1144</v>
      </c>
      <c r="H26" t="s">
        <v>2096</v>
      </c>
      <c r="I26" t="s">
        <v>2158</v>
      </c>
      <c r="J26" t="s">
        <v>2104</v>
      </c>
    </row>
    <row r="27" spans="1:10" x14ac:dyDescent="0.25">
      <c r="A27" t="s">
        <v>89</v>
      </c>
      <c r="B27" t="s">
        <v>90</v>
      </c>
      <c r="C27" t="s">
        <v>91</v>
      </c>
      <c r="D27" t="s">
        <v>52</v>
      </c>
      <c r="E27" t="s">
        <v>13</v>
      </c>
      <c r="F27" t="s">
        <v>1145</v>
      </c>
      <c r="G27" t="s">
        <v>1146</v>
      </c>
      <c r="H27" t="s">
        <v>2096</v>
      </c>
      <c r="I27" t="s">
        <v>2160</v>
      </c>
      <c r="J27" t="s">
        <v>2104</v>
      </c>
    </row>
    <row r="28" spans="1:10" x14ac:dyDescent="0.25">
      <c r="A28" t="s">
        <v>92</v>
      </c>
      <c r="B28" t="s">
        <v>93</v>
      </c>
      <c r="C28" t="s">
        <v>94</v>
      </c>
      <c r="D28" t="s">
        <v>52</v>
      </c>
      <c r="E28" t="s">
        <v>56</v>
      </c>
      <c r="F28" t="s">
        <v>1147</v>
      </c>
      <c r="G28" t="s">
        <v>1148</v>
      </c>
      <c r="H28" t="s">
        <v>2096</v>
      </c>
      <c r="I28" t="s">
        <v>2163</v>
      </c>
      <c r="J28" t="s">
        <v>2108</v>
      </c>
    </row>
    <row r="29" spans="1:10" x14ac:dyDescent="0.25">
      <c r="A29" t="s">
        <v>95</v>
      </c>
      <c r="B29" t="s">
        <v>40</v>
      </c>
      <c r="C29" t="s">
        <v>96</v>
      </c>
      <c r="D29" t="s">
        <v>52</v>
      </c>
      <c r="E29" t="s">
        <v>16</v>
      </c>
      <c r="F29" t="s">
        <v>1149</v>
      </c>
      <c r="G29" t="s">
        <v>1150</v>
      </c>
      <c r="H29" t="s">
        <v>2087</v>
      </c>
      <c r="I29" t="s">
        <v>2165</v>
      </c>
      <c r="J29" t="s">
        <v>2108</v>
      </c>
    </row>
    <row r="30" spans="1:10" x14ac:dyDescent="0.25">
      <c r="A30" t="s">
        <v>97</v>
      </c>
      <c r="B30" t="s">
        <v>76</v>
      </c>
      <c r="C30" t="s">
        <v>98</v>
      </c>
      <c r="D30" t="s">
        <v>35</v>
      </c>
      <c r="E30" t="s">
        <v>13</v>
      </c>
      <c r="F30" t="s">
        <v>1151</v>
      </c>
      <c r="G30" t="s">
        <v>1152</v>
      </c>
      <c r="H30" t="s">
        <v>2087</v>
      </c>
      <c r="I30" t="s">
        <v>2167</v>
      </c>
      <c r="J30" t="s">
        <v>2093</v>
      </c>
    </row>
    <row r="31" spans="1:10" x14ac:dyDescent="0.25">
      <c r="A31" t="s">
        <v>99</v>
      </c>
      <c r="B31" t="s">
        <v>18</v>
      </c>
      <c r="C31" t="s">
        <v>100</v>
      </c>
      <c r="D31" t="s">
        <v>52</v>
      </c>
      <c r="E31" t="s">
        <v>24</v>
      </c>
      <c r="F31" t="s">
        <v>1153</v>
      </c>
      <c r="G31" t="s">
        <v>1154</v>
      </c>
      <c r="H31" t="s">
        <v>2087</v>
      </c>
      <c r="I31" t="s">
        <v>2170</v>
      </c>
      <c r="J31" t="s">
        <v>2104</v>
      </c>
    </row>
    <row r="32" spans="1:10" x14ac:dyDescent="0.25">
      <c r="A32" t="s">
        <v>101</v>
      </c>
      <c r="B32" t="s">
        <v>102</v>
      </c>
      <c r="C32" t="s">
        <v>103</v>
      </c>
      <c r="D32" t="s">
        <v>35</v>
      </c>
      <c r="E32" t="s">
        <v>20</v>
      </c>
      <c r="F32" t="s">
        <v>1155</v>
      </c>
      <c r="G32" t="s">
        <v>1156</v>
      </c>
      <c r="H32" t="s">
        <v>2096</v>
      </c>
      <c r="I32" t="s">
        <v>2172</v>
      </c>
      <c r="J32" t="s">
        <v>2104</v>
      </c>
    </row>
    <row r="33" spans="1:10" x14ac:dyDescent="0.25">
      <c r="A33" t="s">
        <v>104</v>
      </c>
      <c r="B33" t="s">
        <v>47</v>
      </c>
      <c r="C33" t="s">
        <v>105</v>
      </c>
      <c r="D33" t="s">
        <v>8</v>
      </c>
      <c r="E33" t="s">
        <v>24</v>
      </c>
      <c r="F33" t="s">
        <v>1157</v>
      </c>
      <c r="G33" t="s">
        <v>1158</v>
      </c>
      <c r="H33" t="s">
        <v>2096</v>
      </c>
      <c r="I33" t="s">
        <v>2174</v>
      </c>
      <c r="J33" t="s">
        <v>2093</v>
      </c>
    </row>
    <row r="34" spans="1:10" x14ac:dyDescent="0.25">
      <c r="A34" t="s">
        <v>106</v>
      </c>
      <c r="B34" t="s">
        <v>50</v>
      </c>
      <c r="C34" t="s">
        <v>107</v>
      </c>
      <c r="D34" t="s">
        <v>8</v>
      </c>
      <c r="E34" t="s">
        <v>13</v>
      </c>
      <c r="F34" t="s">
        <v>1153</v>
      </c>
      <c r="G34" t="s">
        <v>1159</v>
      </c>
      <c r="H34" t="s">
        <v>2096</v>
      </c>
      <c r="I34" t="s">
        <v>2176</v>
      </c>
      <c r="J34" t="s">
        <v>2104</v>
      </c>
    </row>
    <row r="35" spans="1:10" x14ac:dyDescent="0.25">
      <c r="A35" t="s">
        <v>108</v>
      </c>
      <c r="B35" t="s">
        <v>73</v>
      </c>
      <c r="C35" t="s">
        <v>109</v>
      </c>
      <c r="D35" t="s">
        <v>52</v>
      </c>
      <c r="E35" t="s">
        <v>28</v>
      </c>
      <c r="F35" t="s">
        <v>1160</v>
      </c>
      <c r="G35" t="s">
        <v>1161</v>
      </c>
      <c r="H35" t="s">
        <v>2096</v>
      </c>
      <c r="I35" t="s">
        <v>2178</v>
      </c>
      <c r="J35" t="s">
        <v>2108</v>
      </c>
    </row>
    <row r="36" spans="1:10" x14ac:dyDescent="0.25">
      <c r="A36" t="s">
        <v>110</v>
      </c>
      <c r="B36" t="s">
        <v>111</v>
      </c>
      <c r="C36" t="s">
        <v>112</v>
      </c>
      <c r="D36" t="s">
        <v>35</v>
      </c>
      <c r="E36" t="s">
        <v>42</v>
      </c>
      <c r="F36" t="s">
        <v>1162</v>
      </c>
      <c r="G36" t="s">
        <v>1163</v>
      </c>
      <c r="H36" t="s">
        <v>2096</v>
      </c>
      <c r="I36" t="s">
        <v>2181</v>
      </c>
      <c r="J36" t="s">
        <v>2089</v>
      </c>
    </row>
    <row r="37" spans="1:10" x14ac:dyDescent="0.25">
      <c r="A37" t="s">
        <v>113</v>
      </c>
      <c r="B37" t="s">
        <v>114</v>
      </c>
      <c r="C37" t="s">
        <v>115</v>
      </c>
      <c r="D37" t="s">
        <v>8</v>
      </c>
      <c r="E37" t="s">
        <v>13</v>
      </c>
      <c r="F37" t="s">
        <v>1164</v>
      </c>
      <c r="G37" t="s">
        <v>1165</v>
      </c>
      <c r="H37" t="s">
        <v>2096</v>
      </c>
      <c r="I37" t="s">
        <v>2183</v>
      </c>
      <c r="J37" t="s">
        <v>2089</v>
      </c>
    </row>
    <row r="38" spans="1:10" x14ac:dyDescent="0.25">
      <c r="A38" t="s">
        <v>116</v>
      </c>
      <c r="B38" t="s">
        <v>54</v>
      </c>
      <c r="C38" t="s">
        <v>117</v>
      </c>
      <c r="D38" t="s">
        <v>35</v>
      </c>
      <c r="E38" t="s">
        <v>42</v>
      </c>
      <c r="F38" t="s">
        <v>1166</v>
      </c>
      <c r="G38" t="s">
        <v>1167</v>
      </c>
      <c r="H38" t="s">
        <v>2096</v>
      </c>
      <c r="I38" t="s">
        <v>2186</v>
      </c>
      <c r="J38" t="s">
        <v>2089</v>
      </c>
    </row>
    <row r="39" spans="1:10" x14ac:dyDescent="0.25">
      <c r="A39" t="s">
        <v>118</v>
      </c>
      <c r="B39" t="s">
        <v>119</v>
      </c>
      <c r="C39" t="s">
        <v>120</v>
      </c>
      <c r="D39" t="s">
        <v>35</v>
      </c>
      <c r="E39" t="s">
        <v>13</v>
      </c>
      <c r="F39" t="s">
        <v>1168</v>
      </c>
      <c r="G39" t="s">
        <v>1169</v>
      </c>
      <c r="H39" t="s">
        <v>2096</v>
      </c>
      <c r="I39" t="s">
        <v>2188</v>
      </c>
      <c r="J39" t="s">
        <v>2104</v>
      </c>
    </row>
    <row r="40" spans="1:10" x14ac:dyDescent="0.25">
      <c r="A40" t="s">
        <v>121</v>
      </c>
      <c r="B40" t="s">
        <v>67</v>
      </c>
      <c r="C40" t="s">
        <v>122</v>
      </c>
      <c r="D40" t="s">
        <v>35</v>
      </c>
      <c r="E40" t="s">
        <v>16</v>
      </c>
      <c r="F40" t="s">
        <v>1170</v>
      </c>
      <c r="G40" t="s">
        <v>1171</v>
      </c>
      <c r="H40" t="s">
        <v>2096</v>
      </c>
      <c r="I40" t="s">
        <v>2190</v>
      </c>
      <c r="J40" t="s">
        <v>2093</v>
      </c>
    </row>
    <row r="41" spans="1:10" x14ac:dyDescent="0.25">
      <c r="A41" t="s">
        <v>123</v>
      </c>
      <c r="B41" t="s">
        <v>124</v>
      </c>
      <c r="C41" t="s">
        <v>125</v>
      </c>
      <c r="D41" t="s">
        <v>35</v>
      </c>
      <c r="E41" t="s">
        <v>24</v>
      </c>
      <c r="F41" t="s">
        <v>1172</v>
      </c>
      <c r="G41" t="s">
        <v>1173</v>
      </c>
      <c r="H41" t="s">
        <v>2096</v>
      </c>
      <c r="I41" t="s">
        <v>2192</v>
      </c>
      <c r="J41" t="s">
        <v>2089</v>
      </c>
    </row>
    <row r="42" spans="1:10" x14ac:dyDescent="0.25">
      <c r="A42" t="s">
        <v>126</v>
      </c>
      <c r="B42" t="s">
        <v>119</v>
      </c>
      <c r="C42" t="s">
        <v>127</v>
      </c>
      <c r="D42" t="s">
        <v>8</v>
      </c>
      <c r="E42" t="s">
        <v>24</v>
      </c>
      <c r="F42" t="s">
        <v>1174</v>
      </c>
      <c r="G42" t="s">
        <v>1175</v>
      </c>
      <c r="H42" t="s">
        <v>2096</v>
      </c>
      <c r="I42" t="s">
        <v>2194</v>
      </c>
      <c r="J42" t="s">
        <v>2108</v>
      </c>
    </row>
    <row r="43" spans="1:10" x14ac:dyDescent="0.25">
      <c r="A43" t="s">
        <v>128</v>
      </c>
      <c r="B43" t="s">
        <v>129</v>
      </c>
      <c r="C43" t="s">
        <v>130</v>
      </c>
      <c r="D43" t="s">
        <v>35</v>
      </c>
      <c r="E43" t="s">
        <v>42</v>
      </c>
      <c r="F43" t="s">
        <v>1176</v>
      </c>
      <c r="G43" t="s">
        <v>1177</v>
      </c>
      <c r="H43" t="s">
        <v>2096</v>
      </c>
      <c r="I43" t="s">
        <v>2197</v>
      </c>
      <c r="J43" t="s">
        <v>2104</v>
      </c>
    </row>
    <row r="44" spans="1:10" x14ac:dyDescent="0.25">
      <c r="A44" t="s">
        <v>131</v>
      </c>
      <c r="B44" t="s">
        <v>124</v>
      </c>
      <c r="C44" t="s">
        <v>132</v>
      </c>
      <c r="D44" t="s">
        <v>52</v>
      </c>
      <c r="E44" t="s">
        <v>9</v>
      </c>
      <c r="F44" t="s">
        <v>1178</v>
      </c>
      <c r="G44" t="s">
        <v>1179</v>
      </c>
      <c r="H44" t="s">
        <v>2087</v>
      </c>
      <c r="I44" t="s">
        <v>2199</v>
      </c>
      <c r="J44" t="s">
        <v>2093</v>
      </c>
    </row>
    <row r="45" spans="1:10" x14ac:dyDescent="0.25">
      <c r="A45" t="s">
        <v>133</v>
      </c>
      <c r="B45" t="s">
        <v>134</v>
      </c>
      <c r="C45" t="s">
        <v>135</v>
      </c>
      <c r="D45" t="s">
        <v>35</v>
      </c>
      <c r="E45" t="s">
        <v>16</v>
      </c>
      <c r="F45" t="s">
        <v>1180</v>
      </c>
      <c r="G45" t="s">
        <v>1181</v>
      </c>
      <c r="H45" t="s">
        <v>2096</v>
      </c>
      <c r="I45" t="s">
        <v>2202</v>
      </c>
      <c r="J45" t="s">
        <v>2093</v>
      </c>
    </row>
    <row r="46" spans="1:10" x14ac:dyDescent="0.25">
      <c r="A46" t="s">
        <v>136</v>
      </c>
      <c r="B46" t="s">
        <v>137</v>
      </c>
      <c r="C46" t="s">
        <v>138</v>
      </c>
      <c r="D46" t="s">
        <v>8</v>
      </c>
      <c r="E46" t="s">
        <v>42</v>
      </c>
      <c r="F46" t="s">
        <v>1182</v>
      </c>
      <c r="G46" t="s">
        <v>1183</v>
      </c>
      <c r="H46" t="s">
        <v>2096</v>
      </c>
      <c r="I46" t="s">
        <v>2107</v>
      </c>
      <c r="J46" t="s">
        <v>2093</v>
      </c>
    </row>
    <row r="47" spans="1:10" x14ac:dyDescent="0.25">
      <c r="A47" t="s">
        <v>139</v>
      </c>
      <c r="B47" t="s">
        <v>90</v>
      </c>
      <c r="C47" t="s">
        <v>140</v>
      </c>
      <c r="D47" t="s">
        <v>8</v>
      </c>
      <c r="E47" t="s">
        <v>16</v>
      </c>
      <c r="F47" t="s">
        <v>1184</v>
      </c>
      <c r="G47" t="s">
        <v>1185</v>
      </c>
      <c r="H47" t="s">
        <v>2096</v>
      </c>
      <c r="I47" t="s">
        <v>2165</v>
      </c>
      <c r="J47" t="s">
        <v>2104</v>
      </c>
    </row>
    <row r="48" spans="1:10" x14ac:dyDescent="0.25">
      <c r="A48" t="s">
        <v>141</v>
      </c>
      <c r="B48" t="s">
        <v>90</v>
      </c>
      <c r="C48" t="s">
        <v>142</v>
      </c>
      <c r="D48" t="s">
        <v>52</v>
      </c>
      <c r="E48" t="s">
        <v>13</v>
      </c>
      <c r="F48" t="s">
        <v>1186</v>
      </c>
      <c r="G48" t="s">
        <v>1187</v>
      </c>
      <c r="H48" t="s">
        <v>2087</v>
      </c>
      <c r="I48" t="s">
        <v>2206</v>
      </c>
      <c r="J48" t="s">
        <v>2108</v>
      </c>
    </row>
    <row r="49" spans="1:10" x14ac:dyDescent="0.25">
      <c r="A49" t="s">
        <v>143</v>
      </c>
      <c r="B49" t="s">
        <v>144</v>
      </c>
      <c r="C49" t="s">
        <v>145</v>
      </c>
      <c r="D49" t="s">
        <v>52</v>
      </c>
      <c r="E49" t="s">
        <v>28</v>
      </c>
      <c r="F49" t="s">
        <v>1188</v>
      </c>
      <c r="G49" t="s">
        <v>1189</v>
      </c>
      <c r="H49" t="s">
        <v>2087</v>
      </c>
      <c r="I49" t="s">
        <v>2208</v>
      </c>
      <c r="J49" t="s">
        <v>2108</v>
      </c>
    </row>
    <row r="50" spans="1:10" x14ac:dyDescent="0.25">
      <c r="A50" t="s">
        <v>146</v>
      </c>
      <c r="B50" t="s">
        <v>26</v>
      </c>
      <c r="C50" t="s">
        <v>147</v>
      </c>
      <c r="D50" t="s">
        <v>35</v>
      </c>
      <c r="E50" t="s">
        <v>28</v>
      </c>
      <c r="F50" t="s">
        <v>1190</v>
      </c>
      <c r="G50" t="s">
        <v>1191</v>
      </c>
      <c r="H50" t="s">
        <v>2096</v>
      </c>
      <c r="I50" t="s">
        <v>2210</v>
      </c>
      <c r="J50" t="s">
        <v>2108</v>
      </c>
    </row>
    <row r="51" spans="1:10" x14ac:dyDescent="0.25">
      <c r="A51" t="s">
        <v>148</v>
      </c>
      <c r="B51" t="s">
        <v>149</v>
      </c>
      <c r="C51" t="s">
        <v>150</v>
      </c>
      <c r="D51" t="s">
        <v>35</v>
      </c>
      <c r="E51" t="s">
        <v>42</v>
      </c>
      <c r="F51" t="s">
        <v>1192</v>
      </c>
      <c r="G51" t="s">
        <v>1193</v>
      </c>
      <c r="H51" t="s">
        <v>2087</v>
      </c>
      <c r="I51" t="s">
        <v>2212</v>
      </c>
      <c r="J51" t="s">
        <v>2089</v>
      </c>
    </row>
    <row r="52" spans="1:10" x14ac:dyDescent="0.25">
      <c r="A52" t="s">
        <v>151</v>
      </c>
      <c r="B52" t="s">
        <v>152</v>
      </c>
      <c r="C52" t="s">
        <v>153</v>
      </c>
      <c r="D52" t="s">
        <v>52</v>
      </c>
      <c r="E52" t="s">
        <v>20</v>
      </c>
      <c r="F52" t="s">
        <v>1194</v>
      </c>
      <c r="G52" t="s">
        <v>1195</v>
      </c>
      <c r="H52" t="s">
        <v>2096</v>
      </c>
      <c r="I52" t="s">
        <v>2214</v>
      </c>
      <c r="J52" t="s">
        <v>2104</v>
      </c>
    </row>
    <row r="53" spans="1:10" x14ac:dyDescent="0.25">
      <c r="A53" t="s">
        <v>154</v>
      </c>
      <c r="B53" t="s">
        <v>155</v>
      </c>
      <c r="C53" t="s">
        <v>156</v>
      </c>
      <c r="D53" t="s">
        <v>35</v>
      </c>
      <c r="E53" t="s">
        <v>9</v>
      </c>
      <c r="F53" t="s">
        <v>1196</v>
      </c>
      <c r="G53" t="s">
        <v>1197</v>
      </c>
      <c r="H53" t="s">
        <v>2096</v>
      </c>
      <c r="I53" t="s">
        <v>2217</v>
      </c>
      <c r="J53" t="s">
        <v>2104</v>
      </c>
    </row>
    <row r="54" spans="1:10" x14ac:dyDescent="0.25">
      <c r="A54" t="s">
        <v>157</v>
      </c>
      <c r="B54" t="s">
        <v>50</v>
      </c>
      <c r="C54" t="s">
        <v>158</v>
      </c>
      <c r="D54" t="s">
        <v>35</v>
      </c>
      <c r="E54" t="s">
        <v>42</v>
      </c>
      <c r="F54" t="s">
        <v>1198</v>
      </c>
      <c r="G54" t="s">
        <v>1199</v>
      </c>
      <c r="H54" t="s">
        <v>2096</v>
      </c>
      <c r="I54" t="s">
        <v>2219</v>
      </c>
      <c r="J54" t="s">
        <v>2089</v>
      </c>
    </row>
    <row r="55" spans="1:10" x14ac:dyDescent="0.25">
      <c r="A55" t="s">
        <v>159</v>
      </c>
      <c r="B55" t="s">
        <v>160</v>
      </c>
      <c r="C55" t="s">
        <v>161</v>
      </c>
      <c r="D55" t="s">
        <v>52</v>
      </c>
      <c r="E55" t="s">
        <v>9</v>
      </c>
      <c r="F55" t="s">
        <v>1200</v>
      </c>
      <c r="G55" t="s">
        <v>1201</v>
      </c>
      <c r="H55" t="s">
        <v>2096</v>
      </c>
      <c r="I55" t="s">
        <v>2221</v>
      </c>
      <c r="J55" t="s">
        <v>2104</v>
      </c>
    </row>
    <row r="56" spans="1:10" x14ac:dyDescent="0.25">
      <c r="A56" t="s">
        <v>162</v>
      </c>
      <c r="B56" t="s">
        <v>163</v>
      </c>
      <c r="C56" t="s">
        <v>164</v>
      </c>
      <c r="D56" t="s">
        <v>52</v>
      </c>
      <c r="E56" t="s">
        <v>9</v>
      </c>
      <c r="F56" t="s">
        <v>1202</v>
      </c>
      <c r="G56" t="s">
        <v>1203</v>
      </c>
      <c r="H56" t="s">
        <v>2087</v>
      </c>
      <c r="I56" t="s">
        <v>2223</v>
      </c>
      <c r="J56" t="s">
        <v>2108</v>
      </c>
    </row>
    <row r="57" spans="1:10" x14ac:dyDescent="0.25">
      <c r="A57" t="s">
        <v>165</v>
      </c>
      <c r="B57" t="s">
        <v>155</v>
      </c>
      <c r="C57" t="s">
        <v>166</v>
      </c>
      <c r="D57" t="s">
        <v>35</v>
      </c>
      <c r="E57" t="s">
        <v>56</v>
      </c>
      <c r="F57" t="s">
        <v>1204</v>
      </c>
      <c r="G57" t="s">
        <v>1205</v>
      </c>
      <c r="H57" t="s">
        <v>2096</v>
      </c>
      <c r="I57" t="s">
        <v>2225</v>
      </c>
      <c r="J57" t="s">
        <v>2089</v>
      </c>
    </row>
    <row r="58" spans="1:10" x14ac:dyDescent="0.25">
      <c r="A58" t="s">
        <v>167</v>
      </c>
      <c r="B58" t="s">
        <v>26</v>
      </c>
      <c r="C58" t="s">
        <v>168</v>
      </c>
      <c r="D58" t="s">
        <v>35</v>
      </c>
      <c r="E58" t="s">
        <v>20</v>
      </c>
      <c r="F58" t="s">
        <v>1206</v>
      </c>
      <c r="G58" t="s">
        <v>1207</v>
      </c>
      <c r="H58" t="s">
        <v>2087</v>
      </c>
      <c r="I58" t="s">
        <v>2228</v>
      </c>
      <c r="J58" t="s">
        <v>2089</v>
      </c>
    </row>
    <row r="59" spans="1:10" x14ac:dyDescent="0.25">
      <c r="A59" t="s">
        <v>169</v>
      </c>
      <c r="B59" t="s">
        <v>170</v>
      </c>
      <c r="C59" t="s">
        <v>171</v>
      </c>
      <c r="D59" t="s">
        <v>35</v>
      </c>
      <c r="E59" t="s">
        <v>16</v>
      </c>
      <c r="F59" t="s">
        <v>1208</v>
      </c>
      <c r="G59" t="s">
        <v>1209</v>
      </c>
      <c r="H59" t="s">
        <v>2096</v>
      </c>
      <c r="I59" t="s">
        <v>2230</v>
      </c>
      <c r="J59" t="s">
        <v>2104</v>
      </c>
    </row>
    <row r="60" spans="1:10" x14ac:dyDescent="0.25">
      <c r="A60" t="s">
        <v>172</v>
      </c>
      <c r="B60" t="s">
        <v>173</v>
      </c>
      <c r="C60" t="s">
        <v>174</v>
      </c>
      <c r="D60" t="s">
        <v>8</v>
      </c>
      <c r="E60" t="s">
        <v>24</v>
      </c>
      <c r="F60" t="s">
        <v>1210</v>
      </c>
      <c r="G60" t="s">
        <v>1211</v>
      </c>
      <c r="H60" t="s">
        <v>2087</v>
      </c>
      <c r="I60" t="s">
        <v>2232</v>
      </c>
      <c r="J60" t="s">
        <v>2089</v>
      </c>
    </row>
    <row r="61" spans="1:10" x14ac:dyDescent="0.25">
      <c r="A61" t="s">
        <v>175</v>
      </c>
      <c r="B61" t="s">
        <v>64</v>
      </c>
      <c r="C61" t="s">
        <v>176</v>
      </c>
      <c r="D61" t="s">
        <v>35</v>
      </c>
      <c r="E61" t="s">
        <v>28</v>
      </c>
      <c r="F61" t="s">
        <v>1212</v>
      </c>
      <c r="G61" t="s">
        <v>1213</v>
      </c>
      <c r="H61" t="s">
        <v>2096</v>
      </c>
      <c r="I61" t="s">
        <v>2130</v>
      </c>
      <c r="J61" t="s">
        <v>2104</v>
      </c>
    </row>
    <row r="62" spans="1:10" x14ac:dyDescent="0.25">
      <c r="A62" t="s">
        <v>177</v>
      </c>
      <c r="B62" t="s">
        <v>137</v>
      </c>
      <c r="C62" t="s">
        <v>178</v>
      </c>
      <c r="D62" t="s">
        <v>8</v>
      </c>
      <c r="E62" t="s">
        <v>20</v>
      </c>
      <c r="F62" t="s">
        <v>1214</v>
      </c>
      <c r="G62" t="s">
        <v>1215</v>
      </c>
      <c r="H62" t="s">
        <v>2087</v>
      </c>
      <c r="I62" t="s">
        <v>2235</v>
      </c>
      <c r="J62" t="s">
        <v>2093</v>
      </c>
    </row>
    <row r="63" spans="1:10" x14ac:dyDescent="0.25">
      <c r="A63" t="s">
        <v>179</v>
      </c>
      <c r="B63" t="s">
        <v>30</v>
      </c>
      <c r="C63" t="s">
        <v>180</v>
      </c>
      <c r="D63" t="s">
        <v>8</v>
      </c>
      <c r="E63" t="s">
        <v>42</v>
      </c>
      <c r="F63" t="s">
        <v>1216</v>
      </c>
      <c r="G63" t="s">
        <v>1217</v>
      </c>
      <c r="H63" t="s">
        <v>2096</v>
      </c>
      <c r="I63" t="s">
        <v>2237</v>
      </c>
      <c r="J63" t="s">
        <v>2093</v>
      </c>
    </row>
    <row r="64" spans="1:10" x14ac:dyDescent="0.25">
      <c r="A64" t="s">
        <v>181</v>
      </c>
      <c r="B64" t="s">
        <v>155</v>
      </c>
      <c r="C64" t="s">
        <v>182</v>
      </c>
      <c r="D64" t="s">
        <v>35</v>
      </c>
      <c r="E64" t="s">
        <v>9</v>
      </c>
      <c r="F64" t="s">
        <v>1218</v>
      </c>
      <c r="G64" t="s">
        <v>1219</v>
      </c>
      <c r="H64" t="s">
        <v>2087</v>
      </c>
      <c r="I64" t="s">
        <v>2239</v>
      </c>
      <c r="J64" t="s">
        <v>2108</v>
      </c>
    </row>
    <row r="65" spans="1:10" x14ac:dyDescent="0.25">
      <c r="A65" t="s">
        <v>183</v>
      </c>
      <c r="B65" t="s">
        <v>58</v>
      </c>
      <c r="C65" t="s">
        <v>184</v>
      </c>
      <c r="D65" t="s">
        <v>35</v>
      </c>
      <c r="E65" t="s">
        <v>16</v>
      </c>
      <c r="F65" t="s">
        <v>1220</v>
      </c>
      <c r="G65" t="s">
        <v>1221</v>
      </c>
      <c r="H65" t="s">
        <v>2096</v>
      </c>
      <c r="I65" t="s">
        <v>2241</v>
      </c>
      <c r="J65" t="s">
        <v>2089</v>
      </c>
    </row>
    <row r="66" spans="1:10" x14ac:dyDescent="0.25">
      <c r="A66" t="s">
        <v>185</v>
      </c>
      <c r="B66" t="s">
        <v>186</v>
      </c>
      <c r="C66" t="s">
        <v>187</v>
      </c>
      <c r="D66" t="s">
        <v>8</v>
      </c>
      <c r="E66" t="s">
        <v>24</v>
      </c>
      <c r="F66" t="s">
        <v>1222</v>
      </c>
      <c r="G66" t="s">
        <v>1223</v>
      </c>
      <c r="H66" t="s">
        <v>2087</v>
      </c>
      <c r="I66" t="s">
        <v>2243</v>
      </c>
      <c r="J66" t="s">
        <v>2108</v>
      </c>
    </row>
    <row r="67" spans="1:10" x14ac:dyDescent="0.25">
      <c r="A67" t="s">
        <v>188</v>
      </c>
      <c r="B67" t="s">
        <v>189</v>
      </c>
      <c r="C67" t="s">
        <v>190</v>
      </c>
      <c r="D67" t="s">
        <v>8</v>
      </c>
      <c r="E67" t="s">
        <v>9</v>
      </c>
      <c r="F67" t="s">
        <v>1224</v>
      </c>
      <c r="G67" t="s">
        <v>1225</v>
      </c>
      <c r="H67" t="s">
        <v>2087</v>
      </c>
      <c r="I67" t="s">
        <v>2245</v>
      </c>
      <c r="J67" t="s">
        <v>2093</v>
      </c>
    </row>
    <row r="68" spans="1:10" x14ac:dyDescent="0.25">
      <c r="A68" t="s">
        <v>191</v>
      </c>
      <c r="B68" t="s">
        <v>37</v>
      </c>
      <c r="C68" t="s">
        <v>192</v>
      </c>
      <c r="D68" t="s">
        <v>8</v>
      </c>
      <c r="E68" t="s">
        <v>9</v>
      </c>
      <c r="F68" t="s">
        <v>1226</v>
      </c>
      <c r="G68" t="s">
        <v>1227</v>
      </c>
      <c r="H68" t="s">
        <v>2096</v>
      </c>
      <c r="I68" t="s">
        <v>2248</v>
      </c>
      <c r="J68" t="s">
        <v>2093</v>
      </c>
    </row>
    <row r="69" spans="1:10" x14ac:dyDescent="0.25">
      <c r="A69" t="s">
        <v>193</v>
      </c>
      <c r="B69" t="s">
        <v>33</v>
      </c>
      <c r="C69" t="s">
        <v>194</v>
      </c>
      <c r="D69" t="s">
        <v>52</v>
      </c>
      <c r="E69" t="s">
        <v>24</v>
      </c>
      <c r="F69" t="s">
        <v>1228</v>
      </c>
      <c r="G69" t="s">
        <v>1229</v>
      </c>
      <c r="H69" t="s">
        <v>2087</v>
      </c>
      <c r="I69" t="s">
        <v>2250</v>
      </c>
      <c r="J69" t="s">
        <v>2093</v>
      </c>
    </row>
    <row r="70" spans="1:10" x14ac:dyDescent="0.25">
      <c r="A70" t="s">
        <v>195</v>
      </c>
      <c r="B70" t="s">
        <v>119</v>
      </c>
      <c r="C70" t="s">
        <v>196</v>
      </c>
      <c r="D70" t="s">
        <v>8</v>
      </c>
      <c r="E70" t="s">
        <v>20</v>
      </c>
      <c r="F70" t="s">
        <v>1230</v>
      </c>
      <c r="G70" t="s">
        <v>1231</v>
      </c>
      <c r="H70" t="s">
        <v>2096</v>
      </c>
      <c r="I70" t="s">
        <v>2252</v>
      </c>
      <c r="J70" t="s">
        <v>2089</v>
      </c>
    </row>
    <row r="71" spans="1:10" x14ac:dyDescent="0.25">
      <c r="A71" t="s">
        <v>197</v>
      </c>
      <c r="B71" t="s">
        <v>198</v>
      </c>
      <c r="C71" t="s">
        <v>199</v>
      </c>
      <c r="D71" t="s">
        <v>52</v>
      </c>
      <c r="E71" t="s">
        <v>9</v>
      </c>
      <c r="F71" t="s">
        <v>1232</v>
      </c>
      <c r="G71" t="s">
        <v>1233</v>
      </c>
      <c r="H71" t="s">
        <v>2087</v>
      </c>
      <c r="I71" t="s">
        <v>2254</v>
      </c>
      <c r="J71" t="s">
        <v>2093</v>
      </c>
    </row>
    <row r="72" spans="1:10" x14ac:dyDescent="0.25">
      <c r="A72" t="s">
        <v>200</v>
      </c>
      <c r="B72" t="s">
        <v>201</v>
      </c>
      <c r="C72" t="s">
        <v>202</v>
      </c>
      <c r="D72" t="s">
        <v>52</v>
      </c>
      <c r="E72" t="s">
        <v>42</v>
      </c>
      <c r="F72" t="s">
        <v>1234</v>
      </c>
      <c r="G72" t="s">
        <v>1235</v>
      </c>
      <c r="H72" t="s">
        <v>2096</v>
      </c>
      <c r="I72" t="s">
        <v>2256</v>
      </c>
      <c r="J72" t="s">
        <v>2089</v>
      </c>
    </row>
    <row r="73" spans="1:10" x14ac:dyDescent="0.25">
      <c r="A73" t="s">
        <v>203</v>
      </c>
      <c r="B73" t="s">
        <v>81</v>
      </c>
      <c r="C73" t="s">
        <v>204</v>
      </c>
      <c r="D73" t="s">
        <v>35</v>
      </c>
      <c r="E73" t="s">
        <v>16</v>
      </c>
      <c r="F73" t="s">
        <v>1236</v>
      </c>
      <c r="G73" t="s">
        <v>1237</v>
      </c>
      <c r="H73" t="s">
        <v>2096</v>
      </c>
      <c r="I73" t="s">
        <v>2259</v>
      </c>
      <c r="J73" t="s">
        <v>2093</v>
      </c>
    </row>
    <row r="74" spans="1:10" x14ac:dyDescent="0.25">
      <c r="A74" t="s">
        <v>205</v>
      </c>
      <c r="B74" t="s">
        <v>33</v>
      </c>
      <c r="C74" t="s">
        <v>206</v>
      </c>
      <c r="D74" t="s">
        <v>8</v>
      </c>
      <c r="E74" t="s">
        <v>24</v>
      </c>
      <c r="F74" t="s">
        <v>1238</v>
      </c>
      <c r="G74" t="s">
        <v>1239</v>
      </c>
      <c r="H74" t="s">
        <v>2096</v>
      </c>
      <c r="I74" t="s">
        <v>2261</v>
      </c>
      <c r="J74" t="s">
        <v>2108</v>
      </c>
    </row>
    <row r="75" spans="1:10" x14ac:dyDescent="0.25">
      <c r="A75" t="s">
        <v>207</v>
      </c>
      <c r="B75" t="s">
        <v>44</v>
      </c>
      <c r="C75" t="s">
        <v>208</v>
      </c>
      <c r="D75" t="s">
        <v>35</v>
      </c>
      <c r="E75" t="s">
        <v>56</v>
      </c>
      <c r="F75" t="s">
        <v>1240</v>
      </c>
      <c r="G75" t="s">
        <v>1241</v>
      </c>
      <c r="H75" t="s">
        <v>2096</v>
      </c>
      <c r="I75" t="s">
        <v>2263</v>
      </c>
      <c r="J75" t="s">
        <v>2108</v>
      </c>
    </row>
    <row r="76" spans="1:10" x14ac:dyDescent="0.25">
      <c r="A76" t="s">
        <v>209</v>
      </c>
      <c r="B76" t="s">
        <v>160</v>
      </c>
      <c r="C76" t="s">
        <v>210</v>
      </c>
      <c r="D76" t="s">
        <v>8</v>
      </c>
      <c r="E76" t="s">
        <v>9</v>
      </c>
      <c r="F76" t="s">
        <v>1242</v>
      </c>
      <c r="G76" t="s">
        <v>1243</v>
      </c>
      <c r="H76" t="s">
        <v>2096</v>
      </c>
      <c r="I76" t="s">
        <v>2265</v>
      </c>
      <c r="J76" t="s">
        <v>2108</v>
      </c>
    </row>
    <row r="77" spans="1:10" x14ac:dyDescent="0.25">
      <c r="A77" t="s">
        <v>211</v>
      </c>
      <c r="B77" t="s">
        <v>76</v>
      </c>
      <c r="C77" t="s">
        <v>212</v>
      </c>
      <c r="D77" t="s">
        <v>52</v>
      </c>
      <c r="E77" t="s">
        <v>20</v>
      </c>
      <c r="F77" t="s">
        <v>1244</v>
      </c>
      <c r="G77" t="s">
        <v>1245</v>
      </c>
      <c r="H77" t="s">
        <v>2096</v>
      </c>
      <c r="I77" t="s">
        <v>2267</v>
      </c>
      <c r="J77" t="s">
        <v>2093</v>
      </c>
    </row>
    <row r="78" spans="1:10" x14ac:dyDescent="0.25">
      <c r="A78" t="s">
        <v>213</v>
      </c>
      <c r="B78" t="s">
        <v>144</v>
      </c>
      <c r="C78" t="s">
        <v>214</v>
      </c>
      <c r="D78" t="s">
        <v>52</v>
      </c>
      <c r="E78" t="s">
        <v>16</v>
      </c>
      <c r="F78" t="s">
        <v>1246</v>
      </c>
      <c r="G78" t="s">
        <v>1247</v>
      </c>
      <c r="H78" t="s">
        <v>2087</v>
      </c>
      <c r="I78" t="s">
        <v>2165</v>
      </c>
      <c r="J78" t="s">
        <v>2108</v>
      </c>
    </row>
    <row r="79" spans="1:10" x14ac:dyDescent="0.25">
      <c r="A79" t="s">
        <v>215</v>
      </c>
      <c r="B79" t="s">
        <v>216</v>
      </c>
      <c r="C79" t="s">
        <v>217</v>
      </c>
      <c r="D79" t="s">
        <v>35</v>
      </c>
      <c r="E79" t="s">
        <v>13</v>
      </c>
      <c r="F79" t="s">
        <v>1248</v>
      </c>
      <c r="G79" t="s">
        <v>1249</v>
      </c>
      <c r="H79" t="s">
        <v>2096</v>
      </c>
      <c r="I79" t="s">
        <v>2270</v>
      </c>
      <c r="J79" t="s">
        <v>2104</v>
      </c>
    </row>
    <row r="80" spans="1:10" x14ac:dyDescent="0.25">
      <c r="A80" t="s">
        <v>218</v>
      </c>
      <c r="B80" t="s">
        <v>219</v>
      </c>
      <c r="C80" t="s">
        <v>220</v>
      </c>
      <c r="D80" t="s">
        <v>35</v>
      </c>
      <c r="E80" t="s">
        <v>16</v>
      </c>
      <c r="F80" t="s">
        <v>1250</v>
      </c>
      <c r="G80" t="s">
        <v>1251</v>
      </c>
      <c r="H80" t="s">
        <v>2087</v>
      </c>
      <c r="I80" t="s">
        <v>2272</v>
      </c>
      <c r="J80" t="s">
        <v>2093</v>
      </c>
    </row>
    <row r="81" spans="1:10" x14ac:dyDescent="0.25">
      <c r="A81" t="s">
        <v>221</v>
      </c>
      <c r="B81" t="s">
        <v>186</v>
      </c>
      <c r="C81" t="s">
        <v>222</v>
      </c>
      <c r="D81" t="s">
        <v>52</v>
      </c>
      <c r="E81" t="s">
        <v>9</v>
      </c>
      <c r="F81" t="s">
        <v>1252</v>
      </c>
      <c r="G81" t="s">
        <v>1253</v>
      </c>
      <c r="H81" t="s">
        <v>2087</v>
      </c>
      <c r="I81" t="s">
        <v>2274</v>
      </c>
      <c r="J81" t="s">
        <v>2093</v>
      </c>
    </row>
    <row r="82" spans="1:10" x14ac:dyDescent="0.25">
      <c r="A82" t="s">
        <v>223</v>
      </c>
      <c r="B82" t="s">
        <v>224</v>
      </c>
      <c r="C82" t="s">
        <v>225</v>
      </c>
      <c r="D82" t="s">
        <v>8</v>
      </c>
      <c r="E82" t="s">
        <v>13</v>
      </c>
      <c r="F82" t="s">
        <v>1254</v>
      </c>
      <c r="G82" t="s">
        <v>1255</v>
      </c>
      <c r="H82" t="s">
        <v>2087</v>
      </c>
      <c r="I82" t="s">
        <v>2276</v>
      </c>
      <c r="J82" t="s">
        <v>2093</v>
      </c>
    </row>
    <row r="83" spans="1:10" x14ac:dyDescent="0.25">
      <c r="A83" t="s">
        <v>226</v>
      </c>
      <c r="B83" t="s">
        <v>227</v>
      </c>
      <c r="C83" t="s">
        <v>228</v>
      </c>
      <c r="D83" t="s">
        <v>52</v>
      </c>
      <c r="E83" t="s">
        <v>24</v>
      </c>
      <c r="F83" t="s">
        <v>1256</v>
      </c>
      <c r="G83" t="s">
        <v>1257</v>
      </c>
      <c r="H83" t="s">
        <v>2096</v>
      </c>
      <c r="I83" t="s">
        <v>2278</v>
      </c>
      <c r="J83" t="s">
        <v>2104</v>
      </c>
    </row>
    <row r="84" spans="1:10" x14ac:dyDescent="0.25">
      <c r="A84" t="s">
        <v>229</v>
      </c>
      <c r="B84" t="s">
        <v>11</v>
      </c>
      <c r="C84" t="s">
        <v>230</v>
      </c>
      <c r="D84" t="s">
        <v>8</v>
      </c>
      <c r="E84" t="s">
        <v>56</v>
      </c>
      <c r="F84" t="s">
        <v>1258</v>
      </c>
      <c r="G84" t="s">
        <v>1259</v>
      </c>
      <c r="H84" t="s">
        <v>2096</v>
      </c>
      <c r="I84" t="s">
        <v>2280</v>
      </c>
      <c r="J84" t="s">
        <v>2093</v>
      </c>
    </row>
    <row r="85" spans="1:10" x14ac:dyDescent="0.25">
      <c r="A85" t="s">
        <v>231</v>
      </c>
      <c r="B85" t="s">
        <v>70</v>
      </c>
      <c r="C85" t="s">
        <v>232</v>
      </c>
      <c r="D85" t="s">
        <v>8</v>
      </c>
      <c r="E85" t="s">
        <v>42</v>
      </c>
      <c r="F85" t="s">
        <v>1260</v>
      </c>
      <c r="G85" t="s">
        <v>1261</v>
      </c>
      <c r="H85" t="s">
        <v>2096</v>
      </c>
      <c r="I85" t="s">
        <v>2282</v>
      </c>
      <c r="J85" t="s">
        <v>2089</v>
      </c>
    </row>
    <row r="86" spans="1:10" x14ac:dyDescent="0.25">
      <c r="A86" t="s">
        <v>233</v>
      </c>
      <c r="B86" t="s">
        <v>198</v>
      </c>
      <c r="C86" t="s">
        <v>234</v>
      </c>
      <c r="D86" t="s">
        <v>52</v>
      </c>
      <c r="E86" t="s">
        <v>20</v>
      </c>
      <c r="F86" t="s">
        <v>1262</v>
      </c>
      <c r="G86" t="s">
        <v>1263</v>
      </c>
      <c r="H86" t="s">
        <v>2096</v>
      </c>
      <c r="I86" t="s">
        <v>2194</v>
      </c>
      <c r="J86" t="s">
        <v>2104</v>
      </c>
    </row>
    <row r="87" spans="1:10" x14ac:dyDescent="0.25">
      <c r="A87" t="s">
        <v>235</v>
      </c>
      <c r="B87" t="s">
        <v>236</v>
      </c>
      <c r="C87" t="s">
        <v>237</v>
      </c>
      <c r="D87" t="s">
        <v>35</v>
      </c>
      <c r="E87" t="s">
        <v>24</v>
      </c>
      <c r="F87" t="s">
        <v>1264</v>
      </c>
      <c r="G87" t="s">
        <v>1265</v>
      </c>
      <c r="H87" t="s">
        <v>2087</v>
      </c>
      <c r="I87" t="s">
        <v>2285</v>
      </c>
      <c r="J87" t="s">
        <v>2104</v>
      </c>
    </row>
    <row r="88" spans="1:10" x14ac:dyDescent="0.25">
      <c r="A88" t="s">
        <v>238</v>
      </c>
      <c r="B88" t="s">
        <v>239</v>
      </c>
      <c r="C88" t="s">
        <v>240</v>
      </c>
      <c r="D88" t="s">
        <v>8</v>
      </c>
      <c r="E88" t="s">
        <v>28</v>
      </c>
      <c r="F88" t="s">
        <v>1266</v>
      </c>
      <c r="G88" t="s">
        <v>1267</v>
      </c>
      <c r="H88" t="s">
        <v>2096</v>
      </c>
      <c r="I88" t="s">
        <v>2287</v>
      </c>
      <c r="J88" t="s">
        <v>2089</v>
      </c>
    </row>
    <row r="89" spans="1:10" x14ac:dyDescent="0.25">
      <c r="A89" t="s">
        <v>241</v>
      </c>
      <c r="B89" t="s">
        <v>30</v>
      </c>
      <c r="C89" t="s">
        <v>242</v>
      </c>
      <c r="D89" t="s">
        <v>35</v>
      </c>
      <c r="E89" t="s">
        <v>42</v>
      </c>
      <c r="F89" t="s">
        <v>1268</v>
      </c>
      <c r="G89" t="s">
        <v>1269</v>
      </c>
      <c r="H89" t="s">
        <v>2087</v>
      </c>
      <c r="I89" t="s">
        <v>2289</v>
      </c>
      <c r="J89" t="s">
        <v>2089</v>
      </c>
    </row>
    <row r="90" spans="1:10" x14ac:dyDescent="0.25">
      <c r="A90" t="s">
        <v>243</v>
      </c>
      <c r="B90" t="s">
        <v>50</v>
      </c>
      <c r="C90" t="s">
        <v>244</v>
      </c>
      <c r="D90" t="s">
        <v>52</v>
      </c>
      <c r="E90" t="s">
        <v>42</v>
      </c>
      <c r="F90" t="s">
        <v>1270</v>
      </c>
      <c r="G90" t="s">
        <v>1271</v>
      </c>
      <c r="H90" t="s">
        <v>2096</v>
      </c>
      <c r="I90" t="s">
        <v>2291</v>
      </c>
      <c r="J90" t="s">
        <v>2108</v>
      </c>
    </row>
    <row r="91" spans="1:10" x14ac:dyDescent="0.25">
      <c r="A91" t="s">
        <v>245</v>
      </c>
      <c r="B91" t="s">
        <v>246</v>
      </c>
      <c r="C91" t="s">
        <v>247</v>
      </c>
      <c r="D91" t="s">
        <v>52</v>
      </c>
      <c r="E91" t="s">
        <v>28</v>
      </c>
      <c r="F91" t="s">
        <v>1272</v>
      </c>
      <c r="G91" t="s">
        <v>1273</v>
      </c>
      <c r="H91" t="s">
        <v>2096</v>
      </c>
      <c r="I91" t="s">
        <v>2293</v>
      </c>
      <c r="J91" t="s">
        <v>2108</v>
      </c>
    </row>
    <row r="92" spans="1:10" x14ac:dyDescent="0.25">
      <c r="A92" t="s">
        <v>248</v>
      </c>
      <c r="B92" t="s">
        <v>149</v>
      </c>
      <c r="C92" t="s">
        <v>249</v>
      </c>
      <c r="D92" t="s">
        <v>52</v>
      </c>
      <c r="E92" t="s">
        <v>9</v>
      </c>
      <c r="F92" t="s">
        <v>1274</v>
      </c>
      <c r="G92" t="s">
        <v>1275</v>
      </c>
      <c r="H92" t="s">
        <v>2096</v>
      </c>
      <c r="I92" t="s">
        <v>2295</v>
      </c>
      <c r="J92" t="s">
        <v>2108</v>
      </c>
    </row>
    <row r="93" spans="1:10" x14ac:dyDescent="0.25">
      <c r="A93" t="s">
        <v>250</v>
      </c>
      <c r="B93" t="s">
        <v>251</v>
      </c>
      <c r="C93" t="s">
        <v>252</v>
      </c>
      <c r="D93" t="s">
        <v>8</v>
      </c>
      <c r="E93" t="s">
        <v>16</v>
      </c>
      <c r="F93" t="s">
        <v>1276</v>
      </c>
      <c r="G93" t="s">
        <v>1277</v>
      </c>
      <c r="H93" t="s">
        <v>2096</v>
      </c>
      <c r="I93" t="s">
        <v>2297</v>
      </c>
      <c r="J93" t="s">
        <v>2108</v>
      </c>
    </row>
    <row r="94" spans="1:10" x14ac:dyDescent="0.25">
      <c r="A94" t="s">
        <v>253</v>
      </c>
      <c r="B94" t="s">
        <v>124</v>
      </c>
      <c r="C94" t="s">
        <v>254</v>
      </c>
      <c r="D94" t="s">
        <v>8</v>
      </c>
      <c r="E94" t="s">
        <v>28</v>
      </c>
      <c r="F94" t="s">
        <v>1278</v>
      </c>
      <c r="G94" t="s">
        <v>1279</v>
      </c>
      <c r="H94" t="s">
        <v>2096</v>
      </c>
      <c r="I94" t="s">
        <v>2299</v>
      </c>
      <c r="J94" t="s">
        <v>2104</v>
      </c>
    </row>
    <row r="95" spans="1:10" x14ac:dyDescent="0.25">
      <c r="A95" t="s">
        <v>255</v>
      </c>
      <c r="B95" t="s">
        <v>256</v>
      </c>
      <c r="C95" t="s">
        <v>257</v>
      </c>
      <c r="D95" t="s">
        <v>35</v>
      </c>
      <c r="E95" t="s">
        <v>24</v>
      </c>
      <c r="F95" t="s">
        <v>1280</v>
      </c>
      <c r="G95" t="s">
        <v>1281</v>
      </c>
      <c r="H95" t="s">
        <v>2087</v>
      </c>
      <c r="I95" t="s">
        <v>2301</v>
      </c>
      <c r="J95" t="s">
        <v>2104</v>
      </c>
    </row>
    <row r="96" spans="1:10" x14ac:dyDescent="0.25">
      <c r="A96" t="s">
        <v>258</v>
      </c>
      <c r="B96" t="s">
        <v>6</v>
      </c>
      <c r="C96" t="s">
        <v>259</v>
      </c>
      <c r="D96" t="s">
        <v>8</v>
      </c>
      <c r="E96" t="s">
        <v>56</v>
      </c>
      <c r="F96" t="s">
        <v>1282</v>
      </c>
      <c r="G96" t="s">
        <v>1283</v>
      </c>
      <c r="H96" t="s">
        <v>2087</v>
      </c>
      <c r="I96" t="s">
        <v>2183</v>
      </c>
      <c r="J96" t="s">
        <v>2104</v>
      </c>
    </row>
    <row r="97" spans="1:10" x14ac:dyDescent="0.25">
      <c r="A97" t="s">
        <v>260</v>
      </c>
      <c r="B97" t="s">
        <v>201</v>
      </c>
      <c r="C97" t="s">
        <v>261</v>
      </c>
      <c r="D97" t="s">
        <v>35</v>
      </c>
      <c r="E97" t="s">
        <v>20</v>
      </c>
      <c r="F97" t="s">
        <v>1284</v>
      </c>
      <c r="G97" t="s">
        <v>1285</v>
      </c>
      <c r="H97" t="s">
        <v>2096</v>
      </c>
      <c r="I97" t="s">
        <v>2305</v>
      </c>
      <c r="J97" t="s">
        <v>2104</v>
      </c>
    </row>
    <row r="98" spans="1:10" x14ac:dyDescent="0.25">
      <c r="A98" t="s">
        <v>262</v>
      </c>
      <c r="B98" t="s">
        <v>263</v>
      </c>
      <c r="C98" t="s">
        <v>264</v>
      </c>
      <c r="D98" t="s">
        <v>52</v>
      </c>
      <c r="E98" t="s">
        <v>42</v>
      </c>
      <c r="F98" t="s">
        <v>1286</v>
      </c>
      <c r="G98" t="s">
        <v>1287</v>
      </c>
      <c r="H98" t="s">
        <v>2096</v>
      </c>
      <c r="I98" t="s">
        <v>2307</v>
      </c>
      <c r="J98" t="s">
        <v>2093</v>
      </c>
    </row>
    <row r="99" spans="1:10" x14ac:dyDescent="0.25">
      <c r="A99" t="s">
        <v>265</v>
      </c>
      <c r="B99" t="s">
        <v>266</v>
      </c>
      <c r="C99" t="s">
        <v>267</v>
      </c>
      <c r="D99" t="s">
        <v>52</v>
      </c>
      <c r="E99" t="s">
        <v>24</v>
      </c>
      <c r="F99" t="s">
        <v>1234</v>
      </c>
      <c r="G99" t="s">
        <v>1288</v>
      </c>
      <c r="H99" t="s">
        <v>2096</v>
      </c>
      <c r="I99" t="s">
        <v>2309</v>
      </c>
      <c r="J99" t="s">
        <v>2089</v>
      </c>
    </row>
    <row r="100" spans="1:10" x14ac:dyDescent="0.25">
      <c r="A100" t="s">
        <v>268</v>
      </c>
      <c r="B100" t="s">
        <v>263</v>
      </c>
      <c r="C100" t="s">
        <v>269</v>
      </c>
      <c r="D100" t="s">
        <v>35</v>
      </c>
      <c r="E100" t="s">
        <v>9</v>
      </c>
      <c r="F100" t="s">
        <v>1289</v>
      </c>
      <c r="G100" t="s">
        <v>1290</v>
      </c>
      <c r="H100" t="s">
        <v>2096</v>
      </c>
      <c r="I100" t="s">
        <v>2311</v>
      </c>
      <c r="J100" t="s">
        <v>2089</v>
      </c>
    </row>
    <row r="101" spans="1:10" x14ac:dyDescent="0.25">
      <c r="A101" t="s">
        <v>270</v>
      </c>
      <c r="B101" t="s">
        <v>50</v>
      </c>
      <c r="C101" t="s">
        <v>271</v>
      </c>
      <c r="D101" t="s">
        <v>8</v>
      </c>
      <c r="E101" t="s">
        <v>20</v>
      </c>
      <c r="F101" t="s">
        <v>1291</v>
      </c>
      <c r="G101" t="s">
        <v>1292</v>
      </c>
      <c r="H101" t="s">
        <v>2087</v>
      </c>
      <c r="I101" t="s">
        <v>2313</v>
      </c>
      <c r="J101" t="s">
        <v>2108</v>
      </c>
    </row>
    <row r="102" spans="1:10" x14ac:dyDescent="0.25">
      <c r="A102" t="s">
        <v>272</v>
      </c>
      <c r="B102" t="s">
        <v>81</v>
      </c>
      <c r="C102" t="s">
        <v>273</v>
      </c>
      <c r="D102" t="s">
        <v>8</v>
      </c>
      <c r="E102" t="s">
        <v>20</v>
      </c>
      <c r="F102" t="s">
        <v>1293</v>
      </c>
      <c r="G102" t="s">
        <v>1294</v>
      </c>
      <c r="H102" t="s">
        <v>2087</v>
      </c>
      <c r="I102" t="s">
        <v>2315</v>
      </c>
      <c r="J102" t="s">
        <v>2089</v>
      </c>
    </row>
    <row r="103" spans="1:10" x14ac:dyDescent="0.25">
      <c r="A103" t="s">
        <v>274</v>
      </c>
      <c r="B103" t="s">
        <v>275</v>
      </c>
      <c r="C103" t="s">
        <v>276</v>
      </c>
      <c r="D103" t="s">
        <v>52</v>
      </c>
      <c r="E103" t="s">
        <v>20</v>
      </c>
      <c r="F103" t="s">
        <v>1295</v>
      </c>
      <c r="G103" t="s">
        <v>1296</v>
      </c>
      <c r="H103" t="s">
        <v>2087</v>
      </c>
      <c r="I103" t="s">
        <v>2318</v>
      </c>
      <c r="J103" t="s">
        <v>2093</v>
      </c>
    </row>
    <row r="104" spans="1:10" x14ac:dyDescent="0.25">
      <c r="A104" t="s">
        <v>277</v>
      </c>
      <c r="B104" t="s">
        <v>278</v>
      </c>
      <c r="C104" t="s">
        <v>279</v>
      </c>
      <c r="D104" t="s">
        <v>8</v>
      </c>
      <c r="E104" t="s">
        <v>24</v>
      </c>
      <c r="F104" t="s">
        <v>1297</v>
      </c>
      <c r="G104" t="s">
        <v>1298</v>
      </c>
      <c r="H104" t="s">
        <v>2087</v>
      </c>
      <c r="I104" t="s">
        <v>2320</v>
      </c>
      <c r="J104" t="s">
        <v>2093</v>
      </c>
    </row>
    <row r="105" spans="1:10" x14ac:dyDescent="0.25">
      <c r="A105" t="s">
        <v>280</v>
      </c>
      <c r="B105" t="s">
        <v>58</v>
      </c>
      <c r="C105" t="s">
        <v>281</v>
      </c>
      <c r="D105" t="s">
        <v>35</v>
      </c>
      <c r="E105" t="s">
        <v>42</v>
      </c>
      <c r="F105" t="s">
        <v>1299</v>
      </c>
      <c r="G105" t="s">
        <v>1300</v>
      </c>
      <c r="H105" t="s">
        <v>2096</v>
      </c>
      <c r="I105" t="s">
        <v>2103</v>
      </c>
      <c r="J105" t="s">
        <v>2093</v>
      </c>
    </row>
    <row r="106" spans="1:10" x14ac:dyDescent="0.25">
      <c r="A106" t="s">
        <v>282</v>
      </c>
      <c r="B106" t="s">
        <v>102</v>
      </c>
      <c r="C106" t="s">
        <v>283</v>
      </c>
      <c r="D106" t="s">
        <v>8</v>
      </c>
      <c r="E106" t="s">
        <v>13</v>
      </c>
      <c r="F106" t="s">
        <v>1301</v>
      </c>
      <c r="G106" t="s">
        <v>1302</v>
      </c>
      <c r="H106" t="s">
        <v>2096</v>
      </c>
      <c r="I106" t="s">
        <v>2323</v>
      </c>
      <c r="J106" t="s">
        <v>2093</v>
      </c>
    </row>
    <row r="107" spans="1:10" x14ac:dyDescent="0.25">
      <c r="A107" t="s">
        <v>284</v>
      </c>
      <c r="B107" t="s">
        <v>198</v>
      </c>
      <c r="C107" t="s">
        <v>285</v>
      </c>
      <c r="D107" t="s">
        <v>52</v>
      </c>
      <c r="E107" t="s">
        <v>20</v>
      </c>
      <c r="F107" t="s">
        <v>1303</v>
      </c>
      <c r="G107" t="s">
        <v>1304</v>
      </c>
      <c r="H107" t="s">
        <v>2096</v>
      </c>
      <c r="I107" t="s">
        <v>2325</v>
      </c>
      <c r="J107" t="s">
        <v>2089</v>
      </c>
    </row>
    <row r="108" spans="1:10" x14ac:dyDescent="0.25">
      <c r="A108" t="s">
        <v>286</v>
      </c>
      <c r="B108" t="s">
        <v>236</v>
      </c>
      <c r="C108" t="s">
        <v>287</v>
      </c>
      <c r="D108" t="s">
        <v>35</v>
      </c>
      <c r="E108" t="s">
        <v>24</v>
      </c>
      <c r="F108" t="s">
        <v>1305</v>
      </c>
      <c r="G108" t="s">
        <v>1306</v>
      </c>
      <c r="H108" t="s">
        <v>2087</v>
      </c>
      <c r="I108" t="s">
        <v>2327</v>
      </c>
      <c r="J108" t="s">
        <v>2104</v>
      </c>
    </row>
    <row r="109" spans="1:10" x14ac:dyDescent="0.25">
      <c r="A109" t="s">
        <v>288</v>
      </c>
      <c r="B109" t="s">
        <v>81</v>
      </c>
      <c r="C109" t="s">
        <v>289</v>
      </c>
      <c r="D109" t="s">
        <v>35</v>
      </c>
      <c r="E109" t="s">
        <v>9</v>
      </c>
      <c r="F109" t="s">
        <v>1307</v>
      </c>
      <c r="G109" t="s">
        <v>1308</v>
      </c>
      <c r="H109" t="s">
        <v>2096</v>
      </c>
      <c r="I109" t="s">
        <v>2329</v>
      </c>
      <c r="J109" t="s">
        <v>2104</v>
      </c>
    </row>
    <row r="110" spans="1:10" x14ac:dyDescent="0.25">
      <c r="A110" t="s">
        <v>290</v>
      </c>
      <c r="B110" t="s">
        <v>198</v>
      </c>
      <c r="C110" t="s">
        <v>291</v>
      </c>
      <c r="D110" t="s">
        <v>52</v>
      </c>
      <c r="E110" t="s">
        <v>16</v>
      </c>
      <c r="F110" t="s">
        <v>1309</v>
      </c>
      <c r="G110" t="s">
        <v>1310</v>
      </c>
      <c r="H110" t="s">
        <v>2096</v>
      </c>
      <c r="I110" t="s">
        <v>2331</v>
      </c>
      <c r="J110" t="s">
        <v>2108</v>
      </c>
    </row>
    <row r="111" spans="1:10" x14ac:dyDescent="0.25">
      <c r="A111" t="s">
        <v>292</v>
      </c>
      <c r="B111" t="s">
        <v>67</v>
      </c>
      <c r="C111" t="s">
        <v>293</v>
      </c>
      <c r="D111" t="s">
        <v>35</v>
      </c>
      <c r="E111" t="s">
        <v>42</v>
      </c>
      <c r="F111" t="s">
        <v>1311</v>
      </c>
      <c r="G111" t="s">
        <v>1312</v>
      </c>
      <c r="H111" t="s">
        <v>2096</v>
      </c>
      <c r="I111" t="s">
        <v>2333</v>
      </c>
      <c r="J111" t="s">
        <v>2104</v>
      </c>
    </row>
    <row r="112" spans="1:10" x14ac:dyDescent="0.25">
      <c r="A112" t="s">
        <v>294</v>
      </c>
      <c r="B112" t="s">
        <v>124</v>
      </c>
      <c r="C112" t="s">
        <v>295</v>
      </c>
      <c r="D112" t="s">
        <v>8</v>
      </c>
      <c r="E112" t="s">
        <v>42</v>
      </c>
      <c r="F112" t="s">
        <v>1313</v>
      </c>
      <c r="G112" t="s">
        <v>1314</v>
      </c>
      <c r="H112" t="s">
        <v>2087</v>
      </c>
      <c r="I112" t="s">
        <v>2335</v>
      </c>
      <c r="J112" t="s">
        <v>2093</v>
      </c>
    </row>
    <row r="113" spans="1:10" x14ac:dyDescent="0.25">
      <c r="A113" t="s">
        <v>296</v>
      </c>
      <c r="B113" t="s">
        <v>297</v>
      </c>
      <c r="C113" t="s">
        <v>298</v>
      </c>
      <c r="D113" t="s">
        <v>8</v>
      </c>
      <c r="E113" t="s">
        <v>20</v>
      </c>
      <c r="F113" t="s">
        <v>1315</v>
      </c>
      <c r="G113" t="s">
        <v>1316</v>
      </c>
      <c r="H113" t="s">
        <v>2096</v>
      </c>
      <c r="I113" t="s">
        <v>2337</v>
      </c>
      <c r="J113" t="s">
        <v>2104</v>
      </c>
    </row>
    <row r="114" spans="1:10" x14ac:dyDescent="0.25">
      <c r="A114" t="s">
        <v>299</v>
      </c>
      <c r="B114" t="s">
        <v>87</v>
      </c>
      <c r="C114" t="s">
        <v>300</v>
      </c>
      <c r="D114" t="s">
        <v>52</v>
      </c>
      <c r="E114" t="s">
        <v>42</v>
      </c>
      <c r="F114" t="s">
        <v>1317</v>
      </c>
      <c r="G114" t="s">
        <v>1318</v>
      </c>
      <c r="H114" t="s">
        <v>2096</v>
      </c>
      <c r="I114" t="s">
        <v>2339</v>
      </c>
      <c r="J114" t="s">
        <v>2093</v>
      </c>
    </row>
    <row r="115" spans="1:10" x14ac:dyDescent="0.25">
      <c r="A115" t="s">
        <v>301</v>
      </c>
      <c r="B115" t="s">
        <v>26</v>
      </c>
      <c r="C115" t="s">
        <v>302</v>
      </c>
      <c r="D115" t="s">
        <v>35</v>
      </c>
      <c r="E115" t="s">
        <v>9</v>
      </c>
      <c r="F115" t="s">
        <v>1319</v>
      </c>
      <c r="G115" t="s">
        <v>1320</v>
      </c>
      <c r="H115" t="s">
        <v>2087</v>
      </c>
      <c r="I115" t="s">
        <v>2341</v>
      </c>
      <c r="J115" t="s">
        <v>2104</v>
      </c>
    </row>
    <row r="116" spans="1:10" x14ac:dyDescent="0.25">
      <c r="A116" t="s">
        <v>303</v>
      </c>
      <c r="B116" t="s">
        <v>297</v>
      </c>
      <c r="C116" t="s">
        <v>304</v>
      </c>
      <c r="D116" t="s">
        <v>8</v>
      </c>
      <c r="E116" t="s">
        <v>24</v>
      </c>
      <c r="F116" t="s">
        <v>1321</v>
      </c>
      <c r="G116" t="s">
        <v>1322</v>
      </c>
      <c r="H116" t="s">
        <v>2096</v>
      </c>
      <c r="I116" t="s">
        <v>2343</v>
      </c>
      <c r="J116" t="s">
        <v>2104</v>
      </c>
    </row>
    <row r="117" spans="1:10" x14ac:dyDescent="0.25">
      <c r="A117" t="s">
        <v>305</v>
      </c>
      <c r="B117" t="s">
        <v>219</v>
      </c>
      <c r="C117" t="s">
        <v>306</v>
      </c>
      <c r="D117" t="s">
        <v>52</v>
      </c>
      <c r="E117" t="s">
        <v>56</v>
      </c>
      <c r="F117" t="s">
        <v>1323</v>
      </c>
      <c r="G117" t="s">
        <v>1324</v>
      </c>
      <c r="H117" t="s">
        <v>2087</v>
      </c>
      <c r="I117" t="s">
        <v>2345</v>
      </c>
      <c r="J117" t="s">
        <v>2089</v>
      </c>
    </row>
    <row r="118" spans="1:10" x14ac:dyDescent="0.25">
      <c r="A118" t="s">
        <v>307</v>
      </c>
      <c r="B118" t="s">
        <v>160</v>
      </c>
      <c r="C118" t="s">
        <v>279</v>
      </c>
      <c r="D118" t="s">
        <v>52</v>
      </c>
      <c r="E118" t="s">
        <v>42</v>
      </c>
      <c r="F118" t="s">
        <v>1325</v>
      </c>
      <c r="G118" t="s">
        <v>1326</v>
      </c>
      <c r="H118" t="s">
        <v>2096</v>
      </c>
      <c r="I118" t="s">
        <v>2347</v>
      </c>
      <c r="J118" t="s">
        <v>2104</v>
      </c>
    </row>
    <row r="119" spans="1:10" x14ac:dyDescent="0.25">
      <c r="A119" t="s">
        <v>308</v>
      </c>
      <c r="B119" t="s">
        <v>266</v>
      </c>
      <c r="C119" t="s">
        <v>309</v>
      </c>
      <c r="D119" t="s">
        <v>35</v>
      </c>
      <c r="E119" t="s">
        <v>16</v>
      </c>
      <c r="F119" t="s">
        <v>1327</v>
      </c>
      <c r="G119" t="s">
        <v>1328</v>
      </c>
      <c r="H119" t="s">
        <v>2087</v>
      </c>
      <c r="I119" t="s">
        <v>2349</v>
      </c>
      <c r="J119" t="s">
        <v>2093</v>
      </c>
    </row>
    <row r="120" spans="1:10" x14ac:dyDescent="0.25">
      <c r="A120" t="s">
        <v>310</v>
      </c>
      <c r="B120" t="s">
        <v>246</v>
      </c>
      <c r="C120" t="s">
        <v>311</v>
      </c>
      <c r="D120" t="s">
        <v>35</v>
      </c>
      <c r="E120" t="s">
        <v>9</v>
      </c>
      <c r="F120" t="s">
        <v>1329</v>
      </c>
      <c r="G120" t="s">
        <v>1330</v>
      </c>
      <c r="H120" t="s">
        <v>2087</v>
      </c>
      <c r="I120" t="s">
        <v>2351</v>
      </c>
      <c r="J120" t="s">
        <v>2089</v>
      </c>
    </row>
    <row r="121" spans="1:10" x14ac:dyDescent="0.25">
      <c r="A121" t="s">
        <v>312</v>
      </c>
      <c r="B121" t="s">
        <v>313</v>
      </c>
      <c r="C121" t="s">
        <v>314</v>
      </c>
      <c r="D121" t="s">
        <v>8</v>
      </c>
      <c r="E121" t="s">
        <v>28</v>
      </c>
      <c r="F121" t="s">
        <v>1331</v>
      </c>
      <c r="G121" t="s">
        <v>1332</v>
      </c>
      <c r="H121" t="s">
        <v>2096</v>
      </c>
      <c r="I121" t="s">
        <v>2353</v>
      </c>
      <c r="J121" t="s">
        <v>2104</v>
      </c>
    </row>
    <row r="122" spans="1:10" x14ac:dyDescent="0.25">
      <c r="A122" t="s">
        <v>315</v>
      </c>
      <c r="B122" t="s">
        <v>37</v>
      </c>
      <c r="C122" t="s">
        <v>316</v>
      </c>
      <c r="D122" t="s">
        <v>52</v>
      </c>
      <c r="E122" t="s">
        <v>16</v>
      </c>
      <c r="F122" t="s">
        <v>1333</v>
      </c>
      <c r="G122" t="s">
        <v>1334</v>
      </c>
      <c r="H122" t="s">
        <v>2096</v>
      </c>
      <c r="I122" t="s">
        <v>2355</v>
      </c>
      <c r="J122" t="s">
        <v>2104</v>
      </c>
    </row>
    <row r="123" spans="1:10" x14ac:dyDescent="0.25">
      <c r="A123" t="s">
        <v>317</v>
      </c>
      <c r="B123" t="s">
        <v>163</v>
      </c>
      <c r="C123" t="s">
        <v>318</v>
      </c>
      <c r="D123" t="s">
        <v>35</v>
      </c>
      <c r="E123" t="s">
        <v>56</v>
      </c>
      <c r="F123" t="s">
        <v>1335</v>
      </c>
      <c r="G123" t="s">
        <v>1336</v>
      </c>
      <c r="H123" t="s">
        <v>2087</v>
      </c>
      <c r="I123" t="s">
        <v>2158</v>
      </c>
      <c r="J123" t="s">
        <v>2108</v>
      </c>
    </row>
    <row r="124" spans="1:10" x14ac:dyDescent="0.25">
      <c r="A124" t="s">
        <v>319</v>
      </c>
      <c r="B124" t="s">
        <v>160</v>
      </c>
      <c r="C124" t="s">
        <v>320</v>
      </c>
      <c r="D124" t="s">
        <v>8</v>
      </c>
      <c r="E124" t="s">
        <v>16</v>
      </c>
      <c r="F124" t="s">
        <v>1337</v>
      </c>
      <c r="G124" t="s">
        <v>1338</v>
      </c>
      <c r="H124" t="s">
        <v>2087</v>
      </c>
      <c r="I124" t="s">
        <v>2358</v>
      </c>
      <c r="J124" t="s">
        <v>2093</v>
      </c>
    </row>
    <row r="125" spans="1:10" x14ac:dyDescent="0.25">
      <c r="A125" t="s">
        <v>321</v>
      </c>
      <c r="B125" t="s">
        <v>322</v>
      </c>
      <c r="C125" t="s">
        <v>323</v>
      </c>
      <c r="D125" t="s">
        <v>35</v>
      </c>
      <c r="E125" t="s">
        <v>28</v>
      </c>
      <c r="F125" t="s">
        <v>1339</v>
      </c>
      <c r="G125" t="s">
        <v>1340</v>
      </c>
      <c r="H125" t="s">
        <v>2087</v>
      </c>
      <c r="I125" t="s">
        <v>2360</v>
      </c>
      <c r="J125" t="s">
        <v>2108</v>
      </c>
    </row>
    <row r="126" spans="1:10" x14ac:dyDescent="0.25">
      <c r="A126" t="s">
        <v>324</v>
      </c>
      <c r="B126" t="s">
        <v>47</v>
      </c>
      <c r="C126" t="s">
        <v>325</v>
      </c>
      <c r="D126" t="s">
        <v>8</v>
      </c>
      <c r="E126" t="s">
        <v>24</v>
      </c>
      <c r="F126" t="s">
        <v>1341</v>
      </c>
      <c r="G126" t="s">
        <v>1342</v>
      </c>
      <c r="H126" t="s">
        <v>2087</v>
      </c>
      <c r="I126" t="s">
        <v>2362</v>
      </c>
      <c r="J126" t="s">
        <v>2089</v>
      </c>
    </row>
    <row r="127" spans="1:10" x14ac:dyDescent="0.25">
      <c r="A127" t="s">
        <v>326</v>
      </c>
      <c r="B127" t="s">
        <v>44</v>
      </c>
      <c r="C127" t="s">
        <v>327</v>
      </c>
      <c r="D127" t="s">
        <v>8</v>
      </c>
      <c r="E127" t="s">
        <v>13</v>
      </c>
      <c r="F127" t="s">
        <v>1343</v>
      </c>
      <c r="G127" t="s">
        <v>1344</v>
      </c>
      <c r="H127" t="s">
        <v>2096</v>
      </c>
      <c r="I127" t="s">
        <v>2364</v>
      </c>
      <c r="J127" t="s">
        <v>2089</v>
      </c>
    </row>
    <row r="128" spans="1:10" x14ac:dyDescent="0.25">
      <c r="A128" t="s">
        <v>328</v>
      </c>
      <c r="B128" t="s">
        <v>216</v>
      </c>
      <c r="C128" t="s">
        <v>329</v>
      </c>
      <c r="D128" t="s">
        <v>8</v>
      </c>
      <c r="E128" t="s">
        <v>42</v>
      </c>
      <c r="F128" t="s">
        <v>1345</v>
      </c>
      <c r="G128" t="s">
        <v>1346</v>
      </c>
      <c r="H128" t="s">
        <v>2087</v>
      </c>
      <c r="I128" t="s">
        <v>2366</v>
      </c>
      <c r="J128" t="s">
        <v>2104</v>
      </c>
    </row>
    <row r="129" spans="1:10" x14ac:dyDescent="0.25">
      <c r="A129" t="s">
        <v>330</v>
      </c>
      <c r="B129" t="s">
        <v>84</v>
      </c>
      <c r="C129" t="s">
        <v>331</v>
      </c>
      <c r="D129" t="s">
        <v>8</v>
      </c>
      <c r="E129" t="s">
        <v>28</v>
      </c>
      <c r="F129" t="s">
        <v>1347</v>
      </c>
      <c r="G129" t="s">
        <v>1348</v>
      </c>
      <c r="H129" t="s">
        <v>2096</v>
      </c>
      <c r="I129" t="s">
        <v>2368</v>
      </c>
      <c r="J129" t="s">
        <v>2093</v>
      </c>
    </row>
    <row r="130" spans="1:10" x14ac:dyDescent="0.25">
      <c r="A130" t="s">
        <v>332</v>
      </c>
      <c r="B130" t="s">
        <v>144</v>
      </c>
      <c r="C130" t="s">
        <v>333</v>
      </c>
      <c r="D130" t="s">
        <v>8</v>
      </c>
      <c r="E130" t="s">
        <v>56</v>
      </c>
      <c r="F130" t="s">
        <v>1349</v>
      </c>
      <c r="G130" t="s">
        <v>1350</v>
      </c>
      <c r="H130" t="s">
        <v>2087</v>
      </c>
      <c r="I130" t="s">
        <v>2370</v>
      </c>
      <c r="J130" t="s">
        <v>2108</v>
      </c>
    </row>
    <row r="131" spans="1:10" x14ac:dyDescent="0.25">
      <c r="A131" t="s">
        <v>334</v>
      </c>
      <c r="B131" t="s">
        <v>76</v>
      </c>
      <c r="C131" t="s">
        <v>335</v>
      </c>
      <c r="D131" t="s">
        <v>52</v>
      </c>
      <c r="E131" t="s">
        <v>24</v>
      </c>
      <c r="F131" t="s">
        <v>1351</v>
      </c>
      <c r="G131" t="s">
        <v>1352</v>
      </c>
      <c r="H131" t="s">
        <v>2087</v>
      </c>
      <c r="I131" t="s">
        <v>2150</v>
      </c>
      <c r="J131" t="s">
        <v>2108</v>
      </c>
    </row>
    <row r="132" spans="1:10" x14ac:dyDescent="0.25">
      <c r="A132" t="s">
        <v>336</v>
      </c>
      <c r="B132" t="s">
        <v>50</v>
      </c>
      <c r="C132" t="s">
        <v>337</v>
      </c>
      <c r="D132" t="s">
        <v>8</v>
      </c>
      <c r="E132" t="s">
        <v>28</v>
      </c>
      <c r="F132" t="s">
        <v>1353</v>
      </c>
      <c r="G132" t="s">
        <v>1354</v>
      </c>
      <c r="H132" t="s">
        <v>2096</v>
      </c>
      <c r="I132" t="s">
        <v>2373</v>
      </c>
      <c r="J132" t="s">
        <v>2093</v>
      </c>
    </row>
    <row r="133" spans="1:10" x14ac:dyDescent="0.25">
      <c r="A133" t="s">
        <v>338</v>
      </c>
      <c r="B133" t="s">
        <v>50</v>
      </c>
      <c r="C133" t="s">
        <v>339</v>
      </c>
      <c r="D133" t="s">
        <v>52</v>
      </c>
      <c r="E133" t="s">
        <v>56</v>
      </c>
      <c r="F133" t="s">
        <v>1355</v>
      </c>
      <c r="G133" t="s">
        <v>1356</v>
      </c>
      <c r="H133" t="s">
        <v>2087</v>
      </c>
      <c r="I133" t="s">
        <v>2375</v>
      </c>
      <c r="J133" t="s">
        <v>2093</v>
      </c>
    </row>
    <row r="134" spans="1:10" x14ac:dyDescent="0.25">
      <c r="A134" t="s">
        <v>340</v>
      </c>
      <c r="B134" t="s">
        <v>341</v>
      </c>
      <c r="C134" t="s">
        <v>342</v>
      </c>
      <c r="D134" t="s">
        <v>8</v>
      </c>
      <c r="E134" t="s">
        <v>56</v>
      </c>
      <c r="F134" t="s">
        <v>1357</v>
      </c>
      <c r="G134" t="s">
        <v>1358</v>
      </c>
      <c r="H134" t="s">
        <v>2096</v>
      </c>
      <c r="I134" t="s">
        <v>2377</v>
      </c>
      <c r="J134" t="s">
        <v>2104</v>
      </c>
    </row>
    <row r="135" spans="1:10" x14ac:dyDescent="0.25">
      <c r="A135" t="s">
        <v>343</v>
      </c>
      <c r="B135" t="s">
        <v>149</v>
      </c>
      <c r="C135" t="s">
        <v>344</v>
      </c>
      <c r="D135" t="s">
        <v>8</v>
      </c>
      <c r="E135" t="s">
        <v>56</v>
      </c>
      <c r="F135" t="s">
        <v>1359</v>
      </c>
      <c r="G135" t="s">
        <v>1360</v>
      </c>
      <c r="H135" t="s">
        <v>2096</v>
      </c>
      <c r="I135" t="s">
        <v>2379</v>
      </c>
      <c r="J135" t="s">
        <v>2104</v>
      </c>
    </row>
    <row r="136" spans="1:10" x14ac:dyDescent="0.25">
      <c r="A136" t="s">
        <v>345</v>
      </c>
      <c r="B136" t="s">
        <v>186</v>
      </c>
      <c r="C136" t="s">
        <v>346</v>
      </c>
      <c r="D136" t="s">
        <v>35</v>
      </c>
      <c r="E136" t="s">
        <v>13</v>
      </c>
      <c r="F136" t="s">
        <v>1361</v>
      </c>
      <c r="G136" t="s">
        <v>1362</v>
      </c>
      <c r="H136" t="s">
        <v>2096</v>
      </c>
      <c r="I136" t="s">
        <v>2381</v>
      </c>
      <c r="J136" t="s">
        <v>2108</v>
      </c>
    </row>
    <row r="137" spans="1:10" x14ac:dyDescent="0.25">
      <c r="A137" t="s">
        <v>347</v>
      </c>
      <c r="B137" t="s">
        <v>152</v>
      </c>
      <c r="C137" t="s">
        <v>348</v>
      </c>
      <c r="D137" t="s">
        <v>52</v>
      </c>
      <c r="E137" t="s">
        <v>20</v>
      </c>
      <c r="F137" t="s">
        <v>1363</v>
      </c>
      <c r="G137" t="s">
        <v>1364</v>
      </c>
      <c r="H137" t="s">
        <v>2087</v>
      </c>
      <c r="I137" t="s">
        <v>2383</v>
      </c>
      <c r="J137" t="s">
        <v>2108</v>
      </c>
    </row>
    <row r="138" spans="1:10" x14ac:dyDescent="0.25">
      <c r="A138" t="s">
        <v>349</v>
      </c>
      <c r="B138" t="s">
        <v>170</v>
      </c>
      <c r="C138" t="s">
        <v>350</v>
      </c>
      <c r="D138" t="s">
        <v>35</v>
      </c>
      <c r="E138" t="s">
        <v>24</v>
      </c>
      <c r="F138" t="s">
        <v>1365</v>
      </c>
      <c r="G138" t="s">
        <v>1366</v>
      </c>
      <c r="H138" t="s">
        <v>2087</v>
      </c>
      <c r="I138" t="s">
        <v>2385</v>
      </c>
      <c r="J138" t="s">
        <v>2108</v>
      </c>
    </row>
    <row r="139" spans="1:10" x14ac:dyDescent="0.25">
      <c r="A139" t="s">
        <v>351</v>
      </c>
      <c r="B139" t="s">
        <v>26</v>
      </c>
      <c r="C139" t="s">
        <v>352</v>
      </c>
      <c r="D139" t="s">
        <v>35</v>
      </c>
      <c r="E139" t="s">
        <v>13</v>
      </c>
      <c r="F139" t="s">
        <v>1367</v>
      </c>
      <c r="G139" t="s">
        <v>1368</v>
      </c>
      <c r="H139" t="s">
        <v>2087</v>
      </c>
      <c r="I139" t="s">
        <v>2387</v>
      </c>
      <c r="J139" t="s">
        <v>2093</v>
      </c>
    </row>
    <row r="140" spans="1:10" x14ac:dyDescent="0.25">
      <c r="A140" t="s">
        <v>353</v>
      </c>
      <c r="B140" t="s">
        <v>58</v>
      </c>
      <c r="C140" t="s">
        <v>354</v>
      </c>
      <c r="D140" t="s">
        <v>52</v>
      </c>
      <c r="E140" t="s">
        <v>9</v>
      </c>
      <c r="F140" t="s">
        <v>1369</v>
      </c>
      <c r="G140" t="s">
        <v>1370</v>
      </c>
      <c r="H140" t="s">
        <v>2087</v>
      </c>
      <c r="I140" t="s">
        <v>2389</v>
      </c>
      <c r="J140" t="s">
        <v>2108</v>
      </c>
    </row>
    <row r="141" spans="1:10" x14ac:dyDescent="0.25">
      <c r="A141" t="s">
        <v>355</v>
      </c>
      <c r="B141" t="s">
        <v>356</v>
      </c>
      <c r="C141" t="s">
        <v>357</v>
      </c>
      <c r="D141" t="s">
        <v>52</v>
      </c>
      <c r="E141" t="s">
        <v>56</v>
      </c>
      <c r="F141" t="s">
        <v>1371</v>
      </c>
      <c r="G141" t="s">
        <v>1372</v>
      </c>
      <c r="H141" t="s">
        <v>2087</v>
      </c>
      <c r="I141" t="s">
        <v>2391</v>
      </c>
      <c r="J141" t="s">
        <v>2089</v>
      </c>
    </row>
    <row r="142" spans="1:10" x14ac:dyDescent="0.25">
      <c r="A142" t="s">
        <v>358</v>
      </c>
      <c r="B142" t="s">
        <v>359</v>
      </c>
      <c r="C142" t="s">
        <v>360</v>
      </c>
      <c r="D142" t="s">
        <v>52</v>
      </c>
      <c r="E142" t="s">
        <v>20</v>
      </c>
      <c r="F142" t="s">
        <v>1373</v>
      </c>
      <c r="G142" t="s">
        <v>1374</v>
      </c>
      <c r="H142" t="s">
        <v>2096</v>
      </c>
      <c r="I142" t="s">
        <v>2393</v>
      </c>
      <c r="J142" t="s">
        <v>2108</v>
      </c>
    </row>
    <row r="143" spans="1:10" x14ac:dyDescent="0.25">
      <c r="A143" t="s">
        <v>361</v>
      </c>
      <c r="B143" t="s">
        <v>22</v>
      </c>
      <c r="C143" t="s">
        <v>362</v>
      </c>
      <c r="D143" t="s">
        <v>8</v>
      </c>
      <c r="E143" t="s">
        <v>42</v>
      </c>
      <c r="F143" t="s">
        <v>1375</v>
      </c>
      <c r="G143" t="s">
        <v>1376</v>
      </c>
      <c r="H143" t="s">
        <v>2096</v>
      </c>
      <c r="I143" t="s">
        <v>2395</v>
      </c>
      <c r="J143" t="s">
        <v>2093</v>
      </c>
    </row>
    <row r="144" spans="1:10" x14ac:dyDescent="0.25">
      <c r="A144" t="s">
        <v>363</v>
      </c>
      <c r="B144" t="s">
        <v>364</v>
      </c>
      <c r="C144" t="s">
        <v>365</v>
      </c>
      <c r="D144" t="s">
        <v>35</v>
      </c>
      <c r="E144" t="s">
        <v>9</v>
      </c>
      <c r="F144" t="s">
        <v>1377</v>
      </c>
      <c r="G144" t="s">
        <v>1378</v>
      </c>
      <c r="H144" t="s">
        <v>2087</v>
      </c>
      <c r="I144" t="s">
        <v>2397</v>
      </c>
      <c r="J144" t="s">
        <v>2093</v>
      </c>
    </row>
    <row r="145" spans="1:10" x14ac:dyDescent="0.25">
      <c r="A145" t="s">
        <v>366</v>
      </c>
      <c r="B145" t="s">
        <v>224</v>
      </c>
      <c r="C145" t="s">
        <v>367</v>
      </c>
      <c r="D145" t="s">
        <v>8</v>
      </c>
      <c r="E145" t="s">
        <v>9</v>
      </c>
      <c r="F145" t="s">
        <v>1379</v>
      </c>
      <c r="G145" t="s">
        <v>1380</v>
      </c>
      <c r="H145" t="s">
        <v>2087</v>
      </c>
      <c r="I145" t="s">
        <v>2228</v>
      </c>
      <c r="J145" t="s">
        <v>2093</v>
      </c>
    </row>
    <row r="146" spans="1:10" x14ac:dyDescent="0.25">
      <c r="A146" t="s">
        <v>368</v>
      </c>
      <c r="B146" t="s">
        <v>359</v>
      </c>
      <c r="C146" t="s">
        <v>369</v>
      </c>
      <c r="D146" t="s">
        <v>52</v>
      </c>
      <c r="E146" t="s">
        <v>28</v>
      </c>
      <c r="F146" t="s">
        <v>1381</v>
      </c>
      <c r="G146" t="s">
        <v>1382</v>
      </c>
      <c r="H146" t="s">
        <v>2096</v>
      </c>
      <c r="I146" t="s">
        <v>2219</v>
      </c>
      <c r="J146" t="s">
        <v>2093</v>
      </c>
    </row>
    <row r="147" spans="1:10" x14ac:dyDescent="0.25">
      <c r="A147" t="s">
        <v>370</v>
      </c>
      <c r="B147" t="s">
        <v>11</v>
      </c>
      <c r="C147" t="s">
        <v>371</v>
      </c>
      <c r="D147" t="s">
        <v>35</v>
      </c>
      <c r="E147" t="s">
        <v>20</v>
      </c>
      <c r="F147" t="s">
        <v>1383</v>
      </c>
      <c r="G147" t="s">
        <v>1384</v>
      </c>
      <c r="H147" t="s">
        <v>2087</v>
      </c>
      <c r="I147" t="s">
        <v>2401</v>
      </c>
      <c r="J147" t="s">
        <v>2093</v>
      </c>
    </row>
    <row r="148" spans="1:10" x14ac:dyDescent="0.25">
      <c r="A148" t="s">
        <v>372</v>
      </c>
      <c r="B148" t="s">
        <v>356</v>
      </c>
      <c r="C148" t="s">
        <v>373</v>
      </c>
      <c r="D148" t="s">
        <v>8</v>
      </c>
      <c r="E148" t="s">
        <v>9</v>
      </c>
      <c r="F148" t="s">
        <v>1385</v>
      </c>
      <c r="G148" t="s">
        <v>1386</v>
      </c>
      <c r="H148" t="s">
        <v>2096</v>
      </c>
      <c r="I148" t="s">
        <v>2403</v>
      </c>
      <c r="J148" t="s">
        <v>2093</v>
      </c>
    </row>
    <row r="149" spans="1:10" x14ac:dyDescent="0.25">
      <c r="A149" t="s">
        <v>374</v>
      </c>
      <c r="B149" t="s">
        <v>61</v>
      </c>
      <c r="C149" t="s">
        <v>375</v>
      </c>
      <c r="D149" t="s">
        <v>8</v>
      </c>
      <c r="E149" t="s">
        <v>20</v>
      </c>
      <c r="F149" t="s">
        <v>1387</v>
      </c>
      <c r="G149" t="s">
        <v>1388</v>
      </c>
      <c r="H149" t="s">
        <v>2096</v>
      </c>
      <c r="I149" t="s">
        <v>2405</v>
      </c>
      <c r="J149" t="s">
        <v>2093</v>
      </c>
    </row>
    <row r="150" spans="1:10" x14ac:dyDescent="0.25">
      <c r="A150" t="s">
        <v>376</v>
      </c>
      <c r="B150" t="s">
        <v>236</v>
      </c>
      <c r="C150" t="s">
        <v>377</v>
      </c>
      <c r="D150" t="s">
        <v>35</v>
      </c>
      <c r="E150" t="s">
        <v>9</v>
      </c>
      <c r="F150" t="s">
        <v>1389</v>
      </c>
      <c r="G150" t="s">
        <v>1390</v>
      </c>
      <c r="H150" t="s">
        <v>2087</v>
      </c>
      <c r="I150" t="s">
        <v>2407</v>
      </c>
      <c r="J150" t="s">
        <v>2108</v>
      </c>
    </row>
    <row r="151" spans="1:10" x14ac:dyDescent="0.25">
      <c r="A151" t="s">
        <v>378</v>
      </c>
      <c r="B151" t="s">
        <v>216</v>
      </c>
      <c r="C151" t="s">
        <v>379</v>
      </c>
      <c r="D151" t="s">
        <v>35</v>
      </c>
      <c r="E151" t="s">
        <v>28</v>
      </c>
      <c r="F151" t="s">
        <v>1391</v>
      </c>
      <c r="G151" t="s">
        <v>1392</v>
      </c>
      <c r="H151" t="s">
        <v>2096</v>
      </c>
      <c r="I151" t="s">
        <v>2409</v>
      </c>
      <c r="J151" t="s">
        <v>2089</v>
      </c>
    </row>
    <row r="152" spans="1:10" x14ac:dyDescent="0.25">
      <c r="A152" t="s">
        <v>380</v>
      </c>
      <c r="B152" t="s">
        <v>81</v>
      </c>
      <c r="C152" t="s">
        <v>381</v>
      </c>
      <c r="D152" t="s">
        <v>52</v>
      </c>
      <c r="E152" t="s">
        <v>42</v>
      </c>
      <c r="F152" t="s">
        <v>1393</v>
      </c>
      <c r="G152" t="s">
        <v>1394</v>
      </c>
      <c r="H152" t="s">
        <v>2087</v>
      </c>
      <c r="I152" t="s">
        <v>2411</v>
      </c>
      <c r="J152" t="s">
        <v>2089</v>
      </c>
    </row>
    <row r="153" spans="1:10" x14ac:dyDescent="0.25">
      <c r="A153" t="s">
        <v>382</v>
      </c>
      <c r="B153" t="s">
        <v>266</v>
      </c>
      <c r="C153" t="s">
        <v>383</v>
      </c>
      <c r="D153" t="s">
        <v>52</v>
      </c>
      <c r="E153" t="s">
        <v>24</v>
      </c>
      <c r="F153" t="s">
        <v>1395</v>
      </c>
      <c r="G153" t="s">
        <v>1396</v>
      </c>
      <c r="H153" t="s">
        <v>2096</v>
      </c>
      <c r="I153" t="s">
        <v>2413</v>
      </c>
      <c r="J153" t="s">
        <v>2093</v>
      </c>
    </row>
    <row r="154" spans="1:10" x14ac:dyDescent="0.25">
      <c r="A154" t="s">
        <v>384</v>
      </c>
      <c r="B154" t="s">
        <v>87</v>
      </c>
      <c r="C154" t="s">
        <v>385</v>
      </c>
      <c r="D154" t="s">
        <v>52</v>
      </c>
      <c r="E154" t="s">
        <v>28</v>
      </c>
      <c r="F154" t="s">
        <v>1397</v>
      </c>
      <c r="G154" t="s">
        <v>1398</v>
      </c>
      <c r="H154" t="s">
        <v>2096</v>
      </c>
      <c r="I154" t="s">
        <v>2415</v>
      </c>
      <c r="J154" t="s">
        <v>2093</v>
      </c>
    </row>
    <row r="155" spans="1:10" x14ac:dyDescent="0.25">
      <c r="A155" t="s">
        <v>386</v>
      </c>
      <c r="B155" t="s">
        <v>387</v>
      </c>
      <c r="C155" t="s">
        <v>388</v>
      </c>
      <c r="D155" t="s">
        <v>52</v>
      </c>
      <c r="E155" t="s">
        <v>13</v>
      </c>
      <c r="F155" t="s">
        <v>1399</v>
      </c>
      <c r="G155" t="s">
        <v>1400</v>
      </c>
      <c r="H155" t="s">
        <v>2087</v>
      </c>
      <c r="I155" t="s">
        <v>2417</v>
      </c>
      <c r="J155" t="s">
        <v>2108</v>
      </c>
    </row>
    <row r="156" spans="1:10" x14ac:dyDescent="0.25">
      <c r="A156" t="s">
        <v>389</v>
      </c>
      <c r="B156" t="s">
        <v>87</v>
      </c>
      <c r="C156" t="s">
        <v>390</v>
      </c>
      <c r="D156" t="s">
        <v>52</v>
      </c>
      <c r="E156" t="s">
        <v>42</v>
      </c>
      <c r="F156" t="s">
        <v>1401</v>
      </c>
      <c r="G156" t="s">
        <v>1402</v>
      </c>
      <c r="H156" t="s">
        <v>2087</v>
      </c>
      <c r="I156" t="s">
        <v>2419</v>
      </c>
      <c r="J156" t="s">
        <v>2093</v>
      </c>
    </row>
    <row r="157" spans="1:10" x14ac:dyDescent="0.25">
      <c r="A157" t="s">
        <v>391</v>
      </c>
      <c r="B157" t="s">
        <v>54</v>
      </c>
      <c r="C157" t="s">
        <v>392</v>
      </c>
      <c r="D157" t="s">
        <v>52</v>
      </c>
      <c r="E157" t="s">
        <v>20</v>
      </c>
      <c r="F157" t="s">
        <v>1403</v>
      </c>
      <c r="G157" t="s">
        <v>1404</v>
      </c>
      <c r="H157" t="s">
        <v>2096</v>
      </c>
      <c r="I157" t="s">
        <v>2421</v>
      </c>
      <c r="J157" t="s">
        <v>2093</v>
      </c>
    </row>
    <row r="158" spans="1:10" x14ac:dyDescent="0.25">
      <c r="A158" t="s">
        <v>393</v>
      </c>
      <c r="B158" t="s">
        <v>111</v>
      </c>
      <c r="C158" t="s">
        <v>394</v>
      </c>
      <c r="D158" t="s">
        <v>52</v>
      </c>
      <c r="E158" t="s">
        <v>28</v>
      </c>
      <c r="F158" t="s">
        <v>1405</v>
      </c>
      <c r="G158" t="s">
        <v>1406</v>
      </c>
      <c r="H158" t="s">
        <v>2087</v>
      </c>
      <c r="I158" t="s">
        <v>2423</v>
      </c>
      <c r="J158" t="s">
        <v>2108</v>
      </c>
    </row>
    <row r="159" spans="1:10" x14ac:dyDescent="0.25">
      <c r="A159" t="s">
        <v>395</v>
      </c>
      <c r="B159" t="s">
        <v>396</v>
      </c>
      <c r="C159" t="s">
        <v>397</v>
      </c>
      <c r="D159" t="s">
        <v>52</v>
      </c>
      <c r="E159" t="s">
        <v>9</v>
      </c>
      <c r="F159" t="s">
        <v>1407</v>
      </c>
      <c r="G159" t="s">
        <v>1408</v>
      </c>
      <c r="H159" t="s">
        <v>2096</v>
      </c>
      <c r="I159" t="s">
        <v>2425</v>
      </c>
      <c r="J159" t="s">
        <v>2089</v>
      </c>
    </row>
    <row r="160" spans="1:10" x14ac:dyDescent="0.25">
      <c r="A160" t="s">
        <v>398</v>
      </c>
      <c r="B160" t="s">
        <v>399</v>
      </c>
      <c r="C160" t="s">
        <v>400</v>
      </c>
      <c r="D160" t="s">
        <v>8</v>
      </c>
      <c r="E160" t="s">
        <v>56</v>
      </c>
      <c r="F160" t="s">
        <v>1409</v>
      </c>
      <c r="G160" t="s">
        <v>1410</v>
      </c>
      <c r="H160" t="s">
        <v>2096</v>
      </c>
      <c r="I160" t="s">
        <v>2389</v>
      </c>
      <c r="J160" t="s">
        <v>2089</v>
      </c>
    </row>
    <row r="161" spans="1:10" x14ac:dyDescent="0.25">
      <c r="A161" t="s">
        <v>401</v>
      </c>
      <c r="B161" t="s">
        <v>227</v>
      </c>
      <c r="C161" t="s">
        <v>402</v>
      </c>
      <c r="D161" t="s">
        <v>52</v>
      </c>
      <c r="E161" t="s">
        <v>20</v>
      </c>
      <c r="F161" t="s">
        <v>1411</v>
      </c>
      <c r="G161" t="s">
        <v>1412</v>
      </c>
      <c r="H161" t="s">
        <v>2087</v>
      </c>
      <c r="I161" t="s">
        <v>2428</v>
      </c>
      <c r="J161" t="s">
        <v>2089</v>
      </c>
    </row>
    <row r="162" spans="1:10" x14ac:dyDescent="0.25">
      <c r="A162" t="s">
        <v>403</v>
      </c>
      <c r="B162" t="s">
        <v>90</v>
      </c>
      <c r="C162" t="s">
        <v>404</v>
      </c>
      <c r="D162" t="s">
        <v>35</v>
      </c>
      <c r="E162" t="s">
        <v>13</v>
      </c>
      <c r="F162" t="s">
        <v>1413</v>
      </c>
      <c r="G162" t="s">
        <v>1414</v>
      </c>
      <c r="H162" t="s">
        <v>2096</v>
      </c>
      <c r="I162" t="s">
        <v>2430</v>
      </c>
      <c r="J162" t="s">
        <v>2108</v>
      </c>
    </row>
    <row r="163" spans="1:10" x14ac:dyDescent="0.25">
      <c r="A163" t="s">
        <v>405</v>
      </c>
      <c r="B163" t="s">
        <v>406</v>
      </c>
      <c r="C163" t="s">
        <v>407</v>
      </c>
      <c r="D163" t="s">
        <v>8</v>
      </c>
      <c r="E163" t="s">
        <v>24</v>
      </c>
      <c r="F163" t="s">
        <v>1415</v>
      </c>
      <c r="G163" t="s">
        <v>1416</v>
      </c>
      <c r="H163" t="s">
        <v>2087</v>
      </c>
      <c r="I163" t="s">
        <v>2432</v>
      </c>
      <c r="J163" t="s">
        <v>2104</v>
      </c>
    </row>
    <row r="164" spans="1:10" x14ac:dyDescent="0.25">
      <c r="A164" t="s">
        <v>408</v>
      </c>
      <c r="B164" t="s">
        <v>93</v>
      </c>
      <c r="C164" t="s">
        <v>232</v>
      </c>
      <c r="D164" t="s">
        <v>52</v>
      </c>
      <c r="E164" t="s">
        <v>42</v>
      </c>
      <c r="F164" t="s">
        <v>1417</v>
      </c>
      <c r="G164" t="s">
        <v>1418</v>
      </c>
      <c r="H164" t="s">
        <v>2096</v>
      </c>
      <c r="I164" t="s">
        <v>2434</v>
      </c>
      <c r="J164" t="s">
        <v>2089</v>
      </c>
    </row>
    <row r="165" spans="1:10" x14ac:dyDescent="0.25">
      <c r="A165" t="s">
        <v>409</v>
      </c>
      <c r="B165" t="s">
        <v>152</v>
      </c>
      <c r="C165" t="s">
        <v>410</v>
      </c>
      <c r="D165" t="s">
        <v>8</v>
      </c>
      <c r="E165" t="s">
        <v>9</v>
      </c>
      <c r="F165" t="s">
        <v>1419</v>
      </c>
      <c r="G165" t="s">
        <v>1420</v>
      </c>
      <c r="H165" t="s">
        <v>2096</v>
      </c>
      <c r="I165" t="s">
        <v>2436</v>
      </c>
      <c r="J165" t="s">
        <v>2089</v>
      </c>
    </row>
    <row r="166" spans="1:10" x14ac:dyDescent="0.25">
      <c r="A166" t="s">
        <v>411</v>
      </c>
      <c r="B166" t="s">
        <v>412</v>
      </c>
      <c r="C166" t="s">
        <v>413</v>
      </c>
      <c r="D166" t="s">
        <v>35</v>
      </c>
      <c r="E166" t="s">
        <v>24</v>
      </c>
      <c r="F166" t="s">
        <v>1421</v>
      </c>
      <c r="G166" t="s">
        <v>1422</v>
      </c>
      <c r="H166" t="s">
        <v>2087</v>
      </c>
      <c r="I166" t="s">
        <v>2438</v>
      </c>
      <c r="J166" t="s">
        <v>2093</v>
      </c>
    </row>
    <row r="167" spans="1:10" x14ac:dyDescent="0.25">
      <c r="A167" t="s">
        <v>414</v>
      </c>
      <c r="B167" t="s">
        <v>40</v>
      </c>
      <c r="C167" t="s">
        <v>415</v>
      </c>
      <c r="D167" t="s">
        <v>52</v>
      </c>
      <c r="E167" t="s">
        <v>42</v>
      </c>
      <c r="F167" t="s">
        <v>1423</v>
      </c>
      <c r="G167" t="s">
        <v>1424</v>
      </c>
      <c r="H167" t="s">
        <v>2087</v>
      </c>
      <c r="I167" t="s">
        <v>2440</v>
      </c>
      <c r="J167" t="s">
        <v>2108</v>
      </c>
    </row>
    <row r="168" spans="1:10" x14ac:dyDescent="0.25">
      <c r="A168" t="s">
        <v>416</v>
      </c>
      <c r="B168" t="s">
        <v>266</v>
      </c>
      <c r="C168" t="s">
        <v>417</v>
      </c>
      <c r="D168" t="s">
        <v>52</v>
      </c>
      <c r="E168" t="s">
        <v>42</v>
      </c>
      <c r="F168" t="s">
        <v>1425</v>
      </c>
      <c r="G168" t="s">
        <v>1426</v>
      </c>
      <c r="H168" t="s">
        <v>2096</v>
      </c>
      <c r="I168" t="s">
        <v>2442</v>
      </c>
      <c r="J168" t="s">
        <v>2104</v>
      </c>
    </row>
    <row r="169" spans="1:10" x14ac:dyDescent="0.25">
      <c r="A169" t="s">
        <v>418</v>
      </c>
      <c r="B169" t="s">
        <v>18</v>
      </c>
      <c r="C169" t="s">
        <v>419</v>
      </c>
      <c r="D169" t="s">
        <v>35</v>
      </c>
      <c r="E169" t="s">
        <v>28</v>
      </c>
      <c r="F169" t="s">
        <v>1427</v>
      </c>
      <c r="G169" t="s">
        <v>1428</v>
      </c>
      <c r="H169" t="s">
        <v>2087</v>
      </c>
      <c r="I169" t="s">
        <v>2444</v>
      </c>
      <c r="J169" t="s">
        <v>2093</v>
      </c>
    </row>
    <row r="170" spans="1:10" x14ac:dyDescent="0.25">
      <c r="A170" t="s">
        <v>420</v>
      </c>
      <c r="B170" t="s">
        <v>84</v>
      </c>
      <c r="C170" t="s">
        <v>421</v>
      </c>
      <c r="D170" t="s">
        <v>52</v>
      </c>
      <c r="E170" t="s">
        <v>13</v>
      </c>
      <c r="F170" t="s">
        <v>1429</v>
      </c>
      <c r="G170" t="s">
        <v>1430</v>
      </c>
      <c r="H170" t="s">
        <v>2087</v>
      </c>
      <c r="I170" t="s">
        <v>2446</v>
      </c>
      <c r="J170" t="s">
        <v>2108</v>
      </c>
    </row>
    <row r="171" spans="1:10" x14ac:dyDescent="0.25">
      <c r="A171" t="s">
        <v>422</v>
      </c>
      <c r="B171" t="s">
        <v>246</v>
      </c>
      <c r="C171" t="s">
        <v>423</v>
      </c>
      <c r="D171" t="s">
        <v>35</v>
      </c>
      <c r="E171" t="s">
        <v>13</v>
      </c>
      <c r="F171" t="s">
        <v>1431</v>
      </c>
      <c r="G171" t="s">
        <v>1432</v>
      </c>
      <c r="H171" t="s">
        <v>2096</v>
      </c>
      <c r="I171" t="s">
        <v>2448</v>
      </c>
      <c r="J171" t="s">
        <v>2108</v>
      </c>
    </row>
    <row r="172" spans="1:10" x14ac:dyDescent="0.25">
      <c r="A172" t="s">
        <v>424</v>
      </c>
      <c r="B172" t="s">
        <v>399</v>
      </c>
      <c r="C172" t="s">
        <v>425</v>
      </c>
      <c r="D172" t="s">
        <v>8</v>
      </c>
      <c r="E172" t="s">
        <v>24</v>
      </c>
      <c r="F172" t="s">
        <v>1433</v>
      </c>
      <c r="G172" t="s">
        <v>1434</v>
      </c>
      <c r="H172" t="s">
        <v>2087</v>
      </c>
      <c r="I172" t="s">
        <v>2450</v>
      </c>
      <c r="J172" t="s">
        <v>2104</v>
      </c>
    </row>
    <row r="173" spans="1:10" x14ac:dyDescent="0.25">
      <c r="A173" t="s">
        <v>426</v>
      </c>
      <c r="B173" t="s">
        <v>359</v>
      </c>
      <c r="C173" t="s">
        <v>427</v>
      </c>
      <c r="D173" t="s">
        <v>52</v>
      </c>
      <c r="E173" t="s">
        <v>42</v>
      </c>
      <c r="F173" t="s">
        <v>1435</v>
      </c>
      <c r="G173" t="s">
        <v>1436</v>
      </c>
      <c r="H173" t="s">
        <v>2087</v>
      </c>
      <c r="I173" t="s">
        <v>2452</v>
      </c>
      <c r="J173" t="s">
        <v>2089</v>
      </c>
    </row>
    <row r="174" spans="1:10" x14ac:dyDescent="0.25">
      <c r="A174" t="s">
        <v>428</v>
      </c>
      <c r="B174" t="s">
        <v>30</v>
      </c>
      <c r="C174" t="s">
        <v>429</v>
      </c>
      <c r="D174" t="s">
        <v>52</v>
      </c>
      <c r="E174" t="s">
        <v>20</v>
      </c>
      <c r="F174" t="s">
        <v>1437</v>
      </c>
      <c r="G174" t="s">
        <v>1438</v>
      </c>
      <c r="H174" t="s">
        <v>2096</v>
      </c>
      <c r="I174" t="s">
        <v>2454</v>
      </c>
      <c r="J174" t="s">
        <v>2104</v>
      </c>
    </row>
    <row r="175" spans="1:10" x14ac:dyDescent="0.25">
      <c r="A175" t="s">
        <v>430</v>
      </c>
      <c r="B175" t="s">
        <v>356</v>
      </c>
      <c r="C175" t="s">
        <v>431</v>
      </c>
      <c r="D175" t="s">
        <v>52</v>
      </c>
      <c r="E175" t="s">
        <v>9</v>
      </c>
      <c r="F175" t="s">
        <v>1439</v>
      </c>
      <c r="G175" t="s">
        <v>1440</v>
      </c>
      <c r="H175" t="s">
        <v>2096</v>
      </c>
      <c r="I175" t="s">
        <v>2456</v>
      </c>
      <c r="J175" t="s">
        <v>2089</v>
      </c>
    </row>
    <row r="176" spans="1:10" x14ac:dyDescent="0.25">
      <c r="A176" t="s">
        <v>432</v>
      </c>
      <c r="B176" t="s">
        <v>170</v>
      </c>
      <c r="C176" t="s">
        <v>433</v>
      </c>
      <c r="D176" t="s">
        <v>52</v>
      </c>
      <c r="E176" t="s">
        <v>20</v>
      </c>
      <c r="F176" t="s">
        <v>1441</v>
      </c>
      <c r="G176" t="s">
        <v>1442</v>
      </c>
      <c r="H176" t="s">
        <v>2096</v>
      </c>
      <c r="I176" t="s">
        <v>2458</v>
      </c>
      <c r="J176" t="s">
        <v>2108</v>
      </c>
    </row>
    <row r="177" spans="1:10" x14ac:dyDescent="0.25">
      <c r="A177" t="s">
        <v>434</v>
      </c>
      <c r="B177" t="s">
        <v>435</v>
      </c>
      <c r="C177" t="s">
        <v>436</v>
      </c>
      <c r="D177" t="s">
        <v>35</v>
      </c>
      <c r="E177" t="s">
        <v>20</v>
      </c>
      <c r="F177" t="s">
        <v>1443</v>
      </c>
      <c r="G177" t="s">
        <v>1444</v>
      </c>
      <c r="H177" t="s">
        <v>2096</v>
      </c>
      <c r="I177" t="s">
        <v>2460</v>
      </c>
      <c r="J177" t="s">
        <v>2093</v>
      </c>
    </row>
    <row r="178" spans="1:10" x14ac:dyDescent="0.25">
      <c r="A178" t="s">
        <v>437</v>
      </c>
      <c r="B178" t="s">
        <v>37</v>
      </c>
      <c r="C178" t="s">
        <v>438</v>
      </c>
      <c r="D178" t="s">
        <v>8</v>
      </c>
      <c r="E178" t="s">
        <v>9</v>
      </c>
      <c r="F178" t="s">
        <v>1445</v>
      </c>
      <c r="G178" t="s">
        <v>1446</v>
      </c>
      <c r="H178" t="s">
        <v>2096</v>
      </c>
      <c r="I178" t="s">
        <v>2462</v>
      </c>
      <c r="J178" t="s">
        <v>2104</v>
      </c>
    </row>
    <row r="179" spans="1:10" x14ac:dyDescent="0.25">
      <c r="A179" t="s">
        <v>439</v>
      </c>
      <c r="B179" t="s">
        <v>102</v>
      </c>
      <c r="C179" t="s">
        <v>440</v>
      </c>
      <c r="D179" t="s">
        <v>35</v>
      </c>
      <c r="E179" t="s">
        <v>56</v>
      </c>
      <c r="F179" t="s">
        <v>1447</v>
      </c>
      <c r="G179" t="s">
        <v>1448</v>
      </c>
      <c r="H179" t="s">
        <v>2087</v>
      </c>
      <c r="I179" t="s">
        <v>2464</v>
      </c>
      <c r="J179" t="s">
        <v>2104</v>
      </c>
    </row>
    <row r="180" spans="1:10" x14ac:dyDescent="0.25">
      <c r="A180" t="s">
        <v>441</v>
      </c>
      <c r="B180" t="s">
        <v>170</v>
      </c>
      <c r="C180" t="s">
        <v>442</v>
      </c>
      <c r="D180" t="s">
        <v>8</v>
      </c>
      <c r="E180" t="s">
        <v>28</v>
      </c>
      <c r="F180" t="s">
        <v>1449</v>
      </c>
      <c r="G180" t="s">
        <v>1450</v>
      </c>
      <c r="H180" t="s">
        <v>2087</v>
      </c>
      <c r="I180" t="s">
        <v>2466</v>
      </c>
      <c r="J180" t="s">
        <v>2093</v>
      </c>
    </row>
    <row r="181" spans="1:10" x14ac:dyDescent="0.25">
      <c r="A181" t="s">
        <v>443</v>
      </c>
      <c r="B181" t="s">
        <v>129</v>
      </c>
      <c r="C181" t="s">
        <v>444</v>
      </c>
      <c r="D181" t="s">
        <v>52</v>
      </c>
      <c r="E181" t="s">
        <v>20</v>
      </c>
      <c r="F181" t="s">
        <v>1451</v>
      </c>
      <c r="G181" t="s">
        <v>1452</v>
      </c>
      <c r="H181" t="s">
        <v>2096</v>
      </c>
      <c r="I181" t="s">
        <v>2468</v>
      </c>
      <c r="J181" t="s">
        <v>2108</v>
      </c>
    </row>
    <row r="182" spans="1:10" x14ac:dyDescent="0.25">
      <c r="A182" t="s">
        <v>445</v>
      </c>
      <c r="B182" t="s">
        <v>246</v>
      </c>
      <c r="C182" t="s">
        <v>446</v>
      </c>
      <c r="D182" t="s">
        <v>52</v>
      </c>
      <c r="E182" t="s">
        <v>24</v>
      </c>
      <c r="F182" t="s">
        <v>1453</v>
      </c>
      <c r="G182" t="s">
        <v>1454</v>
      </c>
      <c r="H182" t="s">
        <v>2087</v>
      </c>
      <c r="I182" t="s">
        <v>2470</v>
      </c>
      <c r="J182" t="s">
        <v>2104</v>
      </c>
    </row>
    <row r="183" spans="1:10" x14ac:dyDescent="0.25">
      <c r="A183" t="s">
        <v>447</v>
      </c>
      <c r="B183" t="s">
        <v>189</v>
      </c>
      <c r="C183" t="s">
        <v>448</v>
      </c>
      <c r="D183" t="s">
        <v>8</v>
      </c>
      <c r="E183" t="s">
        <v>9</v>
      </c>
      <c r="F183" t="s">
        <v>1455</v>
      </c>
      <c r="G183" t="s">
        <v>1456</v>
      </c>
      <c r="H183" t="s">
        <v>2096</v>
      </c>
      <c r="I183" t="s">
        <v>2472</v>
      </c>
      <c r="J183" t="s">
        <v>2108</v>
      </c>
    </row>
    <row r="184" spans="1:10" x14ac:dyDescent="0.25">
      <c r="A184" t="s">
        <v>449</v>
      </c>
      <c r="B184" t="s">
        <v>33</v>
      </c>
      <c r="C184" t="s">
        <v>450</v>
      </c>
      <c r="D184" t="s">
        <v>52</v>
      </c>
      <c r="E184" t="s">
        <v>42</v>
      </c>
      <c r="F184" t="s">
        <v>1457</v>
      </c>
      <c r="G184" t="s">
        <v>1458</v>
      </c>
      <c r="H184" t="s">
        <v>2096</v>
      </c>
      <c r="I184" t="s">
        <v>2474</v>
      </c>
      <c r="J184" t="s">
        <v>2093</v>
      </c>
    </row>
    <row r="185" spans="1:10" x14ac:dyDescent="0.25">
      <c r="A185" t="s">
        <v>451</v>
      </c>
      <c r="B185" t="s">
        <v>452</v>
      </c>
      <c r="C185" t="s">
        <v>453</v>
      </c>
      <c r="D185" t="s">
        <v>8</v>
      </c>
      <c r="E185" t="s">
        <v>28</v>
      </c>
      <c r="F185" t="s">
        <v>1459</v>
      </c>
      <c r="G185" t="s">
        <v>1460</v>
      </c>
      <c r="H185" t="s">
        <v>2087</v>
      </c>
      <c r="I185" t="s">
        <v>2476</v>
      </c>
      <c r="J185" t="s">
        <v>2108</v>
      </c>
    </row>
    <row r="186" spans="1:10" x14ac:dyDescent="0.25">
      <c r="A186" t="s">
        <v>454</v>
      </c>
      <c r="B186" t="s">
        <v>170</v>
      </c>
      <c r="C186" t="s">
        <v>455</v>
      </c>
      <c r="D186" t="s">
        <v>52</v>
      </c>
      <c r="E186" t="s">
        <v>28</v>
      </c>
      <c r="F186" t="s">
        <v>1461</v>
      </c>
      <c r="G186" t="s">
        <v>1462</v>
      </c>
      <c r="H186" t="s">
        <v>2096</v>
      </c>
      <c r="I186" t="s">
        <v>2478</v>
      </c>
      <c r="J186" t="s">
        <v>2108</v>
      </c>
    </row>
    <row r="187" spans="1:10" x14ac:dyDescent="0.25">
      <c r="A187" t="s">
        <v>456</v>
      </c>
      <c r="B187" t="s">
        <v>30</v>
      </c>
      <c r="C187" t="s">
        <v>457</v>
      </c>
      <c r="D187" t="s">
        <v>52</v>
      </c>
      <c r="E187" t="s">
        <v>13</v>
      </c>
      <c r="F187" t="s">
        <v>1463</v>
      </c>
      <c r="G187" t="s">
        <v>1464</v>
      </c>
      <c r="H187" t="s">
        <v>2096</v>
      </c>
      <c r="I187" t="s">
        <v>2480</v>
      </c>
      <c r="J187" t="s">
        <v>2108</v>
      </c>
    </row>
    <row r="188" spans="1:10" x14ac:dyDescent="0.25">
      <c r="A188" t="s">
        <v>458</v>
      </c>
      <c r="B188" t="s">
        <v>134</v>
      </c>
      <c r="C188" t="s">
        <v>459</v>
      </c>
      <c r="D188" t="s">
        <v>8</v>
      </c>
      <c r="E188" t="s">
        <v>24</v>
      </c>
      <c r="F188" t="s">
        <v>1465</v>
      </c>
      <c r="G188" t="s">
        <v>1466</v>
      </c>
      <c r="H188" t="s">
        <v>2096</v>
      </c>
      <c r="I188" t="s">
        <v>2217</v>
      </c>
      <c r="J188" t="s">
        <v>2104</v>
      </c>
    </row>
    <row r="189" spans="1:10" x14ac:dyDescent="0.25">
      <c r="A189" t="s">
        <v>460</v>
      </c>
      <c r="B189" t="s">
        <v>124</v>
      </c>
      <c r="C189" t="s">
        <v>461</v>
      </c>
      <c r="D189" t="s">
        <v>35</v>
      </c>
      <c r="E189" t="s">
        <v>16</v>
      </c>
      <c r="F189" t="s">
        <v>1467</v>
      </c>
      <c r="G189" t="s">
        <v>1468</v>
      </c>
      <c r="H189" t="s">
        <v>2096</v>
      </c>
      <c r="I189" t="s">
        <v>2483</v>
      </c>
      <c r="J189" t="s">
        <v>2104</v>
      </c>
    </row>
    <row r="190" spans="1:10" x14ac:dyDescent="0.25">
      <c r="A190" t="s">
        <v>462</v>
      </c>
      <c r="B190" t="s">
        <v>198</v>
      </c>
      <c r="C190" t="s">
        <v>463</v>
      </c>
      <c r="D190" t="s">
        <v>35</v>
      </c>
      <c r="E190" t="s">
        <v>28</v>
      </c>
      <c r="F190" t="s">
        <v>1469</v>
      </c>
      <c r="G190" t="s">
        <v>1470</v>
      </c>
      <c r="H190" t="s">
        <v>2087</v>
      </c>
      <c r="I190" t="s">
        <v>2485</v>
      </c>
      <c r="J190" t="s">
        <v>2108</v>
      </c>
    </row>
    <row r="191" spans="1:10" x14ac:dyDescent="0.25">
      <c r="A191" t="s">
        <v>464</v>
      </c>
      <c r="B191" t="s">
        <v>186</v>
      </c>
      <c r="C191" t="s">
        <v>465</v>
      </c>
      <c r="D191" t="s">
        <v>52</v>
      </c>
      <c r="E191" t="s">
        <v>24</v>
      </c>
      <c r="F191" t="s">
        <v>1471</v>
      </c>
      <c r="G191" t="s">
        <v>1472</v>
      </c>
      <c r="H191" t="s">
        <v>2087</v>
      </c>
      <c r="I191" t="s">
        <v>2487</v>
      </c>
      <c r="J191" t="s">
        <v>2089</v>
      </c>
    </row>
    <row r="192" spans="1:10" x14ac:dyDescent="0.25">
      <c r="A192" t="s">
        <v>466</v>
      </c>
      <c r="B192" t="s">
        <v>163</v>
      </c>
      <c r="C192" t="s">
        <v>467</v>
      </c>
      <c r="D192" t="s">
        <v>52</v>
      </c>
      <c r="E192" t="s">
        <v>42</v>
      </c>
      <c r="F192" t="s">
        <v>1473</v>
      </c>
      <c r="G192" t="s">
        <v>1474</v>
      </c>
      <c r="H192" t="s">
        <v>2087</v>
      </c>
      <c r="I192" t="s">
        <v>2489</v>
      </c>
      <c r="J192" t="s">
        <v>2089</v>
      </c>
    </row>
    <row r="193" spans="1:10" x14ac:dyDescent="0.25">
      <c r="A193" t="s">
        <v>468</v>
      </c>
      <c r="B193" t="s">
        <v>152</v>
      </c>
      <c r="C193" t="s">
        <v>469</v>
      </c>
      <c r="D193" t="s">
        <v>35</v>
      </c>
      <c r="E193" t="s">
        <v>28</v>
      </c>
      <c r="F193" t="s">
        <v>1475</v>
      </c>
      <c r="G193" t="s">
        <v>1476</v>
      </c>
      <c r="H193" t="s">
        <v>2096</v>
      </c>
      <c r="I193" t="s">
        <v>2491</v>
      </c>
      <c r="J193" t="s">
        <v>2104</v>
      </c>
    </row>
    <row r="194" spans="1:10" x14ac:dyDescent="0.25">
      <c r="A194" t="s">
        <v>470</v>
      </c>
      <c r="B194" t="s">
        <v>152</v>
      </c>
      <c r="C194" t="s">
        <v>471</v>
      </c>
      <c r="D194" t="s">
        <v>35</v>
      </c>
      <c r="E194" t="s">
        <v>16</v>
      </c>
      <c r="F194" t="s">
        <v>1477</v>
      </c>
      <c r="G194" t="s">
        <v>1478</v>
      </c>
      <c r="H194" t="s">
        <v>2087</v>
      </c>
      <c r="I194" t="s">
        <v>2493</v>
      </c>
      <c r="J194" t="s">
        <v>2104</v>
      </c>
    </row>
    <row r="195" spans="1:10" x14ac:dyDescent="0.25">
      <c r="A195" t="s">
        <v>472</v>
      </c>
      <c r="B195" t="s">
        <v>119</v>
      </c>
      <c r="C195" t="s">
        <v>473</v>
      </c>
      <c r="D195" t="s">
        <v>8</v>
      </c>
      <c r="E195" t="s">
        <v>28</v>
      </c>
      <c r="F195" t="s">
        <v>1479</v>
      </c>
      <c r="G195" t="s">
        <v>1480</v>
      </c>
      <c r="H195" t="s">
        <v>2087</v>
      </c>
      <c r="I195" t="s">
        <v>2495</v>
      </c>
      <c r="J195" t="s">
        <v>2093</v>
      </c>
    </row>
    <row r="196" spans="1:10" x14ac:dyDescent="0.25">
      <c r="A196" t="s">
        <v>474</v>
      </c>
      <c r="B196" t="s">
        <v>236</v>
      </c>
      <c r="C196" t="s">
        <v>475</v>
      </c>
      <c r="D196" t="s">
        <v>35</v>
      </c>
      <c r="E196" t="s">
        <v>13</v>
      </c>
      <c r="F196" t="s">
        <v>1481</v>
      </c>
      <c r="G196" t="s">
        <v>1482</v>
      </c>
      <c r="H196" t="s">
        <v>2096</v>
      </c>
      <c r="I196" t="s">
        <v>2393</v>
      </c>
      <c r="J196" t="s">
        <v>2108</v>
      </c>
    </row>
    <row r="197" spans="1:10" x14ac:dyDescent="0.25">
      <c r="A197" t="s">
        <v>476</v>
      </c>
      <c r="B197" t="s">
        <v>124</v>
      </c>
      <c r="C197" t="s">
        <v>477</v>
      </c>
      <c r="D197" t="s">
        <v>52</v>
      </c>
      <c r="E197" t="s">
        <v>16</v>
      </c>
      <c r="F197" t="s">
        <v>1483</v>
      </c>
      <c r="G197" t="s">
        <v>1484</v>
      </c>
      <c r="H197" t="s">
        <v>2096</v>
      </c>
      <c r="I197" t="s">
        <v>2498</v>
      </c>
      <c r="J197" t="s">
        <v>2093</v>
      </c>
    </row>
    <row r="198" spans="1:10" x14ac:dyDescent="0.25">
      <c r="A198" t="s">
        <v>478</v>
      </c>
      <c r="B198" t="s">
        <v>137</v>
      </c>
      <c r="C198" t="s">
        <v>479</v>
      </c>
      <c r="D198" t="s">
        <v>35</v>
      </c>
      <c r="E198" t="s">
        <v>20</v>
      </c>
      <c r="F198" t="s">
        <v>1485</v>
      </c>
      <c r="G198" t="s">
        <v>1486</v>
      </c>
      <c r="H198" t="s">
        <v>2087</v>
      </c>
      <c r="I198" t="s">
        <v>2500</v>
      </c>
      <c r="J198" t="s">
        <v>2093</v>
      </c>
    </row>
    <row r="199" spans="1:10" x14ac:dyDescent="0.25">
      <c r="A199" t="s">
        <v>480</v>
      </c>
      <c r="B199" t="s">
        <v>322</v>
      </c>
      <c r="C199" t="s">
        <v>481</v>
      </c>
      <c r="D199" t="s">
        <v>35</v>
      </c>
      <c r="E199" t="s">
        <v>28</v>
      </c>
      <c r="F199" t="s">
        <v>1487</v>
      </c>
      <c r="G199" t="s">
        <v>1488</v>
      </c>
      <c r="H199" t="s">
        <v>2087</v>
      </c>
      <c r="I199" t="s">
        <v>2423</v>
      </c>
      <c r="J199" t="s">
        <v>2108</v>
      </c>
    </row>
    <row r="200" spans="1:10" x14ac:dyDescent="0.25">
      <c r="A200" t="s">
        <v>482</v>
      </c>
      <c r="B200" t="s">
        <v>18</v>
      </c>
      <c r="C200" t="s">
        <v>483</v>
      </c>
      <c r="D200" t="s">
        <v>52</v>
      </c>
      <c r="E200" t="s">
        <v>9</v>
      </c>
      <c r="F200" t="s">
        <v>1489</v>
      </c>
      <c r="G200" t="s">
        <v>1490</v>
      </c>
      <c r="H200" t="s">
        <v>2087</v>
      </c>
      <c r="I200" t="s">
        <v>2206</v>
      </c>
      <c r="J200" t="s">
        <v>2089</v>
      </c>
    </row>
    <row r="201" spans="1:10" x14ac:dyDescent="0.25">
      <c r="A201" t="s">
        <v>484</v>
      </c>
      <c r="B201" t="s">
        <v>216</v>
      </c>
      <c r="C201" t="s">
        <v>485</v>
      </c>
      <c r="D201" t="s">
        <v>8</v>
      </c>
      <c r="E201" t="s">
        <v>28</v>
      </c>
      <c r="F201" t="s">
        <v>1491</v>
      </c>
      <c r="G201" t="s">
        <v>1492</v>
      </c>
      <c r="H201" t="s">
        <v>2096</v>
      </c>
      <c r="I201" t="s">
        <v>2504</v>
      </c>
      <c r="J201" t="s">
        <v>2108</v>
      </c>
    </row>
    <row r="202" spans="1:10" x14ac:dyDescent="0.25">
      <c r="A202" t="s">
        <v>486</v>
      </c>
      <c r="B202" t="s">
        <v>6</v>
      </c>
      <c r="C202" t="s">
        <v>487</v>
      </c>
      <c r="D202" t="s">
        <v>35</v>
      </c>
      <c r="E202" t="s">
        <v>13</v>
      </c>
      <c r="F202" t="s">
        <v>1493</v>
      </c>
      <c r="G202" t="s">
        <v>1494</v>
      </c>
      <c r="H202" t="s">
        <v>2087</v>
      </c>
      <c r="I202" t="s">
        <v>2506</v>
      </c>
      <c r="J202" t="s">
        <v>2089</v>
      </c>
    </row>
    <row r="203" spans="1:10" x14ac:dyDescent="0.25">
      <c r="A203" t="s">
        <v>488</v>
      </c>
      <c r="B203" t="s">
        <v>239</v>
      </c>
      <c r="C203" t="s">
        <v>489</v>
      </c>
      <c r="D203" t="s">
        <v>52</v>
      </c>
      <c r="E203" t="s">
        <v>42</v>
      </c>
      <c r="F203" t="s">
        <v>1495</v>
      </c>
      <c r="G203" t="s">
        <v>1496</v>
      </c>
      <c r="H203" t="s">
        <v>2096</v>
      </c>
      <c r="I203" t="s">
        <v>2508</v>
      </c>
      <c r="J203" t="s">
        <v>2089</v>
      </c>
    </row>
    <row r="204" spans="1:10" x14ac:dyDescent="0.25">
      <c r="A204" t="s">
        <v>490</v>
      </c>
      <c r="B204" t="s">
        <v>70</v>
      </c>
      <c r="C204" t="s">
        <v>491</v>
      </c>
      <c r="D204" t="s">
        <v>52</v>
      </c>
      <c r="E204" t="s">
        <v>16</v>
      </c>
      <c r="F204" t="s">
        <v>1497</v>
      </c>
      <c r="G204" t="s">
        <v>1498</v>
      </c>
      <c r="H204" t="s">
        <v>2087</v>
      </c>
      <c r="I204" t="s">
        <v>2510</v>
      </c>
      <c r="J204" t="s">
        <v>2104</v>
      </c>
    </row>
    <row r="205" spans="1:10" x14ac:dyDescent="0.25">
      <c r="A205" t="s">
        <v>492</v>
      </c>
      <c r="B205" t="s">
        <v>76</v>
      </c>
      <c r="C205" t="s">
        <v>493</v>
      </c>
      <c r="D205" t="s">
        <v>52</v>
      </c>
      <c r="E205" t="s">
        <v>20</v>
      </c>
      <c r="F205" t="s">
        <v>1499</v>
      </c>
      <c r="G205" t="s">
        <v>1500</v>
      </c>
      <c r="H205" t="s">
        <v>2096</v>
      </c>
      <c r="I205" t="s">
        <v>2512</v>
      </c>
      <c r="J205" t="s">
        <v>2108</v>
      </c>
    </row>
    <row r="206" spans="1:10" x14ac:dyDescent="0.25">
      <c r="A206" t="s">
        <v>494</v>
      </c>
      <c r="B206" t="s">
        <v>246</v>
      </c>
      <c r="C206" t="s">
        <v>495</v>
      </c>
      <c r="D206" t="s">
        <v>52</v>
      </c>
      <c r="E206" t="s">
        <v>13</v>
      </c>
      <c r="F206" t="s">
        <v>1501</v>
      </c>
      <c r="G206" t="s">
        <v>1502</v>
      </c>
      <c r="H206" t="s">
        <v>2096</v>
      </c>
      <c r="I206" t="s">
        <v>2514</v>
      </c>
      <c r="J206" t="s">
        <v>2093</v>
      </c>
    </row>
    <row r="207" spans="1:10" x14ac:dyDescent="0.25">
      <c r="A207" t="s">
        <v>496</v>
      </c>
      <c r="B207" t="s">
        <v>160</v>
      </c>
      <c r="C207" t="s">
        <v>497</v>
      </c>
      <c r="D207" t="s">
        <v>52</v>
      </c>
      <c r="E207" t="s">
        <v>9</v>
      </c>
      <c r="F207" t="s">
        <v>1503</v>
      </c>
      <c r="G207" t="s">
        <v>1504</v>
      </c>
      <c r="H207" t="s">
        <v>2096</v>
      </c>
      <c r="I207" t="s">
        <v>2516</v>
      </c>
      <c r="J207" t="s">
        <v>2089</v>
      </c>
    </row>
    <row r="208" spans="1:10" x14ac:dyDescent="0.25">
      <c r="A208" t="s">
        <v>498</v>
      </c>
      <c r="B208" t="s">
        <v>499</v>
      </c>
      <c r="C208" t="s">
        <v>500</v>
      </c>
      <c r="D208" t="s">
        <v>35</v>
      </c>
      <c r="E208" t="s">
        <v>28</v>
      </c>
      <c r="F208" t="s">
        <v>1505</v>
      </c>
      <c r="G208" t="s">
        <v>1506</v>
      </c>
      <c r="H208" t="s">
        <v>2096</v>
      </c>
      <c r="I208" t="s">
        <v>2518</v>
      </c>
      <c r="J208" t="s">
        <v>2108</v>
      </c>
    </row>
    <row r="209" spans="1:10" x14ac:dyDescent="0.25">
      <c r="A209" t="s">
        <v>501</v>
      </c>
      <c r="B209" t="s">
        <v>452</v>
      </c>
      <c r="C209" t="s">
        <v>502</v>
      </c>
      <c r="D209" t="s">
        <v>52</v>
      </c>
      <c r="E209" t="s">
        <v>42</v>
      </c>
      <c r="F209" t="s">
        <v>1507</v>
      </c>
      <c r="G209" t="s">
        <v>1508</v>
      </c>
      <c r="H209" t="s">
        <v>2096</v>
      </c>
      <c r="I209" t="s">
        <v>2520</v>
      </c>
      <c r="J209" t="s">
        <v>2104</v>
      </c>
    </row>
    <row r="210" spans="1:10" x14ac:dyDescent="0.25">
      <c r="A210" t="s">
        <v>503</v>
      </c>
      <c r="B210" t="s">
        <v>137</v>
      </c>
      <c r="C210" t="s">
        <v>504</v>
      </c>
      <c r="D210" t="s">
        <v>8</v>
      </c>
      <c r="E210" t="s">
        <v>13</v>
      </c>
      <c r="F210" t="s">
        <v>1509</v>
      </c>
      <c r="G210" t="s">
        <v>1510</v>
      </c>
      <c r="H210" t="s">
        <v>2087</v>
      </c>
      <c r="I210" t="s">
        <v>2522</v>
      </c>
      <c r="J210" t="s">
        <v>2108</v>
      </c>
    </row>
    <row r="211" spans="1:10" x14ac:dyDescent="0.25">
      <c r="A211" t="s">
        <v>505</v>
      </c>
      <c r="B211" t="s">
        <v>297</v>
      </c>
      <c r="C211" t="s">
        <v>506</v>
      </c>
      <c r="D211" t="s">
        <v>8</v>
      </c>
      <c r="E211" t="s">
        <v>56</v>
      </c>
      <c r="F211" t="s">
        <v>1511</v>
      </c>
      <c r="G211" t="s">
        <v>1512</v>
      </c>
      <c r="H211" t="s">
        <v>2096</v>
      </c>
      <c r="I211" t="s">
        <v>2524</v>
      </c>
      <c r="J211" t="s">
        <v>2104</v>
      </c>
    </row>
    <row r="212" spans="1:10" x14ac:dyDescent="0.25">
      <c r="A212" t="s">
        <v>507</v>
      </c>
      <c r="B212" t="s">
        <v>37</v>
      </c>
      <c r="C212" t="s">
        <v>508</v>
      </c>
      <c r="D212" t="s">
        <v>8</v>
      </c>
      <c r="E212" t="s">
        <v>56</v>
      </c>
      <c r="F212" t="s">
        <v>1513</v>
      </c>
      <c r="G212" t="s">
        <v>1514</v>
      </c>
      <c r="H212" t="s">
        <v>2087</v>
      </c>
      <c r="I212" t="s">
        <v>2526</v>
      </c>
      <c r="J212" t="s">
        <v>2089</v>
      </c>
    </row>
    <row r="213" spans="1:10" x14ac:dyDescent="0.25">
      <c r="A213" t="s">
        <v>509</v>
      </c>
      <c r="B213" t="s">
        <v>50</v>
      </c>
      <c r="C213" t="s">
        <v>510</v>
      </c>
      <c r="D213" t="s">
        <v>35</v>
      </c>
      <c r="E213" t="s">
        <v>24</v>
      </c>
      <c r="F213" t="s">
        <v>1515</v>
      </c>
      <c r="G213" t="s">
        <v>1516</v>
      </c>
      <c r="H213" t="s">
        <v>2087</v>
      </c>
      <c r="I213" t="s">
        <v>2528</v>
      </c>
      <c r="J213" t="s">
        <v>2104</v>
      </c>
    </row>
    <row r="214" spans="1:10" x14ac:dyDescent="0.25">
      <c r="A214" t="s">
        <v>511</v>
      </c>
      <c r="B214" t="s">
        <v>512</v>
      </c>
      <c r="C214" t="s">
        <v>513</v>
      </c>
      <c r="D214" t="s">
        <v>52</v>
      </c>
      <c r="E214" t="s">
        <v>20</v>
      </c>
      <c r="F214" t="s">
        <v>1517</v>
      </c>
      <c r="G214" t="s">
        <v>1518</v>
      </c>
      <c r="H214" t="s">
        <v>2087</v>
      </c>
      <c r="I214" t="s">
        <v>2530</v>
      </c>
      <c r="J214" t="s">
        <v>2104</v>
      </c>
    </row>
    <row r="215" spans="1:10" x14ac:dyDescent="0.25">
      <c r="A215" t="s">
        <v>514</v>
      </c>
      <c r="B215" t="s">
        <v>186</v>
      </c>
      <c r="C215" t="s">
        <v>515</v>
      </c>
      <c r="D215" t="s">
        <v>52</v>
      </c>
      <c r="E215" t="s">
        <v>24</v>
      </c>
      <c r="F215" t="s">
        <v>1519</v>
      </c>
      <c r="G215" t="s">
        <v>1520</v>
      </c>
      <c r="H215" t="s">
        <v>2087</v>
      </c>
      <c r="I215" t="s">
        <v>2532</v>
      </c>
      <c r="J215" t="s">
        <v>2104</v>
      </c>
    </row>
    <row r="216" spans="1:10" x14ac:dyDescent="0.25">
      <c r="A216" t="s">
        <v>516</v>
      </c>
      <c r="B216" t="s">
        <v>198</v>
      </c>
      <c r="C216" t="s">
        <v>517</v>
      </c>
      <c r="D216" t="s">
        <v>35</v>
      </c>
      <c r="E216" t="s">
        <v>42</v>
      </c>
      <c r="F216" t="s">
        <v>1521</v>
      </c>
      <c r="G216" t="s">
        <v>1522</v>
      </c>
      <c r="H216" t="s">
        <v>2096</v>
      </c>
      <c r="I216" t="s">
        <v>2534</v>
      </c>
      <c r="J216" t="s">
        <v>2104</v>
      </c>
    </row>
    <row r="217" spans="1:10" x14ac:dyDescent="0.25">
      <c r="A217" t="s">
        <v>518</v>
      </c>
      <c r="B217" t="s">
        <v>6</v>
      </c>
      <c r="C217" t="s">
        <v>519</v>
      </c>
      <c r="D217" t="s">
        <v>52</v>
      </c>
      <c r="E217" t="s">
        <v>13</v>
      </c>
      <c r="F217" t="s">
        <v>1523</v>
      </c>
      <c r="G217" t="s">
        <v>1524</v>
      </c>
      <c r="H217" t="s">
        <v>2096</v>
      </c>
      <c r="I217" t="s">
        <v>2536</v>
      </c>
      <c r="J217" t="s">
        <v>2104</v>
      </c>
    </row>
    <row r="218" spans="1:10" x14ac:dyDescent="0.25">
      <c r="A218" t="s">
        <v>520</v>
      </c>
      <c r="B218" t="s">
        <v>412</v>
      </c>
      <c r="C218" t="s">
        <v>521</v>
      </c>
      <c r="D218" t="s">
        <v>52</v>
      </c>
      <c r="E218" t="s">
        <v>16</v>
      </c>
      <c r="F218" t="s">
        <v>1525</v>
      </c>
      <c r="G218" t="s">
        <v>1526</v>
      </c>
      <c r="H218" t="s">
        <v>2096</v>
      </c>
      <c r="I218" t="s">
        <v>2538</v>
      </c>
      <c r="J218" t="s">
        <v>2093</v>
      </c>
    </row>
    <row r="219" spans="1:10" x14ac:dyDescent="0.25">
      <c r="A219" t="s">
        <v>522</v>
      </c>
      <c r="B219" t="s">
        <v>523</v>
      </c>
      <c r="C219" t="s">
        <v>524</v>
      </c>
      <c r="D219" t="s">
        <v>8</v>
      </c>
      <c r="E219" t="s">
        <v>9</v>
      </c>
      <c r="F219" t="s">
        <v>1527</v>
      </c>
      <c r="G219" t="s">
        <v>1528</v>
      </c>
      <c r="H219" t="s">
        <v>2087</v>
      </c>
      <c r="I219" t="s">
        <v>2540</v>
      </c>
      <c r="J219" t="s">
        <v>2108</v>
      </c>
    </row>
    <row r="220" spans="1:10" x14ac:dyDescent="0.25">
      <c r="A220" t="s">
        <v>525</v>
      </c>
      <c r="B220" t="s">
        <v>341</v>
      </c>
      <c r="C220" t="s">
        <v>526</v>
      </c>
      <c r="D220" t="s">
        <v>35</v>
      </c>
      <c r="E220" t="s">
        <v>9</v>
      </c>
      <c r="F220" t="s">
        <v>1529</v>
      </c>
      <c r="G220" t="s">
        <v>1530</v>
      </c>
      <c r="H220" t="s">
        <v>2096</v>
      </c>
      <c r="I220" t="s">
        <v>2542</v>
      </c>
      <c r="J220" t="s">
        <v>2093</v>
      </c>
    </row>
    <row r="221" spans="1:10" x14ac:dyDescent="0.25">
      <c r="A221" t="s">
        <v>527</v>
      </c>
      <c r="B221" t="s">
        <v>81</v>
      </c>
      <c r="C221" t="s">
        <v>528</v>
      </c>
      <c r="D221" t="s">
        <v>35</v>
      </c>
      <c r="E221" t="s">
        <v>9</v>
      </c>
      <c r="F221" t="s">
        <v>1531</v>
      </c>
      <c r="G221" t="s">
        <v>1532</v>
      </c>
      <c r="H221" t="s">
        <v>2096</v>
      </c>
      <c r="I221" t="s">
        <v>2544</v>
      </c>
      <c r="J221" t="s">
        <v>2089</v>
      </c>
    </row>
    <row r="222" spans="1:10" x14ac:dyDescent="0.25">
      <c r="A222" t="s">
        <v>529</v>
      </c>
      <c r="B222" t="s">
        <v>406</v>
      </c>
      <c r="C222" t="s">
        <v>530</v>
      </c>
      <c r="D222" t="s">
        <v>52</v>
      </c>
      <c r="E222" t="s">
        <v>28</v>
      </c>
      <c r="F222" t="s">
        <v>1533</v>
      </c>
      <c r="G222" t="s">
        <v>1534</v>
      </c>
      <c r="H222" t="s">
        <v>2087</v>
      </c>
      <c r="I222" t="s">
        <v>2546</v>
      </c>
      <c r="J222" t="s">
        <v>2108</v>
      </c>
    </row>
    <row r="223" spans="1:10" x14ac:dyDescent="0.25">
      <c r="A223" t="s">
        <v>531</v>
      </c>
      <c r="B223" t="s">
        <v>37</v>
      </c>
      <c r="C223" t="s">
        <v>532</v>
      </c>
      <c r="D223" t="s">
        <v>52</v>
      </c>
      <c r="E223" t="s">
        <v>16</v>
      </c>
      <c r="F223" t="s">
        <v>1535</v>
      </c>
      <c r="G223" t="s">
        <v>1536</v>
      </c>
      <c r="H223" t="s">
        <v>2096</v>
      </c>
      <c r="I223" t="s">
        <v>2548</v>
      </c>
      <c r="J223" t="s">
        <v>2108</v>
      </c>
    </row>
    <row r="224" spans="1:10" x14ac:dyDescent="0.25">
      <c r="A224" t="s">
        <v>533</v>
      </c>
      <c r="B224" t="s">
        <v>396</v>
      </c>
      <c r="C224" t="s">
        <v>534</v>
      </c>
      <c r="D224" t="s">
        <v>8</v>
      </c>
      <c r="E224" t="s">
        <v>28</v>
      </c>
      <c r="F224" t="s">
        <v>1537</v>
      </c>
      <c r="G224" t="s">
        <v>1538</v>
      </c>
      <c r="H224" t="s">
        <v>2096</v>
      </c>
      <c r="I224" t="s">
        <v>2550</v>
      </c>
      <c r="J224" t="s">
        <v>2104</v>
      </c>
    </row>
    <row r="225" spans="1:10" x14ac:dyDescent="0.25">
      <c r="A225" t="s">
        <v>535</v>
      </c>
      <c r="B225" t="s">
        <v>129</v>
      </c>
      <c r="C225" t="s">
        <v>536</v>
      </c>
      <c r="D225" t="s">
        <v>8</v>
      </c>
      <c r="E225" t="s">
        <v>20</v>
      </c>
      <c r="F225" t="s">
        <v>1539</v>
      </c>
      <c r="G225" t="s">
        <v>1540</v>
      </c>
      <c r="H225" t="s">
        <v>2096</v>
      </c>
      <c r="I225" t="s">
        <v>2552</v>
      </c>
      <c r="J225" t="s">
        <v>2104</v>
      </c>
    </row>
    <row r="226" spans="1:10" x14ac:dyDescent="0.25">
      <c r="A226" t="s">
        <v>537</v>
      </c>
      <c r="B226" t="s">
        <v>278</v>
      </c>
      <c r="C226" t="s">
        <v>538</v>
      </c>
      <c r="D226" t="s">
        <v>52</v>
      </c>
      <c r="E226" t="s">
        <v>20</v>
      </c>
      <c r="F226" t="s">
        <v>1541</v>
      </c>
      <c r="G226" t="s">
        <v>1542</v>
      </c>
      <c r="H226" t="s">
        <v>2096</v>
      </c>
      <c r="I226" t="s">
        <v>2121</v>
      </c>
      <c r="J226" t="s">
        <v>2104</v>
      </c>
    </row>
    <row r="227" spans="1:10" x14ac:dyDescent="0.25">
      <c r="A227" t="s">
        <v>539</v>
      </c>
      <c r="B227" t="s">
        <v>149</v>
      </c>
      <c r="C227" t="s">
        <v>540</v>
      </c>
      <c r="D227" t="s">
        <v>52</v>
      </c>
      <c r="E227" t="s">
        <v>9</v>
      </c>
      <c r="F227" t="s">
        <v>1543</v>
      </c>
      <c r="G227" t="s">
        <v>1544</v>
      </c>
      <c r="H227" t="s">
        <v>2087</v>
      </c>
      <c r="I227" t="s">
        <v>2555</v>
      </c>
      <c r="J227" t="s">
        <v>2108</v>
      </c>
    </row>
    <row r="228" spans="1:10" x14ac:dyDescent="0.25">
      <c r="A228" t="s">
        <v>541</v>
      </c>
      <c r="B228" t="s">
        <v>359</v>
      </c>
      <c r="C228" t="s">
        <v>542</v>
      </c>
      <c r="D228" t="s">
        <v>35</v>
      </c>
      <c r="E228" t="s">
        <v>56</v>
      </c>
      <c r="F228" t="s">
        <v>1545</v>
      </c>
      <c r="G228" t="s">
        <v>1546</v>
      </c>
      <c r="H228" t="s">
        <v>2087</v>
      </c>
      <c r="I228" t="s">
        <v>2557</v>
      </c>
      <c r="J228" t="s">
        <v>2093</v>
      </c>
    </row>
    <row r="229" spans="1:10" x14ac:dyDescent="0.25">
      <c r="A229" t="s">
        <v>543</v>
      </c>
      <c r="B229" t="s">
        <v>47</v>
      </c>
      <c r="C229" t="s">
        <v>544</v>
      </c>
      <c r="D229" t="s">
        <v>52</v>
      </c>
      <c r="E229" t="s">
        <v>28</v>
      </c>
      <c r="F229" t="s">
        <v>1547</v>
      </c>
      <c r="G229" t="s">
        <v>1548</v>
      </c>
      <c r="H229" t="s">
        <v>2087</v>
      </c>
      <c r="I229" t="s">
        <v>2559</v>
      </c>
      <c r="J229" t="s">
        <v>2089</v>
      </c>
    </row>
    <row r="230" spans="1:10" x14ac:dyDescent="0.25">
      <c r="A230" t="s">
        <v>545</v>
      </c>
      <c r="B230" t="s">
        <v>452</v>
      </c>
      <c r="C230" t="s">
        <v>546</v>
      </c>
      <c r="D230" t="s">
        <v>35</v>
      </c>
      <c r="E230" t="s">
        <v>9</v>
      </c>
      <c r="F230" t="s">
        <v>1549</v>
      </c>
      <c r="G230" t="s">
        <v>1550</v>
      </c>
      <c r="H230" t="s">
        <v>2087</v>
      </c>
      <c r="I230" t="s">
        <v>2561</v>
      </c>
      <c r="J230" t="s">
        <v>2104</v>
      </c>
    </row>
    <row r="231" spans="1:10" x14ac:dyDescent="0.25">
      <c r="A231" t="s">
        <v>547</v>
      </c>
      <c r="B231" t="s">
        <v>435</v>
      </c>
      <c r="C231" t="s">
        <v>548</v>
      </c>
      <c r="D231" t="s">
        <v>8</v>
      </c>
      <c r="E231" t="s">
        <v>20</v>
      </c>
      <c r="F231" t="s">
        <v>1551</v>
      </c>
      <c r="G231" t="s">
        <v>1552</v>
      </c>
      <c r="H231" t="s">
        <v>2096</v>
      </c>
      <c r="I231" t="s">
        <v>2563</v>
      </c>
      <c r="J231" t="s">
        <v>2093</v>
      </c>
    </row>
    <row r="232" spans="1:10" x14ac:dyDescent="0.25">
      <c r="A232" t="s">
        <v>549</v>
      </c>
      <c r="B232" t="s">
        <v>224</v>
      </c>
      <c r="C232" t="s">
        <v>550</v>
      </c>
      <c r="D232" t="s">
        <v>35</v>
      </c>
      <c r="E232" t="s">
        <v>56</v>
      </c>
      <c r="F232" t="s">
        <v>1553</v>
      </c>
      <c r="G232" t="s">
        <v>1554</v>
      </c>
      <c r="H232" t="s">
        <v>2096</v>
      </c>
      <c r="I232" t="s">
        <v>2565</v>
      </c>
      <c r="J232" t="s">
        <v>2089</v>
      </c>
    </row>
    <row r="233" spans="1:10" x14ac:dyDescent="0.25">
      <c r="A233" t="s">
        <v>551</v>
      </c>
      <c r="B233" t="s">
        <v>76</v>
      </c>
      <c r="C233" t="s">
        <v>552</v>
      </c>
      <c r="D233" t="s">
        <v>8</v>
      </c>
      <c r="E233" t="s">
        <v>20</v>
      </c>
      <c r="F233" t="s">
        <v>1555</v>
      </c>
      <c r="G233" t="s">
        <v>1556</v>
      </c>
      <c r="H233" t="s">
        <v>2087</v>
      </c>
      <c r="I233" t="s">
        <v>2567</v>
      </c>
      <c r="J233" t="s">
        <v>2108</v>
      </c>
    </row>
    <row r="234" spans="1:10" x14ac:dyDescent="0.25">
      <c r="A234" t="s">
        <v>553</v>
      </c>
      <c r="B234" t="s">
        <v>219</v>
      </c>
      <c r="C234" t="s">
        <v>554</v>
      </c>
      <c r="D234" t="s">
        <v>35</v>
      </c>
      <c r="E234" t="s">
        <v>56</v>
      </c>
      <c r="F234" t="s">
        <v>1557</v>
      </c>
      <c r="G234" t="s">
        <v>1558</v>
      </c>
      <c r="H234" t="s">
        <v>2096</v>
      </c>
      <c r="I234" t="s">
        <v>2569</v>
      </c>
      <c r="J234" t="s">
        <v>2093</v>
      </c>
    </row>
    <row r="235" spans="1:10" x14ac:dyDescent="0.25">
      <c r="A235" t="s">
        <v>555</v>
      </c>
      <c r="B235" t="s">
        <v>186</v>
      </c>
      <c r="C235" t="s">
        <v>556</v>
      </c>
      <c r="D235" t="s">
        <v>52</v>
      </c>
      <c r="E235" t="s">
        <v>24</v>
      </c>
      <c r="F235" t="s">
        <v>1559</v>
      </c>
      <c r="G235" t="s">
        <v>1560</v>
      </c>
      <c r="H235" t="s">
        <v>2096</v>
      </c>
      <c r="I235" t="s">
        <v>2571</v>
      </c>
      <c r="J235" t="s">
        <v>2093</v>
      </c>
    </row>
    <row r="236" spans="1:10" x14ac:dyDescent="0.25">
      <c r="A236" t="s">
        <v>557</v>
      </c>
      <c r="B236" t="s">
        <v>412</v>
      </c>
      <c r="C236" t="s">
        <v>558</v>
      </c>
      <c r="D236" t="s">
        <v>52</v>
      </c>
      <c r="E236" t="s">
        <v>13</v>
      </c>
      <c r="F236" t="s">
        <v>1561</v>
      </c>
      <c r="G236" t="s">
        <v>1562</v>
      </c>
      <c r="H236" t="s">
        <v>2087</v>
      </c>
      <c r="I236" t="s">
        <v>2573</v>
      </c>
      <c r="J236" t="s">
        <v>2108</v>
      </c>
    </row>
    <row r="237" spans="1:10" x14ac:dyDescent="0.25">
      <c r="A237" t="s">
        <v>559</v>
      </c>
      <c r="B237" t="s">
        <v>512</v>
      </c>
      <c r="C237" t="s">
        <v>560</v>
      </c>
      <c r="D237" t="s">
        <v>35</v>
      </c>
      <c r="E237" t="s">
        <v>28</v>
      </c>
      <c r="F237" t="s">
        <v>1393</v>
      </c>
      <c r="G237" t="s">
        <v>1563</v>
      </c>
      <c r="H237" t="s">
        <v>2096</v>
      </c>
      <c r="I237" t="s">
        <v>2575</v>
      </c>
      <c r="J237" t="s">
        <v>2093</v>
      </c>
    </row>
    <row r="238" spans="1:10" x14ac:dyDescent="0.25">
      <c r="A238" t="s">
        <v>561</v>
      </c>
      <c r="B238" t="s">
        <v>61</v>
      </c>
      <c r="C238" t="s">
        <v>562</v>
      </c>
      <c r="D238" t="s">
        <v>8</v>
      </c>
      <c r="E238" t="s">
        <v>24</v>
      </c>
      <c r="F238" t="s">
        <v>1564</v>
      </c>
      <c r="G238" t="s">
        <v>1565</v>
      </c>
      <c r="H238" t="s">
        <v>2087</v>
      </c>
      <c r="I238" t="s">
        <v>2577</v>
      </c>
      <c r="J238" t="s">
        <v>2093</v>
      </c>
    </row>
    <row r="239" spans="1:10" x14ac:dyDescent="0.25">
      <c r="A239" t="s">
        <v>563</v>
      </c>
      <c r="B239" t="s">
        <v>37</v>
      </c>
      <c r="C239" t="s">
        <v>564</v>
      </c>
      <c r="D239" t="s">
        <v>35</v>
      </c>
      <c r="E239" t="s">
        <v>42</v>
      </c>
      <c r="F239" t="s">
        <v>1566</v>
      </c>
      <c r="G239" t="s">
        <v>1567</v>
      </c>
      <c r="H239" t="s">
        <v>2087</v>
      </c>
      <c r="I239" t="s">
        <v>2579</v>
      </c>
      <c r="J239" t="s">
        <v>2093</v>
      </c>
    </row>
    <row r="240" spans="1:10" x14ac:dyDescent="0.25">
      <c r="A240" t="s">
        <v>565</v>
      </c>
      <c r="B240" t="s">
        <v>129</v>
      </c>
      <c r="C240" t="s">
        <v>566</v>
      </c>
      <c r="D240" t="s">
        <v>52</v>
      </c>
      <c r="E240" t="s">
        <v>20</v>
      </c>
      <c r="F240" t="s">
        <v>1568</v>
      </c>
      <c r="G240" t="s">
        <v>1569</v>
      </c>
      <c r="H240" t="s">
        <v>2096</v>
      </c>
      <c r="I240" t="s">
        <v>2581</v>
      </c>
      <c r="J240" t="s">
        <v>2089</v>
      </c>
    </row>
    <row r="241" spans="1:10" x14ac:dyDescent="0.25">
      <c r="A241" t="s">
        <v>567</v>
      </c>
      <c r="B241" t="s">
        <v>452</v>
      </c>
      <c r="C241" t="s">
        <v>568</v>
      </c>
      <c r="D241" t="s">
        <v>52</v>
      </c>
      <c r="E241" t="s">
        <v>56</v>
      </c>
      <c r="F241" t="s">
        <v>1570</v>
      </c>
      <c r="G241" t="s">
        <v>1571</v>
      </c>
      <c r="H241" t="s">
        <v>2087</v>
      </c>
      <c r="I241" t="s">
        <v>2241</v>
      </c>
      <c r="J241" t="s">
        <v>2104</v>
      </c>
    </row>
    <row r="242" spans="1:10" x14ac:dyDescent="0.25">
      <c r="A242" t="s">
        <v>569</v>
      </c>
      <c r="B242" t="s">
        <v>84</v>
      </c>
      <c r="C242" t="s">
        <v>570</v>
      </c>
      <c r="D242" t="s">
        <v>52</v>
      </c>
      <c r="E242" t="s">
        <v>20</v>
      </c>
      <c r="F242" t="s">
        <v>1572</v>
      </c>
      <c r="G242" t="s">
        <v>1573</v>
      </c>
      <c r="H242" t="s">
        <v>2087</v>
      </c>
      <c r="I242" t="s">
        <v>2584</v>
      </c>
      <c r="J242" t="s">
        <v>2108</v>
      </c>
    </row>
    <row r="243" spans="1:10" x14ac:dyDescent="0.25">
      <c r="A243" t="s">
        <v>571</v>
      </c>
      <c r="B243" t="s">
        <v>412</v>
      </c>
      <c r="C243" t="s">
        <v>572</v>
      </c>
      <c r="D243" t="s">
        <v>35</v>
      </c>
      <c r="E243" t="s">
        <v>13</v>
      </c>
      <c r="F243" t="s">
        <v>1574</v>
      </c>
      <c r="G243" t="s">
        <v>1575</v>
      </c>
      <c r="H243" t="s">
        <v>2096</v>
      </c>
      <c r="I243" t="s">
        <v>2148</v>
      </c>
      <c r="J243" t="s">
        <v>2093</v>
      </c>
    </row>
    <row r="244" spans="1:10" x14ac:dyDescent="0.25">
      <c r="A244" t="s">
        <v>573</v>
      </c>
      <c r="B244" t="s">
        <v>574</v>
      </c>
      <c r="C244" t="s">
        <v>575</v>
      </c>
      <c r="D244" t="s">
        <v>35</v>
      </c>
      <c r="E244" t="s">
        <v>13</v>
      </c>
      <c r="F244" t="s">
        <v>1576</v>
      </c>
      <c r="G244" t="s">
        <v>1577</v>
      </c>
      <c r="H244" t="s">
        <v>2087</v>
      </c>
      <c r="I244" t="s">
        <v>2587</v>
      </c>
      <c r="J244" t="s">
        <v>2108</v>
      </c>
    </row>
    <row r="245" spans="1:10" x14ac:dyDescent="0.25">
      <c r="A245" t="s">
        <v>576</v>
      </c>
      <c r="B245" t="s">
        <v>275</v>
      </c>
      <c r="C245" t="s">
        <v>577</v>
      </c>
      <c r="D245" t="s">
        <v>35</v>
      </c>
      <c r="E245" t="s">
        <v>56</v>
      </c>
      <c r="F245" t="s">
        <v>1578</v>
      </c>
      <c r="G245" t="s">
        <v>1579</v>
      </c>
      <c r="H245" t="s">
        <v>2087</v>
      </c>
      <c r="I245" t="s">
        <v>2589</v>
      </c>
      <c r="J245" t="s">
        <v>2093</v>
      </c>
    </row>
    <row r="246" spans="1:10" x14ac:dyDescent="0.25">
      <c r="A246" t="s">
        <v>578</v>
      </c>
      <c r="B246" t="s">
        <v>396</v>
      </c>
      <c r="C246" t="s">
        <v>579</v>
      </c>
      <c r="D246" t="s">
        <v>8</v>
      </c>
      <c r="E246" t="s">
        <v>24</v>
      </c>
      <c r="F246" t="s">
        <v>1580</v>
      </c>
      <c r="G246" t="s">
        <v>1581</v>
      </c>
      <c r="H246" t="s">
        <v>2087</v>
      </c>
      <c r="I246" t="s">
        <v>2591</v>
      </c>
      <c r="J246" t="s">
        <v>2104</v>
      </c>
    </row>
    <row r="247" spans="1:10" x14ac:dyDescent="0.25">
      <c r="A247" t="s">
        <v>580</v>
      </c>
      <c r="B247" t="s">
        <v>93</v>
      </c>
      <c r="C247" t="s">
        <v>581</v>
      </c>
      <c r="D247" t="s">
        <v>52</v>
      </c>
      <c r="E247" t="s">
        <v>24</v>
      </c>
      <c r="F247" t="s">
        <v>1582</v>
      </c>
      <c r="G247" t="s">
        <v>1583</v>
      </c>
      <c r="H247" t="s">
        <v>2087</v>
      </c>
      <c r="I247" t="s">
        <v>2593</v>
      </c>
      <c r="J247" t="s">
        <v>2093</v>
      </c>
    </row>
    <row r="248" spans="1:10" x14ac:dyDescent="0.25">
      <c r="A248" t="s">
        <v>582</v>
      </c>
      <c r="B248" t="s">
        <v>263</v>
      </c>
      <c r="C248" t="s">
        <v>583</v>
      </c>
      <c r="D248" t="s">
        <v>35</v>
      </c>
      <c r="E248" t="s">
        <v>56</v>
      </c>
      <c r="F248" t="s">
        <v>1584</v>
      </c>
      <c r="G248" t="s">
        <v>1585</v>
      </c>
      <c r="H248" t="s">
        <v>2087</v>
      </c>
      <c r="I248" t="s">
        <v>2595</v>
      </c>
      <c r="J248" t="s">
        <v>2108</v>
      </c>
    </row>
    <row r="249" spans="1:10" x14ac:dyDescent="0.25">
      <c r="A249" t="s">
        <v>584</v>
      </c>
      <c r="B249" t="s">
        <v>11</v>
      </c>
      <c r="C249" t="s">
        <v>585</v>
      </c>
      <c r="D249" t="s">
        <v>35</v>
      </c>
      <c r="E249" t="s">
        <v>16</v>
      </c>
      <c r="F249" t="s">
        <v>1586</v>
      </c>
      <c r="G249" t="s">
        <v>1587</v>
      </c>
      <c r="H249" t="s">
        <v>2087</v>
      </c>
      <c r="I249" t="s">
        <v>2597</v>
      </c>
      <c r="J249" t="s">
        <v>2089</v>
      </c>
    </row>
    <row r="250" spans="1:10" x14ac:dyDescent="0.25">
      <c r="A250" t="s">
        <v>586</v>
      </c>
      <c r="B250" t="s">
        <v>67</v>
      </c>
      <c r="C250" t="s">
        <v>587</v>
      </c>
      <c r="D250" t="s">
        <v>52</v>
      </c>
      <c r="E250" t="s">
        <v>20</v>
      </c>
      <c r="F250" t="s">
        <v>1588</v>
      </c>
      <c r="G250" t="s">
        <v>1589</v>
      </c>
      <c r="H250" t="s">
        <v>2087</v>
      </c>
      <c r="I250" t="s">
        <v>2599</v>
      </c>
      <c r="J250" t="s">
        <v>2093</v>
      </c>
    </row>
    <row r="251" spans="1:10" x14ac:dyDescent="0.25">
      <c r="A251" t="s">
        <v>588</v>
      </c>
      <c r="B251" t="s">
        <v>111</v>
      </c>
      <c r="C251" t="s">
        <v>589</v>
      </c>
      <c r="D251" t="s">
        <v>52</v>
      </c>
      <c r="E251" t="s">
        <v>24</v>
      </c>
      <c r="F251" t="s">
        <v>1590</v>
      </c>
      <c r="G251" t="s">
        <v>1591</v>
      </c>
      <c r="H251" t="s">
        <v>2096</v>
      </c>
      <c r="I251" t="s">
        <v>2601</v>
      </c>
      <c r="J251" t="s">
        <v>2089</v>
      </c>
    </row>
    <row r="252" spans="1:10" x14ac:dyDescent="0.25">
      <c r="A252" t="s">
        <v>590</v>
      </c>
      <c r="B252" t="s">
        <v>129</v>
      </c>
      <c r="C252" t="s">
        <v>591</v>
      </c>
      <c r="D252" t="s">
        <v>35</v>
      </c>
      <c r="E252" t="s">
        <v>20</v>
      </c>
      <c r="F252" t="s">
        <v>1592</v>
      </c>
      <c r="G252" t="s">
        <v>1593</v>
      </c>
      <c r="H252" t="s">
        <v>2087</v>
      </c>
      <c r="I252" t="s">
        <v>2603</v>
      </c>
      <c r="J252" t="s">
        <v>2104</v>
      </c>
    </row>
    <row r="253" spans="1:10" x14ac:dyDescent="0.25">
      <c r="A253" t="s">
        <v>592</v>
      </c>
      <c r="B253" t="s">
        <v>30</v>
      </c>
      <c r="C253" t="s">
        <v>593</v>
      </c>
      <c r="D253" t="s">
        <v>35</v>
      </c>
      <c r="E253" t="s">
        <v>28</v>
      </c>
      <c r="F253" t="s">
        <v>1594</v>
      </c>
      <c r="G253" t="s">
        <v>1595</v>
      </c>
      <c r="H253" t="s">
        <v>2096</v>
      </c>
      <c r="I253" t="s">
        <v>2605</v>
      </c>
      <c r="J253" t="s">
        <v>2093</v>
      </c>
    </row>
    <row r="254" spans="1:10" x14ac:dyDescent="0.25">
      <c r="A254" t="s">
        <v>594</v>
      </c>
      <c r="B254" t="s">
        <v>239</v>
      </c>
      <c r="C254" t="s">
        <v>595</v>
      </c>
      <c r="D254" t="s">
        <v>52</v>
      </c>
      <c r="E254" t="s">
        <v>20</v>
      </c>
      <c r="F254" t="s">
        <v>1596</v>
      </c>
      <c r="G254" t="s">
        <v>1597</v>
      </c>
      <c r="H254" t="s">
        <v>2087</v>
      </c>
      <c r="I254" t="s">
        <v>2607</v>
      </c>
      <c r="J254" t="s">
        <v>2108</v>
      </c>
    </row>
    <row r="255" spans="1:10" x14ac:dyDescent="0.25">
      <c r="A255" t="s">
        <v>596</v>
      </c>
      <c r="B255" t="s">
        <v>597</v>
      </c>
      <c r="C255" t="s">
        <v>598</v>
      </c>
      <c r="D255" t="s">
        <v>8</v>
      </c>
      <c r="E255" t="s">
        <v>56</v>
      </c>
      <c r="F255" t="s">
        <v>1598</v>
      </c>
      <c r="G255" t="s">
        <v>1599</v>
      </c>
      <c r="H255" t="s">
        <v>2087</v>
      </c>
      <c r="I255" t="s">
        <v>2609</v>
      </c>
      <c r="J255" t="s">
        <v>2108</v>
      </c>
    </row>
    <row r="256" spans="1:10" x14ac:dyDescent="0.25">
      <c r="A256" t="s">
        <v>599</v>
      </c>
      <c r="B256" t="s">
        <v>70</v>
      </c>
      <c r="C256" t="s">
        <v>600</v>
      </c>
      <c r="D256" t="s">
        <v>35</v>
      </c>
      <c r="E256" t="s">
        <v>42</v>
      </c>
      <c r="F256" t="s">
        <v>1600</v>
      </c>
      <c r="G256" t="s">
        <v>1601</v>
      </c>
      <c r="H256" t="s">
        <v>2087</v>
      </c>
      <c r="I256" t="s">
        <v>2611</v>
      </c>
      <c r="J256" t="s">
        <v>2104</v>
      </c>
    </row>
    <row r="257" spans="1:10" x14ac:dyDescent="0.25">
      <c r="A257" t="s">
        <v>601</v>
      </c>
      <c r="B257" t="s">
        <v>102</v>
      </c>
      <c r="C257" t="s">
        <v>602</v>
      </c>
      <c r="D257" t="s">
        <v>52</v>
      </c>
      <c r="E257" t="s">
        <v>28</v>
      </c>
      <c r="F257" t="s">
        <v>1602</v>
      </c>
      <c r="G257" t="s">
        <v>1603</v>
      </c>
      <c r="H257" t="s">
        <v>2096</v>
      </c>
      <c r="I257" t="s">
        <v>2613</v>
      </c>
      <c r="J257" t="s">
        <v>2108</v>
      </c>
    </row>
    <row r="258" spans="1:10" x14ac:dyDescent="0.25">
      <c r="A258" t="s">
        <v>603</v>
      </c>
      <c r="B258" t="s">
        <v>114</v>
      </c>
      <c r="C258" t="s">
        <v>604</v>
      </c>
      <c r="D258" t="s">
        <v>52</v>
      </c>
      <c r="E258" t="s">
        <v>16</v>
      </c>
      <c r="F258" t="s">
        <v>1604</v>
      </c>
      <c r="G258" t="s">
        <v>1605</v>
      </c>
      <c r="H258" t="s">
        <v>2096</v>
      </c>
      <c r="I258" t="s">
        <v>2546</v>
      </c>
      <c r="J258" t="s">
        <v>2089</v>
      </c>
    </row>
    <row r="259" spans="1:10" x14ac:dyDescent="0.25">
      <c r="A259" t="s">
        <v>605</v>
      </c>
      <c r="B259" t="s">
        <v>189</v>
      </c>
      <c r="C259" t="s">
        <v>606</v>
      </c>
      <c r="D259" t="s">
        <v>8</v>
      </c>
      <c r="E259" t="s">
        <v>13</v>
      </c>
      <c r="F259" t="s">
        <v>1606</v>
      </c>
      <c r="G259" t="s">
        <v>1607</v>
      </c>
      <c r="H259" t="s">
        <v>2096</v>
      </c>
      <c r="I259" t="s">
        <v>2616</v>
      </c>
      <c r="J259" t="s">
        <v>2089</v>
      </c>
    </row>
    <row r="260" spans="1:10" x14ac:dyDescent="0.25">
      <c r="A260" t="s">
        <v>607</v>
      </c>
      <c r="B260" t="s">
        <v>608</v>
      </c>
      <c r="C260" t="s">
        <v>609</v>
      </c>
      <c r="D260" t="s">
        <v>8</v>
      </c>
      <c r="E260" t="s">
        <v>20</v>
      </c>
      <c r="F260" t="s">
        <v>1608</v>
      </c>
      <c r="G260" t="s">
        <v>1609</v>
      </c>
      <c r="H260" t="s">
        <v>2087</v>
      </c>
      <c r="I260" t="s">
        <v>2618</v>
      </c>
      <c r="J260" t="s">
        <v>2093</v>
      </c>
    </row>
    <row r="261" spans="1:10" x14ac:dyDescent="0.25">
      <c r="A261" t="s">
        <v>610</v>
      </c>
      <c r="B261" t="s">
        <v>102</v>
      </c>
      <c r="C261" t="s">
        <v>611</v>
      </c>
      <c r="D261" t="s">
        <v>52</v>
      </c>
      <c r="E261" t="s">
        <v>16</v>
      </c>
      <c r="F261" t="s">
        <v>1610</v>
      </c>
      <c r="G261" t="s">
        <v>1611</v>
      </c>
      <c r="H261" t="s">
        <v>2087</v>
      </c>
      <c r="I261" t="s">
        <v>2620</v>
      </c>
      <c r="J261" t="s">
        <v>2104</v>
      </c>
    </row>
    <row r="262" spans="1:10" x14ac:dyDescent="0.25">
      <c r="A262" t="s">
        <v>612</v>
      </c>
      <c r="B262" t="s">
        <v>119</v>
      </c>
      <c r="C262" t="s">
        <v>613</v>
      </c>
      <c r="D262" t="s">
        <v>35</v>
      </c>
      <c r="E262" t="s">
        <v>20</v>
      </c>
      <c r="F262" t="s">
        <v>1612</v>
      </c>
      <c r="G262" t="s">
        <v>1613</v>
      </c>
      <c r="H262" t="s">
        <v>2096</v>
      </c>
      <c r="I262" t="s">
        <v>2622</v>
      </c>
      <c r="J262" t="s">
        <v>2093</v>
      </c>
    </row>
    <row r="263" spans="1:10" x14ac:dyDescent="0.25">
      <c r="A263" t="s">
        <v>614</v>
      </c>
      <c r="B263" t="s">
        <v>155</v>
      </c>
      <c r="C263" t="s">
        <v>615</v>
      </c>
      <c r="D263" t="s">
        <v>35</v>
      </c>
      <c r="E263" t="s">
        <v>42</v>
      </c>
      <c r="F263" t="s">
        <v>1614</v>
      </c>
      <c r="G263" t="s">
        <v>1615</v>
      </c>
      <c r="H263" t="s">
        <v>2087</v>
      </c>
      <c r="I263" t="s">
        <v>2624</v>
      </c>
      <c r="J263" t="s">
        <v>2093</v>
      </c>
    </row>
    <row r="264" spans="1:10" x14ac:dyDescent="0.25">
      <c r="A264" t="s">
        <v>616</v>
      </c>
      <c r="B264" t="s">
        <v>90</v>
      </c>
      <c r="C264" t="s">
        <v>617</v>
      </c>
      <c r="D264" t="s">
        <v>35</v>
      </c>
      <c r="E264" t="s">
        <v>42</v>
      </c>
      <c r="F264" t="s">
        <v>1616</v>
      </c>
      <c r="G264" t="s">
        <v>1617</v>
      </c>
      <c r="H264" t="s">
        <v>2087</v>
      </c>
      <c r="I264" t="s">
        <v>2626</v>
      </c>
      <c r="J264" t="s">
        <v>2104</v>
      </c>
    </row>
    <row r="265" spans="1:10" x14ac:dyDescent="0.25">
      <c r="A265" t="s">
        <v>618</v>
      </c>
      <c r="B265" t="s">
        <v>33</v>
      </c>
      <c r="C265" t="s">
        <v>619</v>
      </c>
      <c r="D265" t="s">
        <v>52</v>
      </c>
      <c r="E265" t="s">
        <v>28</v>
      </c>
      <c r="F265" t="s">
        <v>1618</v>
      </c>
      <c r="G265" t="s">
        <v>1619</v>
      </c>
      <c r="H265" t="s">
        <v>2096</v>
      </c>
      <c r="I265" t="s">
        <v>2628</v>
      </c>
      <c r="J265" t="s">
        <v>2093</v>
      </c>
    </row>
    <row r="266" spans="1:10" x14ac:dyDescent="0.25">
      <c r="A266" t="s">
        <v>620</v>
      </c>
      <c r="B266" t="s">
        <v>64</v>
      </c>
      <c r="C266" t="s">
        <v>621</v>
      </c>
      <c r="D266" t="s">
        <v>8</v>
      </c>
      <c r="E266" t="s">
        <v>24</v>
      </c>
      <c r="F266" t="s">
        <v>1620</v>
      </c>
      <c r="G266" t="s">
        <v>1621</v>
      </c>
      <c r="H266" t="s">
        <v>2087</v>
      </c>
      <c r="I266" t="s">
        <v>2630</v>
      </c>
      <c r="J266" t="s">
        <v>2108</v>
      </c>
    </row>
    <row r="267" spans="1:10" x14ac:dyDescent="0.25">
      <c r="A267" t="s">
        <v>622</v>
      </c>
      <c r="B267" t="s">
        <v>93</v>
      </c>
      <c r="C267" t="s">
        <v>623</v>
      </c>
      <c r="D267" t="s">
        <v>35</v>
      </c>
      <c r="E267" t="s">
        <v>56</v>
      </c>
      <c r="F267" t="s">
        <v>1622</v>
      </c>
      <c r="G267" t="s">
        <v>1623</v>
      </c>
      <c r="H267" t="s">
        <v>2096</v>
      </c>
      <c r="I267" t="s">
        <v>2632</v>
      </c>
      <c r="J267" t="s">
        <v>2108</v>
      </c>
    </row>
    <row r="268" spans="1:10" x14ac:dyDescent="0.25">
      <c r="A268" t="s">
        <v>624</v>
      </c>
      <c r="B268" t="s">
        <v>67</v>
      </c>
      <c r="C268" t="s">
        <v>625</v>
      </c>
      <c r="D268" t="s">
        <v>35</v>
      </c>
      <c r="E268" t="s">
        <v>56</v>
      </c>
      <c r="F268" t="s">
        <v>1624</v>
      </c>
      <c r="G268" t="s">
        <v>1625</v>
      </c>
      <c r="H268" t="s">
        <v>2087</v>
      </c>
      <c r="I268" t="s">
        <v>2634</v>
      </c>
      <c r="J268" t="s">
        <v>2093</v>
      </c>
    </row>
    <row r="269" spans="1:10" x14ac:dyDescent="0.25">
      <c r="A269" t="s">
        <v>626</v>
      </c>
      <c r="B269" t="s">
        <v>275</v>
      </c>
      <c r="C269" t="s">
        <v>627</v>
      </c>
      <c r="D269" t="s">
        <v>35</v>
      </c>
      <c r="E269" t="s">
        <v>9</v>
      </c>
      <c r="F269" t="s">
        <v>1626</v>
      </c>
      <c r="G269" t="s">
        <v>1627</v>
      </c>
      <c r="H269" t="s">
        <v>2096</v>
      </c>
      <c r="I269" t="s">
        <v>2636</v>
      </c>
      <c r="J269" t="s">
        <v>2093</v>
      </c>
    </row>
    <row r="270" spans="1:10" x14ac:dyDescent="0.25">
      <c r="A270" t="s">
        <v>628</v>
      </c>
      <c r="B270" t="s">
        <v>18</v>
      </c>
      <c r="C270" t="s">
        <v>629</v>
      </c>
      <c r="D270" t="s">
        <v>52</v>
      </c>
      <c r="E270" t="s">
        <v>20</v>
      </c>
      <c r="F270" t="s">
        <v>1628</v>
      </c>
      <c r="G270" t="s">
        <v>1629</v>
      </c>
      <c r="H270" t="s">
        <v>2096</v>
      </c>
      <c r="I270" t="s">
        <v>2638</v>
      </c>
      <c r="J270" t="s">
        <v>2093</v>
      </c>
    </row>
    <row r="271" spans="1:10" x14ac:dyDescent="0.25">
      <c r="A271" t="s">
        <v>630</v>
      </c>
      <c r="B271" t="s">
        <v>61</v>
      </c>
      <c r="C271" t="s">
        <v>631</v>
      </c>
      <c r="D271" t="s">
        <v>52</v>
      </c>
      <c r="E271" t="s">
        <v>24</v>
      </c>
      <c r="F271" t="s">
        <v>1630</v>
      </c>
      <c r="G271" t="s">
        <v>1631</v>
      </c>
      <c r="H271" t="s">
        <v>2096</v>
      </c>
      <c r="I271" t="s">
        <v>2640</v>
      </c>
      <c r="J271" t="s">
        <v>2108</v>
      </c>
    </row>
    <row r="272" spans="1:10" x14ac:dyDescent="0.25">
      <c r="A272" t="s">
        <v>632</v>
      </c>
      <c r="B272" t="s">
        <v>44</v>
      </c>
      <c r="C272" t="s">
        <v>633</v>
      </c>
      <c r="D272" t="s">
        <v>35</v>
      </c>
      <c r="E272" t="s">
        <v>9</v>
      </c>
      <c r="F272" t="s">
        <v>1632</v>
      </c>
      <c r="G272" t="s">
        <v>1633</v>
      </c>
      <c r="H272" t="s">
        <v>2087</v>
      </c>
      <c r="I272" t="s">
        <v>2355</v>
      </c>
      <c r="J272" t="s">
        <v>2108</v>
      </c>
    </row>
    <row r="273" spans="1:10" x14ac:dyDescent="0.25">
      <c r="A273" t="s">
        <v>634</v>
      </c>
      <c r="B273" t="s">
        <v>608</v>
      </c>
      <c r="C273" t="s">
        <v>635</v>
      </c>
      <c r="D273" t="s">
        <v>35</v>
      </c>
      <c r="E273" t="s">
        <v>16</v>
      </c>
      <c r="F273" t="s">
        <v>1634</v>
      </c>
      <c r="G273" t="s">
        <v>1635</v>
      </c>
      <c r="H273" t="s">
        <v>2087</v>
      </c>
      <c r="I273" t="s">
        <v>2643</v>
      </c>
      <c r="J273" t="s">
        <v>2104</v>
      </c>
    </row>
    <row r="274" spans="1:10" x14ac:dyDescent="0.25">
      <c r="A274" t="s">
        <v>636</v>
      </c>
      <c r="B274" t="s">
        <v>224</v>
      </c>
      <c r="C274" t="s">
        <v>637</v>
      </c>
      <c r="D274" t="s">
        <v>52</v>
      </c>
      <c r="E274" t="s">
        <v>56</v>
      </c>
      <c r="F274" t="s">
        <v>1636</v>
      </c>
      <c r="G274" t="s">
        <v>1637</v>
      </c>
      <c r="H274" t="s">
        <v>2096</v>
      </c>
      <c r="I274" t="s">
        <v>2645</v>
      </c>
      <c r="J274" t="s">
        <v>2104</v>
      </c>
    </row>
    <row r="275" spans="1:10" x14ac:dyDescent="0.25">
      <c r="A275" t="s">
        <v>638</v>
      </c>
      <c r="B275" t="s">
        <v>216</v>
      </c>
      <c r="C275" t="s">
        <v>639</v>
      </c>
      <c r="D275" t="s">
        <v>35</v>
      </c>
      <c r="E275" t="s">
        <v>56</v>
      </c>
      <c r="F275" t="s">
        <v>1638</v>
      </c>
      <c r="G275" t="s">
        <v>1639</v>
      </c>
      <c r="H275" t="s">
        <v>2087</v>
      </c>
      <c r="I275" t="s">
        <v>2647</v>
      </c>
      <c r="J275" t="s">
        <v>2108</v>
      </c>
    </row>
    <row r="276" spans="1:10" x14ac:dyDescent="0.25">
      <c r="A276" t="s">
        <v>640</v>
      </c>
      <c r="B276" t="s">
        <v>152</v>
      </c>
      <c r="C276" t="s">
        <v>641</v>
      </c>
      <c r="D276" t="s">
        <v>35</v>
      </c>
      <c r="E276" t="s">
        <v>20</v>
      </c>
      <c r="F276" t="s">
        <v>1640</v>
      </c>
      <c r="G276" t="s">
        <v>1641</v>
      </c>
      <c r="H276" t="s">
        <v>2087</v>
      </c>
      <c r="I276" t="s">
        <v>2649</v>
      </c>
      <c r="J276" t="s">
        <v>2108</v>
      </c>
    </row>
    <row r="277" spans="1:10" x14ac:dyDescent="0.25">
      <c r="A277" t="s">
        <v>642</v>
      </c>
      <c r="B277" t="s">
        <v>173</v>
      </c>
      <c r="C277" t="s">
        <v>643</v>
      </c>
      <c r="D277" t="s">
        <v>52</v>
      </c>
      <c r="E277" t="s">
        <v>56</v>
      </c>
      <c r="F277" t="s">
        <v>1642</v>
      </c>
      <c r="G277" t="s">
        <v>1643</v>
      </c>
      <c r="H277" t="s">
        <v>2096</v>
      </c>
      <c r="I277" t="s">
        <v>2651</v>
      </c>
      <c r="J277" t="s">
        <v>2089</v>
      </c>
    </row>
    <row r="278" spans="1:10" x14ac:dyDescent="0.25">
      <c r="A278" t="s">
        <v>644</v>
      </c>
      <c r="B278" t="s">
        <v>396</v>
      </c>
      <c r="C278" t="s">
        <v>645</v>
      </c>
      <c r="D278" t="s">
        <v>35</v>
      </c>
      <c r="E278" t="s">
        <v>28</v>
      </c>
      <c r="F278" t="s">
        <v>1644</v>
      </c>
      <c r="G278" t="s">
        <v>1645</v>
      </c>
      <c r="H278" t="s">
        <v>2096</v>
      </c>
      <c r="I278" t="s">
        <v>2653</v>
      </c>
      <c r="J278" t="s">
        <v>2104</v>
      </c>
    </row>
    <row r="279" spans="1:10" x14ac:dyDescent="0.25">
      <c r="A279" t="s">
        <v>646</v>
      </c>
      <c r="B279" t="s">
        <v>37</v>
      </c>
      <c r="C279" t="s">
        <v>647</v>
      </c>
      <c r="D279" t="s">
        <v>52</v>
      </c>
      <c r="E279" t="s">
        <v>16</v>
      </c>
      <c r="F279" t="s">
        <v>1646</v>
      </c>
      <c r="G279" t="s">
        <v>1647</v>
      </c>
      <c r="H279" t="s">
        <v>2087</v>
      </c>
      <c r="I279" t="s">
        <v>2655</v>
      </c>
      <c r="J279" t="s">
        <v>2108</v>
      </c>
    </row>
    <row r="280" spans="1:10" x14ac:dyDescent="0.25">
      <c r="A280" t="s">
        <v>648</v>
      </c>
      <c r="B280" t="s">
        <v>263</v>
      </c>
      <c r="C280" t="s">
        <v>649</v>
      </c>
      <c r="D280" t="s">
        <v>52</v>
      </c>
      <c r="E280" t="s">
        <v>16</v>
      </c>
      <c r="F280" t="s">
        <v>1648</v>
      </c>
      <c r="G280" t="s">
        <v>1649</v>
      </c>
      <c r="H280" t="s">
        <v>2096</v>
      </c>
      <c r="I280" t="s">
        <v>2657</v>
      </c>
      <c r="J280" t="s">
        <v>2089</v>
      </c>
    </row>
    <row r="281" spans="1:10" x14ac:dyDescent="0.25">
      <c r="A281" t="s">
        <v>650</v>
      </c>
      <c r="B281" t="s">
        <v>76</v>
      </c>
      <c r="C281" t="s">
        <v>651</v>
      </c>
      <c r="D281" t="s">
        <v>52</v>
      </c>
      <c r="E281" t="s">
        <v>9</v>
      </c>
      <c r="F281" t="s">
        <v>1650</v>
      </c>
      <c r="G281" t="s">
        <v>1651</v>
      </c>
      <c r="H281" t="s">
        <v>2087</v>
      </c>
      <c r="I281" t="s">
        <v>2659</v>
      </c>
      <c r="J281" t="s">
        <v>2108</v>
      </c>
    </row>
    <row r="282" spans="1:10" x14ac:dyDescent="0.25">
      <c r="A282" t="s">
        <v>652</v>
      </c>
      <c r="B282" t="s">
        <v>216</v>
      </c>
      <c r="C282" t="s">
        <v>653</v>
      </c>
      <c r="D282" t="s">
        <v>52</v>
      </c>
      <c r="E282" t="s">
        <v>42</v>
      </c>
      <c r="F282" t="s">
        <v>1652</v>
      </c>
      <c r="G282" t="s">
        <v>1653</v>
      </c>
      <c r="H282" t="s">
        <v>2096</v>
      </c>
      <c r="I282" t="s">
        <v>2661</v>
      </c>
      <c r="J282" t="s">
        <v>2093</v>
      </c>
    </row>
    <row r="283" spans="1:10" x14ac:dyDescent="0.25">
      <c r="A283" t="s">
        <v>654</v>
      </c>
      <c r="B283" t="s">
        <v>102</v>
      </c>
      <c r="C283" t="s">
        <v>655</v>
      </c>
      <c r="D283" t="s">
        <v>52</v>
      </c>
      <c r="E283" t="s">
        <v>28</v>
      </c>
      <c r="F283" t="s">
        <v>1654</v>
      </c>
      <c r="G283" t="s">
        <v>1655</v>
      </c>
      <c r="H283" t="s">
        <v>2087</v>
      </c>
      <c r="I283" t="s">
        <v>2663</v>
      </c>
      <c r="J283" t="s">
        <v>2108</v>
      </c>
    </row>
    <row r="284" spans="1:10" x14ac:dyDescent="0.25">
      <c r="A284" t="s">
        <v>656</v>
      </c>
      <c r="B284" t="s">
        <v>129</v>
      </c>
      <c r="C284" t="s">
        <v>657</v>
      </c>
      <c r="D284" t="s">
        <v>35</v>
      </c>
      <c r="E284" t="s">
        <v>16</v>
      </c>
      <c r="F284" t="s">
        <v>1656</v>
      </c>
      <c r="G284" t="s">
        <v>1657</v>
      </c>
      <c r="H284" t="s">
        <v>2096</v>
      </c>
      <c r="I284" t="s">
        <v>2665</v>
      </c>
      <c r="J284" t="s">
        <v>2093</v>
      </c>
    </row>
    <row r="285" spans="1:10" x14ac:dyDescent="0.25">
      <c r="A285" t="s">
        <v>658</v>
      </c>
      <c r="B285" t="s">
        <v>90</v>
      </c>
      <c r="C285" t="s">
        <v>659</v>
      </c>
      <c r="D285" t="s">
        <v>8</v>
      </c>
      <c r="E285" t="s">
        <v>42</v>
      </c>
      <c r="F285" t="s">
        <v>1658</v>
      </c>
      <c r="G285" t="s">
        <v>1659</v>
      </c>
      <c r="H285" t="s">
        <v>2096</v>
      </c>
      <c r="I285" t="s">
        <v>2667</v>
      </c>
      <c r="J285" t="s">
        <v>2093</v>
      </c>
    </row>
    <row r="286" spans="1:10" x14ac:dyDescent="0.25">
      <c r="A286" t="s">
        <v>660</v>
      </c>
      <c r="B286" t="s">
        <v>61</v>
      </c>
      <c r="C286" t="s">
        <v>661</v>
      </c>
      <c r="D286" t="s">
        <v>52</v>
      </c>
      <c r="E286" t="s">
        <v>42</v>
      </c>
      <c r="F286" t="s">
        <v>1660</v>
      </c>
      <c r="G286" t="s">
        <v>1661</v>
      </c>
      <c r="H286" t="s">
        <v>2096</v>
      </c>
      <c r="I286" t="s">
        <v>2669</v>
      </c>
      <c r="J286" t="s">
        <v>2089</v>
      </c>
    </row>
    <row r="287" spans="1:10" x14ac:dyDescent="0.25">
      <c r="A287" t="s">
        <v>662</v>
      </c>
      <c r="B287" t="s">
        <v>40</v>
      </c>
      <c r="C287" t="s">
        <v>663</v>
      </c>
      <c r="D287" t="s">
        <v>35</v>
      </c>
      <c r="E287" t="s">
        <v>28</v>
      </c>
      <c r="F287" t="s">
        <v>1662</v>
      </c>
      <c r="G287" t="s">
        <v>1663</v>
      </c>
      <c r="H287" t="s">
        <v>2087</v>
      </c>
      <c r="I287" t="s">
        <v>2671</v>
      </c>
      <c r="J287" t="s">
        <v>2104</v>
      </c>
    </row>
    <row r="288" spans="1:10" x14ac:dyDescent="0.25">
      <c r="A288" t="s">
        <v>664</v>
      </c>
      <c r="B288" t="s">
        <v>160</v>
      </c>
      <c r="C288" t="s">
        <v>665</v>
      </c>
      <c r="D288" t="s">
        <v>8</v>
      </c>
      <c r="E288" t="s">
        <v>24</v>
      </c>
      <c r="F288" t="s">
        <v>1664</v>
      </c>
      <c r="G288" t="s">
        <v>1665</v>
      </c>
      <c r="H288" t="s">
        <v>2087</v>
      </c>
      <c r="I288" t="s">
        <v>2673</v>
      </c>
      <c r="J288" t="s">
        <v>2089</v>
      </c>
    </row>
    <row r="289" spans="1:10" x14ac:dyDescent="0.25">
      <c r="A289" t="s">
        <v>666</v>
      </c>
      <c r="B289" t="s">
        <v>396</v>
      </c>
      <c r="C289" t="s">
        <v>667</v>
      </c>
      <c r="D289" t="s">
        <v>52</v>
      </c>
      <c r="E289" t="s">
        <v>24</v>
      </c>
      <c r="F289" t="s">
        <v>1666</v>
      </c>
      <c r="G289" t="s">
        <v>1667</v>
      </c>
      <c r="H289" t="s">
        <v>2087</v>
      </c>
      <c r="I289" t="s">
        <v>2235</v>
      </c>
      <c r="J289" t="s">
        <v>2093</v>
      </c>
    </row>
    <row r="290" spans="1:10" x14ac:dyDescent="0.25">
      <c r="A290" t="s">
        <v>668</v>
      </c>
      <c r="B290" t="s">
        <v>87</v>
      </c>
      <c r="C290" t="s">
        <v>669</v>
      </c>
      <c r="D290" t="s">
        <v>35</v>
      </c>
      <c r="E290" t="s">
        <v>42</v>
      </c>
      <c r="F290" t="s">
        <v>1668</v>
      </c>
      <c r="G290" t="s">
        <v>1669</v>
      </c>
      <c r="H290" t="s">
        <v>2096</v>
      </c>
      <c r="I290" t="s">
        <v>2676</v>
      </c>
      <c r="J290" t="s">
        <v>2104</v>
      </c>
    </row>
    <row r="291" spans="1:10" x14ac:dyDescent="0.25">
      <c r="A291" t="s">
        <v>670</v>
      </c>
      <c r="B291" t="s">
        <v>67</v>
      </c>
      <c r="C291" t="s">
        <v>671</v>
      </c>
      <c r="D291" t="s">
        <v>35</v>
      </c>
      <c r="E291" t="s">
        <v>56</v>
      </c>
      <c r="F291" t="s">
        <v>1670</v>
      </c>
      <c r="G291" t="s">
        <v>1671</v>
      </c>
      <c r="H291" t="s">
        <v>2096</v>
      </c>
      <c r="I291" t="s">
        <v>2678</v>
      </c>
      <c r="J291" t="s">
        <v>2104</v>
      </c>
    </row>
    <row r="292" spans="1:10" x14ac:dyDescent="0.25">
      <c r="A292" t="s">
        <v>672</v>
      </c>
      <c r="B292" t="s">
        <v>608</v>
      </c>
      <c r="C292" t="s">
        <v>673</v>
      </c>
      <c r="D292" t="s">
        <v>35</v>
      </c>
      <c r="E292" t="s">
        <v>20</v>
      </c>
      <c r="F292" t="s">
        <v>1672</v>
      </c>
      <c r="G292" t="s">
        <v>1673</v>
      </c>
      <c r="H292" t="s">
        <v>2096</v>
      </c>
      <c r="I292" t="s">
        <v>2680</v>
      </c>
      <c r="J292" t="s">
        <v>2108</v>
      </c>
    </row>
    <row r="293" spans="1:10" x14ac:dyDescent="0.25">
      <c r="A293" t="s">
        <v>674</v>
      </c>
      <c r="B293" t="s">
        <v>111</v>
      </c>
      <c r="C293" t="s">
        <v>675</v>
      </c>
      <c r="D293" t="s">
        <v>52</v>
      </c>
      <c r="E293" t="s">
        <v>42</v>
      </c>
      <c r="F293" t="s">
        <v>1674</v>
      </c>
      <c r="G293" t="s">
        <v>1675</v>
      </c>
      <c r="H293" t="s">
        <v>2087</v>
      </c>
      <c r="I293" t="s">
        <v>2325</v>
      </c>
      <c r="J293" t="s">
        <v>2108</v>
      </c>
    </row>
    <row r="294" spans="1:10" x14ac:dyDescent="0.25">
      <c r="A294" t="s">
        <v>676</v>
      </c>
      <c r="B294" t="s">
        <v>30</v>
      </c>
      <c r="C294" t="s">
        <v>677</v>
      </c>
      <c r="D294" t="s">
        <v>52</v>
      </c>
      <c r="E294" t="s">
        <v>9</v>
      </c>
      <c r="F294" t="s">
        <v>1676</v>
      </c>
      <c r="G294" t="s">
        <v>1677</v>
      </c>
      <c r="H294" t="s">
        <v>2096</v>
      </c>
      <c r="I294" t="s">
        <v>2683</v>
      </c>
      <c r="J294" t="s">
        <v>2089</v>
      </c>
    </row>
    <row r="295" spans="1:10" x14ac:dyDescent="0.25">
      <c r="A295" t="s">
        <v>678</v>
      </c>
      <c r="B295" t="s">
        <v>499</v>
      </c>
      <c r="C295" t="s">
        <v>679</v>
      </c>
      <c r="D295" t="s">
        <v>8</v>
      </c>
      <c r="E295" t="s">
        <v>24</v>
      </c>
      <c r="F295" t="s">
        <v>1678</v>
      </c>
      <c r="G295" t="s">
        <v>1679</v>
      </c>
      <c r="H295" t="s">
        <v>2096</v>
      </c>
      <c r="I295" t="s">
        <v>2649</v>
      </c>
      <c r="J295" t="s">
        <v>2104</v>
      </c>
    </row>
    <row r="296" spans="1:10" x14ac:dyDescent="0.25">
      <c r="A296" t="s">
        <v>680</v>
      </c>
      <c r="B296" t="s">
        <v>173</v>
      </c>
      <c r="C296" t="s">
        <v>681</v>
      </c>
      <c r="D296" t="s">
        <v>8</v>
      </c>
      <c r="E296" t="s">
        <v>56</v>
      </c>
      <c r="F296" t="s">
        <v>1680</v>
      </c>
      <c r="G296" t="s">
        <v>1681</v>
      </c>
      <c r="H296" t="s">
        <v>2096</v>
      </c>
      <c r="I296" t="s">
        <v>2686</v>
      </c>
      <c r="J296" t="s">
        <v>2104</v>
      </c>
    </row>
    <row r="297" spans="1:10" x14ac:dyDescent="0.25">
      <c r="A297" t="s">
        <v>682</v>
      </c>
      <c r="B297" t="s">
        <v>170</v>
      </c>
      <c r="C297" t="s">
        <v>683</v>
      </c>
      <c r="D297" t="s">
        <v>8</v>
      </c>
      <c r="E297" t="s">
        <v>28</v>
      </c>
      <c r="F297" t="s">
        <v>1682</v>
      </c>
      <c r="G297" t="s">
        <v>1683</v>
      </c>
      <c r="H297" t="s">
        <v>2087</v>
      </c>
      <c r="I297" t="s">
        <v>2688</v>
      </c>
      <c r="J297" t="s">
        <v>2089</v>
      </c>
    </row>
    <row r="298" spans="1:10" x14ac:dyDescent="0.25">
      <c r="A298" t="s">
        <v>684</v>
      </c>
      <c r="B298" t="s">
        <v>387</v>
      </c>
      <c r="C298" t="s">
        <v>685</v>
      </c>
      <c r="D298" t="s">
        <v>8</v>
      </c>
      <c r="E298" t="s">
        <v>13</v>
      </c>
      <c r="F298" t="s">
        <v>1684</v>
      </c>
      <c r="G298" t="s">
        <v>1685</v>
      </c>
      <c r="H298" t="s">
        <v>2096</v>
      </c>
      <c r="I298" t="s">
        <v>2573</v>
      </c>
      <c r="J298" t="s">
        <v>2108</v>
      </c>
    </row>
    <row r="299" spans="1:10" x14ac:dyDescent="0.25">
      <c r="A299" t="s">
        <v>686</v>
      </c>
      <c r="B299" t="s">
        <v>90</v>
      </c>
      <c r="C299" t="s">
        <v>687</v>
      </c>
      <c r="D299" t="s">
        <v>35</v>
      </c>
      <c r="E299" t="s">
        <v>16</v>
      </c>
      <c r="F299" t="s">
        <v>1686</v>
      </c>
      <c r="G299" t="s">
        <v>1687</v>
      </c>
      <c r="H299" t="s">
        <v>2087</v>
      </c>
      <c r="I299" t="s">
        <v>2691</v>
      </c>
      <c r="J299" t="s">
        <v>2108</v>
      </c>
    </row>
    <row r="300" spans="1:10" x14ac:dyDescent="0.25">
      <c r="A300" t="s">
        <v>688</v>
      </c>
      <c r="B300" t="s">
        <v>18</v>
      </c>
      <c r="C300" t="s">
        <v>689</v>
      </c>
      <c r="D300" t="s">
        <v>8</v>
      </c>
      <c r="E300" t="s">
        <v>9</v>
      </c>
      <c r="F300" t="s">
        <v>1688</v>
      </c>
      <c r="G300" t="s">
        <v>1689</v>
      </c>
      <c r="H300" t="s">
        <v>2087</v>
      </c>
      <c r="I300" t="s">
        <v>2693</v>
      </c>
      <c r="J300" t="s">
        <v>2108</v>
      </c>
    </row>
    <row r="301" spans="1:10" x14ac:dyDescent="0.25">
      <c r="A301" t="s">
        <v>690</v>
      </c>
      <c r="B301" t="s">
        <v>84</v>
      </c>
      <c r="C301" t="s">
        <v>691</v>
      </c>
      <c r="D301" t="s">
        <v>8</v>
      </c>
      <c r="E301" t="s">
        <v>20</v>
      </c>
      <c r="F301" t="s">
        <v>1690</v>
      </c>
      <c r="G301" t="s">
        <v>1691</v>
      </c>
      <c r="H301" t="s">
        <v>2087</v>
      </c>
      <c r="I301" t="s">
        <v>2695</v>
      </c>
      <c r="J301" t="s">
        <v>2104</v>
      </c>
    </row>
    <row r="302" spans="1:10" x14ac:dyDescent="0.25">
      <c r="A302" t="s">
        <v>692</v>
      </c>
      <c r="B302" t="s">
        <v>256</v>
      </c>
      <c r="C302" t="s">
        <v>693</v>
      </c>
      <c r="D302" t="s">
        <v>52</v>
      </c>
      <c r="E302" t="s">
        <v>9</v>
      </c>
      <c r="F302" t="s">
        <v>1692</v>
      </c>
      <c r="G302" t="s">
        <v>1693</v>
      </c>
      <c r="H302" t="s">
        <v>2087</v>
      </c>
      <c r="I302" t="s">
        <v>2697</v>
      </c>
      <c r="J302" t="s">
        <v>2108</v>
      </c>
    </row>
    <row r="303" spans="1:10" x14ac:dyDescent="0.25">
      <c r="A303" t="s">
        <v>694</v>
      </c>
      <c r="B303" t="s">
        <v>364</v>
      </c>
      <c r="C303" t="s">
        <v>695</v>
      </c>
      <c r="D303" t="s">
        <v>52</v>
      </c>
      <c r="E303" t="s">
        <v>9</v>
      </c>
      <c r="F303" t="s">
        <v>1694</v>
      </c>
      <c r="G303" t="s">
        <v>1695</v>
      </c>
      <c r="H303" t="s">
        <v>2087</v>
      </c>
      <c r="I303" t="s">
        <v>2699</v>
      </c>
      <c r="J303" t="s">
        <v>2089</v>
      </c>
    </row>
    <row r="304" spans="1:10" x14ac:dyDescent="0.25">
      <c r="A304" t="s">
        <v>696</v>
      </c>
      <c r="B304" t="s">
        <v>73</v>
      </c>
      <c r="C304" t="s">
        <v>697</v>
      </c>
      <c r="D304" t="s">
        <v>52</v>
      </c>
      <c r="E304" t="s">
        <v>16</v>
      </c>
      <c r="F304" t="s">
        <v>1696</v>
      </c>
      <c r="G304" t="s">
        <v>1697</v>
      </c>
      <c r="H304" t="s">
        <v>2096</v>
      </c>
      <c r="I304" t="s">
        <v>2172</v>
      </c>
      <c r="J304" t="s">
        <v>2093</v>
      </c>
    </row>
    <row r="305" spans="1:10" x14ac:dyDescent="0.25">
      <c r="A305" t="s">
        <v>698</v>
      </c>
      <c r="B305" t="s">
        <v>33</v>
      </c>
      <c r="C305" t="s">
        <v>699</v>
      </c>
      <c r="D305" t="s">
        <v>52</v>
      </c>
      <c r="E305" t="s">
        <v>13</v>
      </c>
      <c r="F305" t="s">
        <v>1698</v>
      </c>
      <c r="G305" t="s">
        <v>1699</v>
      </c>
      <c r="H305" t="s">
        <v>2096</v>
      </c>
      <c r="I305" t="s">
        <v>2702</v>
      </c>
      <c r="J305" t="s">
        <v>2104</v>
      </c>
    </row>
    <row r="306" spans="1:10" x14ac:dyDescent="0.25">
      <c r="A306" t="s">
        <v>700</v>
      </c>
      <c r="B306" t="s">
        <v>124</v>
      </c>
      <c r="C306" t="s">
        <v>701</v>
      </c>
      <c r="D306" t="s">
        <v>52</v>
      </c>
      <c r="E306" t="s">
        <v>16</v>
      </c>
      <c r="F306" t="s">
        <v>1700</v>
      </c>
      <c r="G306" t="s">
        <v>1701</v>
      </c>
      <c r="H306" t="s">
        <v>2087</v>
      </c>
      <c r="I306" t="s">
        <v>2542</v>
      </c>
      <c r="J306" t="s">
        <v>2104</v>
      </c>
    </row>
    <row r="307" spans="1:10" x14ac:dyDescent="0.25">
      <c r="A307" t="s">
        <v>702</v>
      </c>
      <c r="B307" t="s">
        <v>144</v>
      </c>
      <c r="C307" t="s">
        <v>703</v>
      </c>
      <c r="D307" t="s">
        <v>8</v>
      </c>
      <c r="E307" t="s">
        <v>56</v>
      </c>
      <c r="F307" t="s">
        <v>1702</v>
      </c>
      <c r="G307" t="s">
        <v>1703</v>
      </c>
      <c r="H307" t="s">
        <v>2087</v>
      </c>
      <c r="I307" t="s">
        <v>2705</v>
      </c>
      <c r="J307" t="s">
        <v>2089</v>
      </c>
    </row>
    <row r="308" spans="1:10" x14ac:dyDescent="0.25">
      <c r="A308" t="s">
        <v>704</v>
      </c>
      <c r="B308" t="s">
        <v>219</v>
      </c>
      <c r="C308" t="s">
        <v>705</v>
      </c>
      <c r="D308" t="s">
        <v>35</v>
      </c>
      <c r="E308" t="s">
        <v>56</v>
      </c>
      <c r="F308" t="s">
        <v>1704</v>
      </c>
      <c r="G308" t="s">
        <v>1705</v>
      </c>
      <c r="H308" t="s">
        <v>2096</v>
      </c>
      <c r="I308" t="s">
        <v>2707</v>
      </c>
      <c r="J308" t="s">
        <v>2089</v>
      </c>
    </row>
    <row r="309" spans="1:10" x14ac:dyDescent="0.25">
      <c r="A309" t="s">
        <v>706</v>
      </c>
      <c r="B309" t="s">
        <v>278</v>
      </c>
      <c r="C309" t="s">
        <v>707</v>
      </c>
      <c r="D309" t="s">
        <v>35</v>
      </c>
      <c r="E309" t="s">
        <v>20</v>
      </c>
      <c r="F309" t="s">
        <v>1706</v>
      </c>
      <c r="G309" t="s">
        <v>1707</v>
      </c>
      <c r="H309" t="s">
        <v>2096</v>
      </c>
      <c r="I309" t="s">
        <v>2709</v>
      </c>
      <c r="J309" t="s">
        <v>2089</v>
      </c>
    </row>
    <row r="310" spans="1:10" x14ac:dyDescent="0.25">
      <c r="A310" t="s">
        <v>708</v>
      </c>
      <c r="B310" t="s">
        <v>40</v>
      </c>
      <c r="C310" t="s">
        <v>709</v>
      </c>
      <c r="D310" t="s">
        <v>35</v>
      </c>
      <c r="E310" t="s">
        <v>28</v>
      </c>
      <c r="F310" t="s">
        <v>1708</v>
      </c>
      <c r="G310" t="s">
        <v>1709</v>
      </c>
      <c r="H310" t="s">
        <v>2087</v>
      </c>
      <c r="I310" t="s">
        <v>2711</v>
      </c>
      <c r="J310" t="s">
        <v>2089</v>
      </c>
    </row>
    <row r="311" spans="1:10" x14ac:dyDescent="0.25">
      <c r="A311" t="s">
        <v>710</v>
      </c>
      <c r="B311" t="s">
        <v>18</v>
      </c>
      <c r="C311" t="s">
        <v>711</v>
      </c>
      <c r="D311" t="s">
        <v>52</v>
      </c>
      <c r="E311" t="s">
        <v>13</v>
      </c>
      <c r="F311" t="s">
        <v>1710</v>
      </c>
      <c r="G311" t="s">
        <v>1711</v>
      </c>
      <c r="H311" t="s">
        <v>2087</v>
      </c>
      <c r="I311" t="s">
        <v>2713</v>
      </c>
      <c r="J311" t="s">
        <v>2093</v>
      </c>
    </row>
    <row r="312" spans="1:10" x14ac:dyDescent="0.25">
      <c r="A312" t="s">
        <v>712</v>
      </c>
      <c r="B312" t="s">
        <v>186</v>
      </c>
      <c r="C312" t="s">
        <v>713</v>
      </c>
      <c r="D312" t="s">
        <v>8</v>
      </c>
      <c r="E312" t="s">
        <v>28</v>
      </c>
      <c r="F312" t="s">
        <v>1712</v>
      </c>
      <c r="G312" t="s">
        <v>1713</v>
      </c>
      <c r="H312" t="s">
        <v>2087</v>
      </c>
      <c r="I312" t="s">
        <v>2715</v>
      </c>
      <c r="J312" t="s">
        <v>2089</v>
      </c>
    </row>
    <row r="313" spans="1:10" x14ac:dyDescent="0.25">
      <c r="A313" t="s">
        <v>714</v>
      </c>
      <c r="B313" t="s">
        <v>523</v>
      </c>
      <c r="C313" t="s">
        <v>715</v>
      </c>
      <c r="D313" t="s">
        <v>52</v>
      </c>
      <c r="E313" t="s">
        <v>56</v>
      </c>
      <c r="F313" t="s">
        <v>1714</v>
      </c>
      <c r="G313" t="s">
        <v>1715</v>
      </c>
      <c r="H313" t="s">
        <v>2096</v>
      </c>
      <c r="I313" t="s">
        <v>2143</v>
      </c>
      <c r="J313" t="s">
        <v>2104</v>
      </c>
    </row>
    <row r="314" spans="1:10" x14ac:dyDescent="0.25">
      <c r="A314" t="s">
        <v>716</v>
      </c>
      <c r="B314" t="s">
        <v>387</v>
      </c>
      <c r="C314" t="s">
        <v>717</v>
      </c>
      <c r="D314" t="s">
        <v>52</v>
      </c>
      <c r="E314" t="s">
        <v>56</v>
      </c>
      <c r="F314" t="s">
        <v>1716</v>
      </c>
      <c r="G314" t="s">
        <v>1717</v>
      </c>
      <c r="H314" t="s">
        <v>2087</v>
      </c>
      <c r="I314" t="s">
        <v>2718</v>
      </c>
      <c r="J314" t="s">
        <v>2104</v>
      </c>
    </row>
    <row r="315" spans="1:10" x14ac:dyDescent="0.25">
      <c r="A315" t="s">
        <v>718</v>
      </c>
      <c r="B315" t="s">
        <v>6</v>
      </c>
      <c r="C315" t="s">
        <v>719</v>
      </c>
      <c r="D315" t="s">
        <v>35</v>
      </c>
      <c r="E315" t="s">
        <v>16</v>
      </c>
      <c r="F315" t="s">
        <v>1718</v>
      </c>
      <c r="G315" t="s">
        <v>1719</v>
      </c>
      <c r="H315" t="s">
        <v>2087</v>
      </c>
      <c r="I315" t="s">
        <v>2559</v>
      </c>
      <c r="J315" t="s">
        <v>2093</v>
      </c>
    </row>
    <row r="316" spans="1:10" x14ac:dyDescent="0.25">
      <c r="A316" t="s">
        <v>720</v>
      </c>
      <c r="B316" t="s">
        <v>278</v>
      </c>
      <c r="C316" t="s">
        <v>721</v>
      </c>
      <c r="D316" t="s">
        <v>35</v>
      </c>
      <c r="E316" t="s">
        <v>20</v>
      </c>
      <c r="F316" t="s">
        <v>1720</v>
      </c>
      <c r="G316" t="s">
        <v>1721</v>
      </c>
      <c r="H316" t="s">
        <v>2087</v>
      </c>
      <c r="I316" t="s">
        <v>2721</v>
      </c>
      <c r="J316" t="s">
        <v>2108</v>
      </c>
    </row>
    <row r="317" spans="1:10" x14ac:dyDescent="0.25">
      <c r="A317" t="s">
        <v>722</v>
      </c>
      <c r="B317" t="s">
        <v>93</v>
      </c>
      <c r="C317" t="s">
        <v>723</v>
      </c>
      <c r="D317" t="s">
        <v>35</v>
      </c>
      <c r="E317" t="s">
        <v>20</v>
      </c>
      <c r="F317" t="s">
        <v>1722</v>
      </c>
      <c r="G317" t="s">
        <v>1723</v>
      </c>
      <c r="H317" t="s">
        <v>2096</v>
      </c>
      <c r="I317" t="s">
        <v>2723</v>
      </c>
      <c r="J317" t="s">
        <v>2108</v>
      </c>
    </row>
    <row r="318" spans="1:10" x14ac:dyDescent="0.25">
      <c r="A318" t="s">
        <v>724</v>
      </c>
      <c r="B318" t="s">
        <v>189</v>
      </c>
      <c r="C318" t="s">
        <v>725</v>
      </c>
      <c r="D318" t="s">
        <v>52</v>
      </c>
      <c r="E318" t="s">
        <v>24</v>
      </c>
      <c r="F318" t="s">
        <v>1724</v>
      </c>
      <c r="G318" t="s">
        <v>1725</v>
      </c>
      <c r="H318" t="s">
        <v>2087</v>
      </c>
      <c r="I318" t="s">
        <v>2725</v>
      </c>
      <c r="J318" t="s">
        <v>2089</v>
      </c>
    </row>
    <row r="319" spans="1:10" x14ac:dyDescent="0.25">
      <c r="A319" t="s">
        <v>726</v>
      </c>
      <c r="B319" t="s">
        <v>61</v>
      </c>
      <c r="C319" t="s">
        <v>727</v>
      </c>
      <c r="D319" t="s">
        <v>52</v>
      </c>
      <c r="E319" t="s">
        <v>20</v>
      </c>
      <c r="F319" t="s">
        <v>1726</v>
      </c>
      <c r="G319" t="s">
        <v>1727</v>
      </c>
      <c r="H319" t="s">
        <v>2096</v>
      </c>
      <c r="I319" t="s">
        <v>2727</v>
      </c>
      <c r="J319" t="s">
        <v>2104</v>
      </c>
    </row>
    <row r="320" spans="1:10" x14ac:dyDescent="0.25">
      <c r="A320" t="s">
        <v>728</v>
      </c>
      <c r="B320" t="s">
        <v>40</v>
      </c>
      <c r="C320" t="s">
        <v>729</v>
      </c>
      <c r="D320" t="s">
        <v>8</v>
      </c>
      <c r="E320" t="s">
        <v>28</v>
      </c>
      <c r="F320" t="s">
        <v>1728</v>
      </c>
      <c r="G320" t="s">
        <v>1729</v>
      </c>
      <c r="H320" t="s">
        <v>2096</v>
      </c>
      <c r="I320" t="s">
        <v>2729</v>
      </c>
      <c r="J320" t="s">
        <v>2104</v>
      </c>
    </row>
    <row r="321" spans="1:10" x14ac:dyDescent="0.25">
      <c r="A321" t="s">
        <v>730</v>
      </c>
      <c r="B321" t="s">
        <v>87</v>
      </c>
      <c r="C321" t="s">
        <v>731</v>
      </c>
      <c r="D321" t="s">
        <v>52</v>
      </c>
      <c r="E321" t="s">
        <v>28</v>
      </c>
      <c r="F321" t="s">
        <v>1730</v>
      </c>
      <c r="G321" t="s">
        <v>1731</v>
      </c>
      <c r="H321" t="s">
        <v>2087</v>
      </c>
      <c r="I321" t="s">
        <v>2731</v>
      </c>
      <c r="J321" t="s">
        <v>2108</v>
      </c>
    </row>
    <row r="322" spans="1:10" x14ac:dyDescent="0.25">
      <c r="A322" t="s">
        <v>732</v>
      </c>
      <c r="B322" t="s">
        <v>18</v>
      </c>
      <c r="C322" t="s">
        <v>733</v>
      </c>
      <c r="D322" t="s">
        <v>35</v>
      </c>
      <c r="E322" t="s">
        <v>42</v>
      </c>
      <c r="F322" t="s">
        <v>1732</v>
      </c>
      <c r="G322" t="s">
        <v>1733</v>
      </c>
      <c r="H322" t="s">
        <v>2087</v>
      </c>
      <c r="I322" t="s">
        <v>2239</v>
      </c>
      <c r="J322" t="s">
        <v>2093</v>
      </c>
    </row>
    <row r="323" spans="1:10" x14ac:dyDescent="0.25">
      <c r="A323" t="s">
        <v>734</v>
      </c>
      <c r="B323" t="s">
        <v>399</v>
      </c>
      <c r="C323" t="s">
        <v>735</v>
      </c>
      <c r="D323" t="s">
        <v>8</v>
      </c>
      <c r="E323" t="s">
        <v>9</v>
      </c>
      <c r="F323" t="s">
        <v>1734</v>
      </c>
      <c r="G323" t="s">
        <v>1735</v>
      </c>
      <c r="H323" t="s">
        <v>2096</v>
      </c>
      <c r="I323" t="s">
        <v>2734</v>
      </c>
      <c r="J323" t="s">
        <v>2093</v>
      </c>
    </row>
    <row r="324" spans="1:10" x14ac:dyDescent="0.25">
      <c r="A324" t="s">
        <v>736</v>
      </c>
      <c r="B324" t="s">
        <v>155</v>
      </c>
      <c r="C324" t="s">
        <v>737</v>
      </c>
      <c r="D324" t="s">
        <v>35</v>
      </c>
      <c r="E324" t="s">
        <v>9</v>
      </c>
      <c r="F324" t="s">
        <v>1736</v>
      </c>
      <c r="G324" t="s">
        <v>1737</v>
      </c>
      <c r="H324" t="s">
        <v>2087</v>
      </c>
      <c r="I324" t="s">
        <v>2736</v>
      </c>
      <c r="J324" t="s">
        <v>2104</v>
      </c>
    </row>
    <row r="325" spans="1:10" x14ac:dyDescent="0.25">
      <c r="A325" t="s">
        <v>738</v>
      </c>
      <c r="B325" t="s">
        <v>111</v>
      </c>
      <c r="C325" t="s">
        <v>739</v>
      </c>
      <c r="D325" t="s">
        <v>52</v>
      </c>
      <c r="E325" t="s">
        <v>42</v>
      </c>
      <c r="F325" t="s">
        <v>1738</v>
      </c>
      <c r="G325" t="s">
        <v>1739</v>
      </c>
      <c r="H325" t="s">
        <v>2096</v>
      </c>
      <c r="I325" t="s">
        <v>2738</v>
      </c>
      <c r="J325" t="s">
        <v>2108</v>
      </c>
    </row>
    <row r="326" spans="1:10" x14ac:dyDescent="0.25">
      <c r="A326" t="s">
        <v>740</v>
      </c>
      <c r="B326" t="s">
        <v>412</v>
      </c>
      <c r="C326" t="s">
        <v>741</v>
      </c>
      <c r="D326" t="s">
        <v>52</v>
      </c>
      <c r="E326" t="s">
        <v>16</v>
      </c>
      <c r="F326" t="s">
        <v>1740</v>
      </c>
      <c r="G326" t="s">
        <v>1741</v>
      </c>
      <c r="H326" t="s">
        <v>2087</v>
      </c>
      <c r="I326" t="s">
        <v>2130</v>
      </c>
      <c r="J326" t="s">
        <v>2108</v>
      </c>
    </row>
    <row r="327" spans="1:10" x14ac:dyDescent="0.25">
      <c r="A327" t="s">
        <v>742</v>
      </c>
      <c r="B327" t="s">
        <v>93</v>
      </c>
      <c r="C327" t="s">
        <v>743</v>
      </c>
      <c r="D327" t="s">
        <v>8</v>
      </c>
      <c r="E327" t="s">
        <v>20</v>
      </c>
      <c r="F327" t="s">
        <v>1742</v>
      </c>
      <c r="G327" t="s">
        <v>1743</v>
      </c>
      <c r="H327" t="s">
        <v>2096</v>
      </c>
      <c r="I327" t="s">
        <v>2741</v>
      </c>
      <c r="J327" t="s">
        <v>2089</v>
      </c>
    </row>
    <row r="328" spans="1:10" x14ac:dyDescent="0.25">
      <c r="A328" t="s">
        <v>744</v>
      </c>
      <c r="B328" t="s">
        <v>412</v>
      </c>
      <c r="C328" t="s">
        <v>745</v>
      </c>
      <c r="D328" t="s">
        <v>35</v>
      </c>
      <c r="E328" t="s">
        <v>9</v>
      </c>
      <c r="F328" t="s">
        <v>1744</v>
      </c>
      <c r="G328" t="s">
        <v>1745</v>
      </c>
      <c r="H328" t="s">
        <v>2087</v>
      </c>
      <c r="I328" t="s">
        <v>2163</v>
      </c>
      <c r="J328" t="s">
        <v>2108</v>
      </c>
    </row>
    <row r="329" spans="1:10" x14ac:dyDescent="0.25">
      <c r="A329" t="s">
        <v>746</v>
      </c>
      <c r="B329" t="s">
        <v>124</v>
      </c>
      <c r="C329" t="s">
        <v>747</v>
      </c>
      <c r="D329" t="s">
        <v>35</v>
      </c>
      <c r="E329" t="s">
        <v>9</v>
      </c>
      <c r="F329" t="s">
        <v>1746</v>
      </c>
      <c r="G329" t="s">
        <v>1747</v>
      </c>
      <c r="H329" t="s">
        <v>2087</v>
      </c>
      <c r="I329" t="s">
        <v>2744</v>
      </c>
      <c r="J329" t="s">
        <v>2089</v>
      </c>
    </row>
    <row r="330" spans="1:10" x14ac:dyDescent="0.25">
      <c r="A330" t="s">
        <v>748</v>
      </c>
      <c r="B330" t="s">
        <v>44</v>
      </c>
      <c r="C330" t="s">
        <v>749</v>
      </c>
      <c r="D330" t="s">
        <v>52</v>
      </c>
      <c r="E330" t="s">
        <v>28</v>
      </c>
      <c r="F330" t="s">
        <v>1748</v>
      </c>
      <c r="G330" t="s">
        <v>1749</v>
      </c>
      <c r="H330" t="s">
        <v>2096</v>
      </c>
      <c r="I330" t="s">
        <v>2746</v>
      </c>
      <c r="J330" t="s">
        <v>2093</v>
      </c>
    </row>
    <row r="331" spans="1:10" x14ac:dyDescent="0.25">
      <c r="A331" t="s">
        <v>750</v>
      </c>
      <c r="B331" t="s">
        <v>189</v>
      </c>
      <c r="C331" t="s">
        <v>751</v>
      </c>
      <c r="D331" t="s">
        <v>8</v>
      </c>
      <c r="E331" t="s">
        <v>16</v>
      </c>
      <c r="F331" t="s">
        <v>1750</v>
      </c>
      <c r="G331" t="s">
        <v>1751</v>
      </c>
      <c r="H331" t="s">
        <v>2087</v>
      </c>
      <c r="I331" t="s">
        <v>2748</v>
      </c>
      <c r="J331" t="s">
        <v>2089</v>
      </c>
    </row>
    <row r="332" spans="1:10" x14ac:dyDescent="0.25">
      <c r="A332" t="s">
        <v>752</v>
      </c>
      <c r="B332" t="s">
        <v>47</v>
      </c>
      <c r="C332" t="s">
        <v>753</v>
      </c>
      <c r="D332" t="s">
        <v>52</v>
      </c>
      <c r="E332" t="s">
        <v>24</v>
      </c>
      <c r="F332" t="s">
        <v>1752</v>
      </c>
      <c r="G332" t="s">
        <v>1753</v>
      </c>
      <c r="H332" t="s">
        <v>2096</v>
      </c>
      <c r="I332" t="s">
        <v>2750</v>
      </c>
      <c r="J332" t="s">
        <v>2104</v>
      </c>
    </row>
    <row r="333" spans="1:10" x14ac:dyDescent="0.25">
      <c r="A333" t="s">
        <v>754</v>
      </c>
      <c r="B333" t="s">
        <v>170</v>
      </c>
      <c r="C333" t="s">
        <v>755</v>
      </c>
      <c r="D333" t="s">
        <v>52</v>
      </c>
      <c r="E333" t="s">
        <v>20</v>
      </c>
      <c r="F333" t="s">
        <v>1754</v>
      </c>
      <c r="G333" t="s">
        <v>1755</v>
      </c>
      <c r="H333" t="s">
        <v>2087</v>
      </c>
      <c r="I333" t="s">
        <v>2752</v>
      </c>
      <c r="J333" t="s">
        <v>2108</v>
      </c>
    </row>
    <row r="334" spans="1:10" x14ac:dyDescent="0.25">
      <c r="A334" t="s">
        <v>756</v>
      </c>
      <c r="B334" t="s">
        <v>70</v>
      </c>
      <c r="C334" t="s">
        <v>757</v>
      </c>
      <c r="D334" t="s">
        <v>52</v>
      </c>
      <c r="E334" t="s">
        <v>42</v>
      </c>
      <c r="F334" t="s">
        <v>1756</v>
      </c>
      <c r="G334" t="s">
        <v>1757</v>
      </c>
      <c r="H334" t="s">
        <v>2087</v>
      </c>
      <c r="I334" t="s">
        <v>2754</v>
      </c>
      <c r="J334" t="s">
        <v>2093</v>
      </c>
    </row>
    <row r="335" spans="1:10" x14ac:dyDescent="0.25">
      <c r="A335" t="s">
        <v>758</v>
      </c>
      <c r="B335" t="s">
        <v>170</v>
      </c>
      <c r="C335" t="s">
        <v>759</v>
      </c>
      <c r="D335" t="s">
        <v>8</v>
      </c>
      <c r="E335" t="s">
        <v>56</v>
      </c>
      <c r="F335" t="s">
        <v>1758</v>
      </c>
      <c r="G335" t="s">
        <v>1759</v>
      </c>
      <c r="H335" t="s">
        <v>2087</v>
      </c>
      <c r="I335" t="s">
        <v>2756</v>
      </c>
      <c r="J335" t="s">
        <v>2093</v>
      </c>
    </row>
    <row r="336" spans="1:10" x14ac:dyDescent="0.25">
      <c r="A336" t="s">
        <v>760</v>
      </c>
      <c r="B336" t="s">
        <v>155</v>
      </c>
      <c r="C336" t="s">
        <v>761</v>
      </c>
      <c r="D336" t="s">
        <v>35</v>
      </c>
      <c r="E336" t="s">
        <v>42</v>
      </c>
      <c r="F336" t="s">
        <v>1760</v>
      </c>
      <c r="G336" t="s">
        <v>1761</v>
      </c>
      <c r="H336" t="s">
        <v>2096</v>
      </c>
      <c r="I336" t="s">
        <v>2758</v>
      </c>
      <c r="J336" t="s">
        <v>2108</v>
      </c>
    </row>
    <row r="337" spans="1:10" x14ac:dyDescent="0.25">
      <c r="A337" t="s">
        <v>762</v>
      </c>
      <c r="B337" t="s">
        <v>102</v>
      </c>
      <c r="C337" t="s">
        <v>763</v>
      </c>
      <c r="D337" t="s">
        <v>8</v>
      </c>
      <c r="E337" t="s">
        <v>20</v>
      </c>
      <c r="F337" t="s">
        <v>1762</v>
      </c>
      <c r="G337" t="s">
        <v>1763</v>
      </c>
      <c r="H337" t="s">
        <v>2087</v>
      </c>
      <c r="I337" t="s">
        <v>2760</v>
      </c>
      <c r="J337" t="s">
        <v>2104</v>
      </c>
    </row>
    <row r="338" spans="1:10" x14ac:dyDescent="0.25">
      <c r="A338" t="s">
        <v>764</v>
      </c>
      <c r="B338" t="s">
        <v>236</v>
      </c>
      <c r="C338" t="s">
        <v>765</v>
      </c>
      <c r="D338" t="s">
        <v>35</v>
      </c>
      <c r="E338" t="s">
        <v>28</v>
      </c>
      <c r="F338" t="s">
        <v>1764</v>
      </c>
      <c r="G338" t="s">
        <v>1765</v>
      </c>
      <c r="H338" t="s">
        <v>2096</v>
      </c>
      <c r="I338" t="s">
        <v>2762</v>
      </c>
      <c r="J338" t="s">
        <v>2093</v>
      </c>
    </row>
    <row r="339" spans="1:10" x14ac:dyDescent="0.25">
      <c r="A339" t="s">
        <v>766</v>
      </c>
      <c r="B339" t="s">
        <v>597</v>
      </c>
      <c r="C339" t="s">
        <v>767</v>
      </c>
      <c r="D339" t="s">
        <v>52</v>
      </c>
      <c r="E339" t="s">
        <v>16</v>
      </c>
      <c r="F339" t="s">
        <v>1766</v>
      </c>
      <c r="G339" t="s">
        <v>1767</v>
      </c>
      <c r="H339" t="s">
        <v>2087</v>
      </c>
      <c r="I339" t="s">
        <v>2764</v>
      </c>
      <c r="J339" t="s">
        <v>2104</v>
      </c>
    </row>
    <row r="340" spans="1:10" x14ac:dyDescent="0.25">
      <c r="A340" t="s">
        <v>768</v>
      </c>
      <c r="B340" t="s">
        <v>54</v>
      </c>
      <c r="C340" t="s">
        <v>769</v>
      </c>
      <c r="D340" t="s">
        <v>52</v>
      </c>
      <c r="E340" t="s">
        <v>20</v>
      </c>
      <c r="F340" t="s">
        <v>1768</v>
      </c>
      <c r="G340" t="s">
        <v>1769</v>
      </c>
      <c r="H340" t="s">
        <v>2096</v>
      </c>
      <c r="I340" t="s">
        <v>2766</v>
      </c>
      <c r="J340" t="s">
        <v>2089</v>
      </c>
    </row>
    <row r="341" spans="1:10" x14ac:dyDescent="0.25">
      <c r="A341" t="s">
        <v>770</v>
      </c>
      <c r="B341" t="s">
        <v>87</v>
      </c>
      <c r="C341" t="s">
        <v>771</v>
      </c>
      <c r="D341" t="s">
        <v>52</v>
      </c>
      <c r="E341" t="s">
        <v>42</v>
      </c>
      <c r="F341" t="s">
        <v>1770</v>
      </c>
      <c r="G341" t="s">
        <v>1771</v>
      </c>
      <c r="H341" t="s">
        <v>2096</v>
      </c>
      <c r="I341" t="s">
        <v>2355</v>
      </c>
      <c r="J341" t="s">
        <v>2108</v>
      </c>
    </row>
    <row r="342" spans="1:10" x14ac:dyDescent="0.25">
      <c r="A342" t="s">
        <v>772</v>
      </c>
      <c r="B342" t="s">
        <v>597</v>
      </c>
      <c r="C342" t="s">
        <v>773</v>
      </c>
      <c r="D342" t="s">
        <v>35</v>
      </c>
      <c r="E342" t="s">
        <v>42</v>
      </c>
      <c r="F342" t="s">
        <v>1772</v>
      </c>
      <c r="G342" t="s">
        <v>1773</v>
      </c>
      <c r="H342" t="s">
        <v>2087</v>
      </c>
      <c r="I342" t="s">
        <v>2769</v>
      </c>
      <c r="J342" t="s">
        <v>2093</v>
      </c>
    </row>
    <row r="343" spans="1:10" x14ac:dyDescent="0.25">
      <c r="A343" t="s">
        <v>774</v>
      </c>
      <c r="B343" t="s">
        <v>129</v>
      </c>
      <c r="C343" t="s">
        <v>775</v>
      </c>
      <c r="D343" t="s">
        <v>35</v>
      </c>
      <c r="E343" t="s">
        <v>56</v>
      </c>
      <c r="F343" t="s">
        <v>1774</v>
      </c>
      <c r="G343" t="s">
        <v>1775</v>
      </c>
      <c r="H343" t="s">
        <v>2087</v>
      </c>
      <c r="I343" t="s">
        <v>2771</v>
      </c>
      <c r="J343" t="s">
        <v>2089</v>
      </c>
    </row>
    <row r="344" spans="1:10" x14ac:dyDescent="0.25">
      <c r="A344" t="s">
        <v>776</v>
      </c>
      <c r="B344" t="s">
        <v>216</v>
      </c>
      <c r="C344" t="s">
        <v>777</v>
      </c>
      <c r="D344" t="s">
        <v>8</v>
      </c>
      <c r="E344" t="s">
        <v>56</v>
      </c>
      <c r="F344" t="s">
        <v>1776</v>
      </c>
      <c r="G344" t="s">
        <v>1777</v>
      </c>
      <c r="H344" t="s">
        <v>2096</v>
      </c>
      <c r="I344" t="s">
        <v>2773</v>
      </c>
      <c r="J344" t="s">
        <v>2108</v>
      </c>
    </row>
    <row r="345" spans="1:10" x14ac:dyDescent="0.25">
      <c r="A345" t="s">
        <v>778</v>
      </c>
      <c r="B345" t="s">
        <v>70</v>
      </c>
      <c r="C345" t="s">
        <v>779</v>
      </c>
      <c r="D345" t="s">
        <v>52</v>
      </c>
      <c r="E345" t="s">
        <v>16</v>
      </c>
      <c r="F345" t="s">
        <v>1778</v>
      </c>
      <c r="G345" t="s">
        <v>1779</v>
      </c>
      <c r="H345" t="s">
        <v>2096</v>
      </c>
      <c r="I345" t="s">
        <v>2775</v>
      </c>
      <c r="J345" t="s">
        <v>2093</v>
      </c>
    </row>
    <row r="346" spans="1:10" x14ac:dyDescent="0.25">
      <c r="A346" t="s">
        <v>780</v>
      </c>
      <c r="B346" t="s">
        <v>387</v>
      </c>
      <c r="C346" t="s">
        <v>781</v>
      </c>
      <c r="D346" t="s">
        <v>52</v>
      </c>
      <c r="E346" t="s">
        <v>42</v>
      </c>
      <c r="F346" t="s">
        <v>1780</v>
      </c>
      <c r="G346" t="s">
        <v>1781</v>
      </c>
      <c r="H346" t="s">
        <v>2096</v>
      </c>
      <c r="I346" t="s">
        <v>2777</v>
      </c>
      <c r="J346" t="s">
        <v>2104</v>
      </c>
    </row>
    <row r="347" spans="1:10" x14ac:dyDescent="0.25">
      <c r="A347" t="s">
        <v>782</v>
      </c>
      <c r="B347" t="s">
        <v>523</v>
      </c>
      <c r="C347" t="s">
        <v>783</v>
      </c>
      <c r="D347" t="s">
        <v>35</v>
      </c>
      <c r="E347" t="s">
        <v>42</v>
      </c>
      <c r="F347" t="s">
        <v>1782</v>
      </c>
      <c r="G347" t="s">
        <v>1783</v>
      </c>
      <c r="H347" t="s">
        <v>2087</v>
      </c>
      <c r="I347" t="s">
        <v>2640</v>
      </c>
      <c r="J347" t="s">
        <v>2089</v>
      </c>
    </row>
    <row r="348" spans="1:10" x14ac:dyDescent="0.25">
      <c r="A348" t="s">
        <v>784</v>
      </c>
      <c r="B348" t="s">
        <v>251</v>
      </c>
      <c r="C348" t="s">
        <v>785</v>
      </c>
      <c r="D348" t="s">
        <v>52</v>
      </c>
      <c r="E348" t="s">
        <v>28</v>
      </c>
      <c r="F348" t="s">
        <v>1784</v>
      </c>
      <c r="G348" t="s">
        <v>1785</v>
      </c>
      <c r="H348" t="s">
        <v>2096</v>
      </c>
      <c r="I348" t="s">
        <v>2780</v>
      </c>
      <c r="J348" t="s">
        <v>2108</v>
      </c>
    </row>
    <row r="349" spans="1:10" x14ac:dyDescent="0.25">
      <c r="A349" t="s">
        <v>786</v>
      </c>
      <c r="B349" t="s">
        <v>322</v>
      </c>
      <c r="C349" t="s">
        <v>787</v>
      </c>
      <c r="D349" t="s">
        <v>52</v>
      </c>
      <c r="E349" t="s">
        <v>28</v>
      </c>
      <c r="F349" t="s">
        <v>1786</v>
      </c>
      <c r="G349" t="s">
        <v>1787</v>
      </c>
      <c r="H349" t="s">
        <v>2096</v>
      </c>
      <c r="I349" t="s">
        <v>2782</v>
      </c>
      <c r="J349" t="s">
        <v>2108</v>
      </c>
    </row>
    <row r="350" spans="1:10" x14ac:dyDescent="0.25">
      <c r="A350" t="s">
        <v>788</v>
      </c>
      <c r="B350" t="s">
        <v>297</v>
      </c>
      <c r="C350" t="s">
        <v>789</v>
      </c>
      <c r="D350" t="s">
        <v>8</v>
      </c>
      <c r="E350" t="s">
        <v>16</v>
      </c>
      <c r="F350" t="s">
        <v>1788</v>
      </c>
      <c r="G350" t="s">
        <v>1789</v>
      </c>
      <c r="H350" t="s">
        <v>2096</v>
      </c>
      <c r="I350" t="s">
        <v>2773</v>
      </c>
      <c r="J350" t="s">
        <v>2108</v>
      </c>
    </row>
    <row r="351" spans="1:10" x14ac:dyDescent="0.25">
      <c r="A351" t="s">
        <v>790</v>
      </c>
      <c r="B351" t="s">
        <v>37</v>
      </c>
      <c r="C351" t="s">
        <v>791</v>
      </c>
      <c r="D351" t="s">
        <v>35</v>
      </c>
      <c r="E351" t="s">
        <v>9</v>
      </c>
      <c r="F351" t="s">
        <v>1790</v>
      </c>
      <c r="G351" t="s">
        <v>1791</v>
      </c>
      <c r="H351" t="s">
        <v>2087</v>
      </c>
      <c r="I351" t="s">
        <v>2671</v>
      </c>
      <c r="J351" t="s">
        <v>2093</v>
      </c>
    </row>
    <row r="352" spans="1:10" x14ac:dyDescent="0.25">
      <c r="A352" t="s">
        <v>792</v>
      </c>
      <c r="B352" t="s">
        <v>341</v>
      </c>
      <c r="C352" t="s">
        <v>793</v>
      </c>
      <c r="D352" t="s">
        <v>8</v>
      </c>
      <c r="E352" t="s">
        <v>9</v>
      </c>
      <c r="F352" t="s">
        <v>1792</v>
      </c>
      <c r="G352" t="s">
        <v>1793</v>
      </c>
      <c r="H352" t="s">
        <v>2087</v>
      </c>
      <c r="I352" t="s">
        <v>2786</v>
      </c>
      <c r="J352" t="s">
        <v>2093</v>
      </c>
    </row>
    <row r="353" spans="1:10" x14ac:dyDescent="0.25">
      <c r="A353" t="s">
        <v>794</v>
      </c>
      <c r="B353" t="s">
        <v>341</v>
      </c>
      <c r="C353" t="s">
        <v>795</v>
      </c>
      <c r="D353" t="s">
        <v>35</v>
      </c>
      <c r="E353" t="s">
        <v>28</v>
      </c>
      <c r="F353" t="s">
        <v>1794</v>
      </c>
      <c r="G353" t="s">
        <v>1795</v>
      </c>
      <c r="H353" t="s">
        <v>2087</v>
      </c>
      <c r="I353" t="s">
        <v>2788</v>
      </c>
      <c r="J353" t="s">
        <v>2093</v>
      </c>
    </row>
    <row r="354" spans="1:10" x14ac:dyDescent="0.25">
      <c r="A354" t="s">
        <v>796</v>
      </c>
      <c r="B354" t="s">
        <v>251</v>
      </c>
      <c r="C354" t="s">
        <v>797</v>
      </c>
      <c r="D354" t="s">
        <v>8</v>
      </c>
      <c r="E354" t="s">
        <v>9</v>
      </c>
      <c r="F354" t="s">
        <v>1796</v>
      </c>
      <c r="G354" t="s">
        <v>1797</v>
      </c>
      <c r="H354" t="s">
        <v>2087</v>
      </c>
      <c r="I354" t="s">
        <v>2790</v>
      </c>
      <c r="J354" t="s">
        <v>2093</v>
      </c>
    </row>
    <row r="355" spans="1:10" x14ac:dyDescent="0.25">
      <c r="A355" t="s">
        <v>798</v>
      </c>
      <c r="B355" t="s">
        <v>64</v>
      </c>
      <c r="C355" t="s">
        <v>799</v>
      </c>
      <c r="D355" t="s">
        <v>35</v>
      </c>
      <c r="E355" t="s">
        <v>16</v>
      </c>
      <c r="F355" t="s">
        <v>1798</v>
      </c>
      <c r="G355" t="s">
        <v>1799</v>
      </c>
      <c r="H355" t="s">
        <v>2096</v>
      </c>
      <c r="I355" t="s">
        <v>2738</v>
      </c>
      <c r="J355" t="s">
        <v>2104</v>
      </c>
    </row>
    <row r="356" spans="1:10" x14ac:dyDescent="0.25">
      <c r="A356" t="s">
        <v>800</v>
      </c>
      <c r="B356" t="s">
        <v>263</v>
      </c>
      <c r="C356" t="s">
        <v>801</v>
      </c>
      <c r="D356" t="s">
        <v>35</v>
      </c>
      <c r="E356" t="s">
        <v>56</v>
      </c>
      <c r="F356" t="s">
        <v>1800</v>
      </c>
      <c r="G356" t="s">
        <v>1801</v>
      </c>
      <c r="H356" t="s">
        <v>2096</v>
      </c>
      <c r="I356" t="s">
        <v>2793</v>
      </c>
      <c r="J356" t="s">
        <v>2093</v>
      </c>
    </row>
    <row r="357" spans="1:10" x14ac:dyDescent="0.25">
      <c r="A357" t="s">
        <v>802</v>
      </c>
      <c r="B357" t="s">
        <v>396</v>
      </c>
      <c r="C357" t="s">
        <v>803</v>
      </c>
      <c r="D357" t="s">
        <v>52</v>
      </c>
      <c r="E357" t="s">
        <v>56</v>
      </c>
      <c r="F357" t="s">
        <v>1802</v>
      </c>
      <c r="G357" t="s">
        <v>1803</v>
      </c>
      <c r="H357" t="s">
        <v>2087</v>
      </c>
      <c r="I357" t="s">
        <v>2795</v>
      </c>
      <c r="J357" t="s">
        <v>2104</v>
      </c>
    </row>
    <row r="358" spans="1:10" x14ac:dyDescent="0.25">
      <c r="A358" t="s">
        <v>804</v>
      </c>
      <c r="B358" t="s">
        <v>87</v>
      </c>
      <c r="C358" t="s">
        <v>805</v>
      </c>
      <c r="D358" t="s">
        <v>52</v>
      </c>
      <c r="E358" t="s">
        <v>24</v>
      </c>
      <c r="F358" t="s">
        <v>1804</v>
      </c>
      <c r="G358" t="s">
        <v>1805</v>
      </c>
      <c r="H358" t="s">
        <v>2087</v>
      </c>
      <c r="I358" t="s">
        <v>2797</v>
      </c>
      <c r="J358" t="s">
        <v>2093</v>
      </c>
    </row>
    <row r="359" spans="1:10" x14ac:dyDescent="0.25">
      <c r="A359" t="s">
        <v>806</v>
      </c>
      <c r="B359" t="s">
        <v>608</v>
      </c>
      <c r="C359" t="s">
        <v>807</v>
      </c>
      <c r="D359" t="s">
        <v>8</v>
      </c>
      <c r="E359" t="s">
        <v>24</v>
      </c>
      <c r="F359" t="s">
        <v>1806</v>
      </c>
      <c r="G359" t="s">
        <v>1807</v>
      </c>
      <c r="H359" t="s">
        <v>2087</v>
      </c>
      <c r="I359" t="s">
        <v>2799</v>
      </c>
      <c r="J359" t="s">
        <v>2108</v>
      </c>
    </row>
    <row r="360" spans="1:10" x14ac:dyDescent="0.25">
      <c r="A360" t="s">
        <v>808</v>
      </c>
      <c r="B360" t="s">
        <v>809</v>
      </c>
      <c r="C360" t="s">
        <v>810</v>
      </c>
      <c r="D360" t="s">
        <v>35</v>
      </c>
      <c r="E360" t="s">
        <v>9</v>
      </c>
      <c r="F360" t="s">
        <v>1808</v>
      </c>
      <c r="G360" t="s">
        <v>1809</v>
      </c>
      <c r="H360" t="s">
        <v>2096</v>
      </c>
      <c r="I360" t="s">
        <v>2801</v>
      </c>
      <c r="J360" t="s">
        <v>2089</v>
      </c>
    </row>
    <row r="361" spans="1:10" x14ac:dyDescent="0.25">
      <c r="A361" t="s">
        <v>811</v>
      </c>
      <c r="B361" t="s">
        <v>523</v>
      </c>
      <c r="C361" t="s">
        <v>812</v>
      </c>
      <c r="D361" t="s">
        <v>52</v>
      </c>
      <c r="E361" t="s">
        <v>24</v>
      </c>
      <c r="F361" t="s">
        <v>1810</v>
      </c>
      <c r="G361" t="s">
        <v>1811</v>
      </c>
      <c r="H361" t="s">
        <v>2087</v>
      </c>
      <c r="I361" t="s">
        <v>2630</v>
      </c>
      <c r="J361" t="s">
        <v>2104</v>
      </c>
    </row>
    <row r="362" spans="1:10" x14ac:dyDescent="0.25">
      <c r="A362" t="s">
        <v>813</v>
      </c>
      <c r="B362" t="s">
        <v>597</v>
      </c>
      <c r="C362" t="s">
        <v>814</v>
      </c>
      <c r="D362" t="s">
        <v>35</v>
      </c>
      <c r="E362" t="s">
        <v>13</v>
      </c>
      <c r="F362" t="s">
        <v>1812</v>
      </c>
      <c r="G362" t="s">
        <v>1813</v>
      </c>
      <c r="H362" t="s">
        <v>2087</v>
      </c>
      <c r="I362" t="s">
        <v>2804</v>
      </c>
      <c r="J362" t="s">
        <v>2093</v>
      </c>
    </row>
    <row r="363" spans="1:10" x14ac:dyDescent="0.25">
      <c r="A363" t="s">
        <v>815</v>
      </c>
      <c r="B363" t="s">
        <v>219</v>
      </c>
      <c r="C363" t="s">
        <v>816</v>
      </c>
      <c r="D363" t="s">
        <v>8</v>
      </c>
      <c r="E363" t="s">
        <v>20</v>
      </c>
      <c r="F363" t="s">
        <v>1814</v>
      </c>
      <c r="G363" t="s">
        <v>1815</v>
      </c>
      <c r="H363" t="s">
        <v>2096</v>
      </c>
      <c r="I363" t="s">
        <v>2806</v>
      </c>
      <c r="J363" t="s">
        <v>2104</v>
      </c>
    </row>
    <row r="364" spans="1:10" x14ac:dyDescent="0.25">
      <c r="A364" t="s">
        <v>817</v>
      </c>
      <c r="B364" t="s">
        <v>227</v>
      </c>
      <c r="C364" t="s">
        <v>818</v>
      </c>
      <c r="D364" t="s">
        <v>52</v>
      </c>
      <c r="E364" t="s">
        <v>13</v>
      </c>
      <c r="F364" t="s">
        <v>1816</v>
      </c>
      <c r="G364" t="s">
        <v>1817</v>
      </c>
      <c r="H364" t="s">
        <v>2087</v>
      </c>
      <c r="I364" t="s">
        <v>2808</v>
      </c>
      <c r="J364" t="s">
        <v>2104</v>
      </c>
    </row>
    <row r="365" spans="1:10" x14ac:dyDescent="0.25">
      <c r="A365" t="s">
        <v>819</v>
      </c>
      <c r="B365" t="s">
        <v>50</v>
      </c>
      <c r="C365" t="s">
        <v>820</v>
      </c>
      <c r="D365" t="s">
        <v>35</v>
      </c>
      <c r="E365" t="s">
        <v>20</v>
      </c>
      <c r="F365" t="s">
        <v>1818</v>
      </c>
      <c r="G365" t="s">
        <v>1819</v>
      </c>
      <c r="H365" t="s">
        <v>2087</v>
      </c>
      <c r="I365" t="s">
        <v>2762</v>
      </c>
      <c r="J365" t="s">
        <v>2104</v>
      </c>
    </row>
    <row r="366" spans="1:10" x14ac:dyDescent="0.25">
      <c r="A366" t="s">
        <v>821</v>
      </c>
      <c r="B366" t="s">
        <v>155</v>
      </c>
      <c r="C366" t="s">
        <v>822</v>
      </c>
      <c r="D366" t="s">
        <v>8</v>
      </c>
      <c r="E366" t="s">
        <v>42</v>
      </c>
      <c r="F366" t="s">
        <v>1606</v>
      </c>
      <c r="G366" t="s">
        <v>1820</v>
      </c>
      <c r="H366" t="s">
        <v>2087</v>
      </c>
      <c r="I366" t="s">
        <v>2811</v>
      </c>
      <c r="J366" t="s">
        <v>2089</v>
      </c>
    </row>
    <row r="367" spans="1:10" x14ac:dyDescent="0.25">
      <c r="A367" t="s">
        <v>823</v>
      </c>
      <c r="B367" t="s">
        <v>251</v>
      </c>
      <c r="C367" t="s">
        <v>824</v>
      </c>
      <c r="D367" t="s">
        <v>52</v>
      </c>
      <c r="E367" t="s">
        <v>13</v>
      </c>
      <c r="F367" t="s">
        <v>1821</v>
      </c>
      <c r="G367" t="s">
        <v>1822</v>
      </c>
      <c r="H367" t="s">
        <v>2087</v>
      </c>
      <c r="I367" t="s">
        <v>2813</v>
      </c>
      <c r="J367" t="s">
        <v>2089</v>
      </c>
    </row>
    <row r="368" spans="1:10" x14ac:dyDescent="0.25">
      <c r="A368" t="s">
        <v>825</v>
      </c>
      <c r="B368" t="s">
        <v>40</v>
      </c>
      <c r="C368" t="s">
        <v>826</v>
      </c>
      <c r="D368" t="s">
        <v>35</v>
      </c>
      <c r="E368" t="s">
        <v>56</v>
      </c>
      <c r="F368" t="s">
        <v>1823</v>
      </c>
      <c r="G368" t="s">
        <v>1824</v>
      </c>
      <c r="H368" t="s">
        <v>2087</v>
      </c>
      <c r="I368" t="s">
        <v>2815</v>
      </c>
      <c r="J368" t="s">
        <v>2108</v>
      </c>
    </row>
    <row r="369" spans="1:10" x14ac:dyDescent="0.25">
      <c r="A369" t="s">
        <v>827</v>
      </c>
      <c r="B369" t="s">
        <v>11</v>
      </c>
      <c r="C369" t="s">
        <v>828</v>
      </c>
      <c r="D369" t="s">
        <v>35</v>
      </c>
      <c r="E369" t="s">
        <v>13</v>
      </c>
      <c r="F369" t="s">
        <v>1825</v>
      </c>
      <c r="G369" t="s">
        <v>1826</v>
      </c>
      <c r="H369" t="s">
        <v>2096</v>
      </c>
      <c r="I369" t="s">
        <v>2817</v>
      </c>
      <c r="J369" t="s">
        <v>2093</v>
      </c>
    </row>
    <row r="370" spans="1:10" x14ac:dyDescent="0.25">
      <c r="A370" t="s">
        <v>829</v>
      </c>
      <c r="B370" t="s">
        <v>124</v>
      </c>
      <c r="C370" t="s">
        <v>830</v>
      </c>
      <c r="D370" t="s">
        <v>8</v>
      </c>
      <c r="E370" t="s">
        <v>28</v>
      </c>
      <c r="F370" t="s">
        <v>1827</v>
      </c>
      <c r="G370" t="s">
        <v>1828</v>
      </c>
      <c r="H370" t="s">
        <v>2087</v>
      </c>
      <c r="I370" t="s">
        <v>2819</v>
      </c>
      <c r="J370" t="s">
        <v>2108</v>
      </c>
    </row>
    <row r="371" spans="1:10" x14ac:dyDescent="0.25">
      <c r="A371" t="s">
        <v>831</v>
      </c>
      <c r="B371" t="s">
        <v>322</v>
      </c>
      <c r="C371" t="s">
        <v>832</v>
      </c>
      <c r="D371" t="s">
        <v>35</v>
      </c>
      <c r="E371" t="s">
        <v>20</v>
      </c>
      <c r="F371" t="s">
        <v>1829</v>
      </c>
      <c r="G371" t="s">
        <v>1830</v>
      </c>
      <c r="H371" t="s">
        <v>2096</v>
      </c>
      <c r="I371" t="s">
        <v>2821</v>
      </c>
      <c r="J371" t="s">
        <v>2093</v>
      </c>
    </row>
    <row r="372" spans="1:10" x14ac:dyDescent="0.25">
      <c r="A372" t="s">
        <v>833</v>
      </c>
      <c r="B372" t="s">
        <v>809</v>
      </c>
      <c r="C372" t="s">
        <v>834</v>
      </c>
      <c r="D372" t="s">
        <v>8</v>
      </c>
      <c r="E372" t="s">
        <v>24</v>
      </c>
      <c r="F372" t="s">
        <v>1831</v>
      </c>
      <c r="G372" t="s">
        <v>1832</v>
      </c>
      <c r="H372" t="s">
        <v>2087</v>
      </c>
      <c r="I372" t="s">
        <v>2823</v>
      </c>
      <c r="J372" t="s">
        <v>2104</v>
      </c>
    </row>
    <row r="373" spans="1:10" x14ac:dyDescent="0.25">
      <c r="A373" t="s">
        <v>835</v>
      </c>
      <c r="B373" t="s">
        <v>186</v>
      </c>
      <c r="C373" t="s">
        <v>836</v>
      </c>
      <c r="D373" t="s">
        <v>52</v>
      </c>
      <c r="E373" t="s">
        <v>42</v>
      </c>
      <c r="F373" t="s">
        <v>1833</v>
      </c>
      <c r="G373" t="s">
        <v>1834</v>
      </c>
      <c r="H373" t="s">
        <v>2087</v>
      </c>
      <c r="I373" t="s">
        <v>2825</v>
      </c>
      <c r="J373" t="s">
        <v>2089</v>
      </c>
    </row>
    <row r="374" spans="1:10" x14ac:dyDescent="0.25">
      <c r="A374" t="s">
        <v>837</v>
      </c>
      <c r="B374" t="s">
        <v>47</v>
      </c>
      <c r="C374" t="s">
        <v>838</v>
      </c>
      <c r="D374" t="s">
        <v>8</v>
      </c>
      <c r="E374" t="s">
        <v>16</v>
      </c>
      <c r="F374" t="s">
        <v>1835</v>
      </c>
      <c r="G374" t="s">
        <v>1836</v>
      </c>
      <c r="H374" t="s">
        <v>2087</v>
      </c>
      <c r="I374" t="s">
        <v>2827</v>
      </c>
      <c r="J374" t="s">
        <v>2108</v>
      </c>
    </row>
    <row r="375" spans="1:10" x14ac:dyDescent="0.25">
      <c r="A375" t="s">
        <v>839</v>
      </c>
      <c r="B375" t="s">
        <v>40</v>
      </c>
      <c r="C375" t="s">
        <v>840</v>
      </c>
      <c r="D375" t="s">
        <v>8</v>
      </c>
      <c r="E375" t="s">
        <v>28</v>
      </c>
      <c r="F375" t="s">
        <v>1837</v>
      </c>
      <c r="G375" t="s">
        <v>1838</v>
      </c>
      <c r="H375" t="s">
        <v>2096</v>
      </c>
      <c r="I375" t="s">
        <v>2829</v>
      </c>
      <c r="J375" t="s">
        <v>2089</v>
      </c>
    </row>
    <row r="376" spans="1:10" x14ac:dyDescent="0.25">
      <c r="A376" t="s">
        <v>841</v>
      </c>
      <c r="B376" t="s">
        <v>198</v>
      </c>
      <c r="C376" t="s">
        <v>842</v>
      </c>
      <c r="D376" t="s">
        <v>35</v>
      </c>
      <c r="E376" t="s">
        <v>28</v>
      </c>
      <c r="F376" t="s">
        <v>1839</v>
      </c>
      <c r="G376" t="s">
        <v>1840</v>
      </c>
      <c r="H376" t="s">
        <v>2096</v>
      </c>
      <c r="I376" t="s">
        <v>2299</v>
      </c>
      <c r="J376" t="s">
        <v>2104</v>
      </c>
    </row>
    <row r="377" spans="1:10" x14ac:dyDescent="0.25">
      <c r="A377" t="s">
        <v>843</v>
      </c>
      <c r="B377" t="s">
        <v>201</v>
      </c>
      <c r="C377" t="s">
        <v>844</v>
      </c>
      <c r="D377" t="s">
        <v>35</v>
      </c>
      <c r="E377" t="s">
        <v>28</v>
      </c>
      <c r="F377" t="s">
        <v>1841</v>
      </c>
      <c r="G377" t="s">
        <v>1842</v>
      </c>
      <c r="H377" t="s">
        <v>2087</v>
      </c>
      <c r="I377" t="s">
        <v>2470</v>
      </c>
      <c r="J377" t="s">
        <v>2108</v>
      </c>
    </row>
    <row r="378" spans="1:10" x14ac:dyDescent="0.25">
      <c r="A378" t="s">
        <v>845</v>
      </c>
      <c r="B378" t="s">
        <v>64</v>
      </c>
      <c r="C378" t="s">
        <v>846</v>
      </c>
      <c r="D378" t="s">
        <v>35</v>
      </c>
      <c r="E378" t="s">
        <v>20</v>
      </c>
      <c r="F378" t="s">
        <v>1843</v>
      </c>
      <c r="G378" t="s">
        <v>1844</v>
      </c>
      <c r="H378" t="s">
        <v>2096</v>
      </c>
      <c r="I378" t="s">
        <v>2833</v>
      </c>
      <c r="J378" t="s">
        <v>2104</v>
      </c>
    </row>
    <row r="379" spans="1:10" x14ac:dyDescent="0.25">
      <c r="A379" t="s">
        <v>847</v>
      </c>
      <c r="B379" t="s">
        <v>114</v>
      </c>
      <c r="C379" t="s">
        <v>848</v>
      </c>
      <c r="D379" t="s">
        <v>8</v>
      </c>
      <c r="E379" t="s">
        <v>20</v>
      </c>
      <c r="F379" t="s">
        <v>1845</v>
      </c>
      <c r="G379" t="s">
        <v>1846</v>
      </c>
      <c r="H379" t="s">
        <v>2096</v>
      </c>
      <c r="I379" t="s">
        <v>2835</v>
      </c>
      <c r="J379" t="s">
        <v>2104</v>
      </c>
    </row>
    <row r="380" spans="1:10" x14ac:dyDescent="0.25">
      <c r="A380" t="s">
        <v>849</v>
      </c>
      <c r="B380" t="s">
        <v>236</v>
      </c>
      <c r="C380" t="s">
        <v>850</v>
      </c>
      <c r="D380" t="s">
        <v>8</v>
      </c>
      <c r="E380" t="s">
        <v>13</v>
      </c>
      <c r="F380" t="s">
        <v>1847</v>
      </c>
      <c r="G380" t="s">
        <v>1848</v>
      </c>
      <c r="H380" t="s">
        <v>2087</v>
      </c>
      <c r="I380" t="s">
        <v>2837</v>
      </c>
      <c r="J380" t="s">
        <v>2104</v>
      </c>
    </row>
    <row r="381" spans="1:10" x14ac:dyDescent="0.25">
      <c r="A381" t="s">
        <v>851</v>
      </c>
      <c r="B381" t="s">
        <v>144</v>
      </c>
      <c r="C381" t="s">
        <v>852</v>
      </c>
      <c r="D381" t="s">
        <v>35</v>
      </c>
      <c r="E381" t="s">
        <v>56</v>
      </c>
      <c r="F381" t="s">
        <v>1849</v>
      </c>
      <c r="G381" t="s">
        <v>1850</v>
      </c>
      <c r="H381" t="s">
        <v>2087</v>
      </c>
      <c r="I381" t="s">
        <v>2248</v>
      </c>
      <c r="J381" t="s">
        <v>2108</v>
      </c>
    </row>
    <row r="382" spans="1:10" x14ac:dyDescent="0.25">
      <c r="A382" t="s">
        <v>853</v>
      </c>
      <c r="B382" t="s">
        <v>224</v>
      </c>
      <c r="C382" t="s">
        <v>854</v>
      </c>
      <c r="D382" t="s">
        <v>35</v>
      </c>
      <c r="E382" t="s">
        <v>56</v>
      </c>
      <c r="F382" t="s">
        <v>1851</v>
      </c>
      <c r="G382" t="s">
        <v>1852</v>
      </c>
      <c r="H382" t="s">
        <v>2087</v>
      </c>
      <c r="I382" t="s">
        <v>2840</v>
      </c>
      <c r="J382" t="s">
        <v>2104</v>
      </c>
    </row>
    <row r="383" spans="1:10" x14ac:dyDescent="0.25">
      <c r="A383" t="s">
        <v>855</v>
      </c>
      <c r="B383" t="s">
        <v>129</v>
      </c>
      <c r="C383" t="s">
        <v>856</v>
      </c>
      <c r="D383" t="s">
        <v>35</v>
      </c>
      <c r="E383" t="s">
        <v>9</v>
      </c>
      <c r="F383" t="s">
        <v>1853</v>
      </c>
      <c r="G383" t="s">
        <v>1854</v>
      </c>
      <c r="H383" t="s">
        <v>2096</v>
      </c>
      <c r="I383" t="s">
        <v>2842</v>
      </c>
      <c r="J383" t="s">
        <v>2089</v>
      </c>
    </row>
    <row r="384" spans="1:10" x14ac:dyDescent="0.25">
      <c r="A384" t="s">
        <v>857</v>
      </c>
      <c r="B384" t="s">
        <v>137</v>
      </c>
      <c r="C384" t="s">
        <v>858</v>
      </c>
      <c r="D384" t="s">
        <v>8</v>
      </c>
      <c r="E384" t="s">
        <v>24</v>
      </c>
      <c r="F384" t="s">
        <v>1855</v>
      </c>
      <c r="G384" t="s">
        <v>1856</v>
      </c>
      <c r="H384" t="s">
        <v>2096</v>
      </c>
      <c r="I384" t="s">
        <v>2844</v>
      </c>
      <c r="J384" t="s">
        <v>2093</v>
      </c>
    </row>
    <row r="385" spans="1:10" x14ac:dyDescent="0.25">
      <c r="A385" t="s">
        <v>859</v>
      </c>
      <c r="B385" t="s">
        <v>58</v>
      </c>
      <c r="C385" t="s">
        <v>860</v>
      </c>
      <c r="D385" t="s">
        <v>8</v>
      </c>
      <c r="E385" t="s">
        <v>9</v>
      </c>
      <c r="F385" t="s">
        <v>1857</v>
      </c>
      <c r="G385" t="s">
        <v>1858</v>
      </c>
      <c r="H385" t="s">
        <v>2087</v>
      </c>
      <c r="I385" t="s">
        <v>2846</v>
      </c>
      <c r="J385" t="s">
        <v>2089</v>
      </c>
    </row>
    <row r="386" spans="1:10" x14ac:dyDescent="0.25">
      <c r="A386" t="s">
        <v>861</v>
      </c>
      <c r="B386" t="s">
        <v>435</v>
      </c>
      <c r="C386" t="s">
        <v>862</v>
      </c>
      <c r="D386" t="s">
        <v>8</v>
      </c>
      <c r="E386" t="s">
        <v>56</v>
      </c>
      <c r="F386" t="s">
        <v>1859</v>
      </c>
      <c r="G386" t="s">
        <v>1860</v>
      </c>
      <c r="H386" t="s">
        <v>2096</v>
      </c>
      <c r="I386" t="s">
        <v>2848</v>
      </c>
      <c r="J386" t="s">
        <v>2104</v>
      </c>
    </row>
    <row r="387" spans="1:10" x14ac:dyDescent="0.25">
      <c r="A387" t="s">
        <v>863</v>
      </c>
      <c r="B387" t="s">
        <v>58</v>
      </c>
      <c r="C387" t="s">
        <v>864</v>
      </c>
      <c r="D387" t="s">
        <v>8</v>
      </c>
      <c r="E387" t="s">
        <v>13</v>
      </c>
      <c r="F387" t="s">
        <v>1861</v>
      </c>
      <c r="G387" t="s">
        <v>1862</v>
      </c>
      <c r="H387" t="s">
        <v>2096</v>
      </c>
      <c r="I387" t="s">
        <v>2850</v>
      </c>
      <c r="J387" t="s">
        <v>2093</v>
      </c>
    </row>
    <row r="388" spans="1:10" x14ac:dyDescent="0.25">
      <c r="A388" t="s">
        <v>865</v>
      </c>
      <c r="B388" t="s">
        <v>155</v>
      </c>
      <c r="C388" t="s">
        <v>866</v>
      </c>
      <c r="D388" t="s">
        <v>52</v>
      </c>
      <c r="E388" t="s">
        <v>28</v>
      </c>
      <c r="F388" t="s">
        <v>1863</v>
      </c>
      <c r="G388" t="s">
        <v>1864</v>
      </c>
      <c r="H388" t="s">
        <v>2087</v>
      </c>
      <c r="I388" t="s">
        <v>2852</v>
      </c>
      <c r="J388" t="s">
        <v>2104</v>
      </c>
    </row>
    <row r="389" spans="1:10" x14ac:dyDescent="0.25">
      <c r="A389" t="s">
        <v>867</v>
      </c>
      <c r="B389" t="s">
        <v>93</v>
      </c>
      <c r="C389" t="s">
        <v>868</v>
      </c>
      <c r="D389" t="s">
        <v>52</v>
      </c>
      <c r="E389" t="s">
        <v>13</v>
      </c>
      <c r="F389" t="s">
        <v>1865</v>
      </c>
      <c r="G389" t="s">
        <v>1866</v>
      </c>
      <c r="H389" t="s">
        <v>2096</v>
      </c>
      <c r="I389" t="s">
        <v>2854</v>
      </c>
      <c r="J389" t="s">
        <v>2104</v>
      </c>
    </row>
    <row r="390" spans="1:10" x14ac:dyDescent="0.25">
      <c r="A390" t="s">
        <v>869</v>
      </c>
      <c r="B390" t="s">
        <v>144</v>
      </c>
      <c r="C390" t="s">
        <v>870</v>
      </c>
      <c r="D390" t="s">
        <v>35</v>
      </c>
      <c r="E390" t="s">
        <v>20</v>
      </c>
      <c r="F390" t="s">
        <v>1867</v>
      </c>
      <c r="G390" t="s">
        <v>1868</v>
      </c>
      <c r="H390" t="s">
        <v>2087</v>
      </c>
      <c r="I390" t="s">
        <v>2856</v>
      </c>
      <c r="J390" t="s">
        <v>2093</v>
      </c>
    </row>
    <row r="391" spans="1:10" x14ac:dyDescent="0.25">
      <c r="A391" t="s">
        <v>871</v>
      </c>
      <c r="B391" t="s">
        <v>129</v>
      </c>
      <c r="C391" t="s">
        <v>872</v>
      </c>
      <c r="D391" t="s">
        <v>35</v>
      </c>
      <c r="E391" t="s">
        <v>24</v>
      </c>
      <c r="F391" t="s">
        <v>1869</v>
      </c>
      <c r="G391" t="s">
        <v>1870</v>
      </c>
      <c r="H391" t="s">
        <v>2096</v>
      </c>
      <c r="I391" t="s">
        <v>2274</v>
      </c>
      <c r="J391" t="s">
        <v>2108</v>
      </c>
    </row>
    <row r="392" spans="1:10" x14ac:dyDescent="0.25">
      <c r="A392" t="s">
        <v>873</v>
      </c>
      <c r="B392" t="s">
        <v>87</v>
      </c>
      <c r="C392" t="s">
        <v>874</v>
      </c>
      <c r="D392" t="s">
        <v>52</v>
      </c>
      <c r="E392" t="s">
        <v>24</v>
      </c>
      <c r="F392" t="s">
        <v>1871</v>
      </c>
      <c r="G392" t="s">
        <v>1872</v>
      </c>
      <c r="H392" t="s">
        <v>2087</v>
      </c>
      <c r="I392" t="s">
        <v>2859</v>
      </c>
      <c r="J392" t="s">
        <v>2108</v>
      </c>
    </row>
    <row r="393" spans="1:10" x14ac:dyDescent="0.25">
      <c r="A393" t="s">
        <v>875</v>
      </c>
      <c r="B393" t="s">
        <v>297</v>
      </c>
      <c r="C393" t="s">
        <v>876</v>
      </c>
      <c r="D393" t="s">
        <v>35</v>
      </c>
      <c r="E393" t="s">
        <v>24</v>
      </c>
      <c r="F393" t="s">
        <v>1873</v>
      </c>
      <c r="G393" t="s">
        <v>1874</v>
      </c>
      <c r="H393" t="s">
        <v>2087</v>
      </c>
      <c r="I393" t="s">
        <v>2861</v>
      </c>
      <c r="J393" t="s">
        <v>2108</v>
      </c>
    </row>
    <row r="394" spans="1:10" x14ac:dyDescent="0.25">
      <c r="A394" t="s">
        <v>877</v>
      </c>
      <c r="B394" t="s">
        <v>364</v>
      </c>
      <c r="C394" t="s">
        <v>878</v>
      </c>
      <c r="D394" t="s">
        <v>52</v>
      </c>
      <c r="E394" t="s">
        <v>42</v>
      </c>
      <c r="F394" t="s">
        <v>1875</v>
      </c>
      <c r="G394" t="s">
        <v>1876</v>
      </c>
      <c r="H394" t="s">
        <v>2096</v>
      </c>
      <c r="I394" t="s">
        <v>2863</v>
      </c>
      <c r="J394" t="s">
        <v>2108</v>
      </c>
    </row>
    <row r="395" spans="1:10" x14ac:dyDescent="0.25">
      <c r="A395" t="s">
        <v>879</v>
      </c>
      <c r="B395" t="s">
        <v>597</v>
      </c>
      <c r="C395" t="s">
        <v>880</v>
      </c>
      <c r="D395" t="s">
        <v>8</v>
      </c>
      <c r="E395" t="s">
        <v>16</v>
      </c>
      <c r="F395" t="s">
        <v>1877</v>
      </c>
      <c r="G395" t="s">
        <v>1878</v>
      </c>
      <c r="H395" t="s">
        <v>2096</v>
      </c>
      <c r="I395" t="s">
        <v>2865</v>
      </c>
      <c r="J395" t="s">
        <v>2093</v>
      </c>
    </row>
    <row r="396" spans="1:10" x14ac:dyDescent="0.25">
      <c r="A396" t="s">
        <v>881</v>
      </c>
      <c r="B396" t="s">
        <v>129</v>
      </c>
      <c r="C396" t="s">
        <v>882</v>
      </c>
      <c r="D396" t="s">
        <v>8</v>
      </c>
      <c r="E396" t="s">
        <v>24</v>
      </c>
      <c r="F396" t="s">
        <v>1879</v>
      </c>
      <c r="G396" t="s">
        <v>1880</v>
      </c>
      <c r="H396" t="s">
        <v>2087</v>
      </c>
      <c r="I396" t="s">
        <v>2331</v>
      </c>
      <c r="J396" t="s">
        <v>2104</v>
      </c>
    </row>
    <row r="397" spans="1:10" x14ac:dyDescent="0.25">
      <c r="A397" t="s">
        <v>883</v>
      </c>
      <c r="B397" t="s">
        <v>93</v>
      </c>
      <c r="C397" t="s">
        <v>884</v>
      </c>
      <c r="D397" t="s">
        <v>52</v>
      </c>
      <c r="E397" t="s">
        <v>16</v>
      </c>
      <c r="F397" t="s">
        <v>1881</v>
      </c>
      <c r="G397" t="s">
        <v>1882</v>
      </c>
      <c r="H397" t="s">
        <v>2096</v>
      </c>
      <c r="I397" t="s">
        <v>2868</v>
      </c>
      <c r="J397" t="s">
        <v>2104</v>
      </c>
    </row>
    <row r="398" spans="1:10" x14ac:dyDescent="0.25">
      <c r="A398" t="s">
        <v>885</v>
      </c>
      <c r="B398" t="s">
        <v>144</v>
      </c>
      <c r="C398" t="s">
        <v>886</v>
      </c>
      <c r="D398" t="s">
        <v>35</v>
      </c>
      <c r="E398" t="s">
        <v>28</v>
      </c>
      <c r="F398" t="s">
        <v>1305</v>
      </c>
      <c r="G398" t="s">
        <v>1883</v>
      </c>
      <c r="H398" t="s">
        <v>2087</v>
      </c>
      <c r="I398" t="s">
        <v>2870</v>
      </c>
      <c r="J398" t="s">
        <v>2089</v>
      </c>
    </row>
    <row r="399" spans="1:10" x14ac:dyDescent="0.25">
      <c r="A399" t="s">
        <v>887</v>
      </c>
      <c r="B399" t="s">
        <v>297</v>
      </c>
      <c r="C399" t="s">
        <v>888</v>
      </c>
      <c r="D399" t="s">
        <v>8</v>
      </c>
      <c r="E399" t="s">
        <v>16</v>
      </c>
      <c r="F399" t="s">
        <v>1884</v>
      </c>
      <c r="G399" t="s">
        <v>1885</v>
      </c>
      <c r="H399" t="s">
        <v>2096</v>
      </c>
      <c r="I399" t="s">
        <v>2872</v>
      </c>
      <c r="J399" t="s">
        <v>2108</v>
      </c>
    </row>
    <row r="400" spans="1:10" x14ac:dyDescent="0.25">
      <c r="A400" t="s">
        <v>889</v>
      </c>
      <c r="B400" t="s">
        <v>399</v>
      </c>
      <c r="C400" t="s">
        <v>890</v>
      </c>
      <c r="D400" t="s">
        <v>35</v>
      </c>
      <c r="E400" t="s">
        <v>56</v>
      </c>
      <c r="F400" t="s">
        <v>1886</v>
      </c>
      <c r="G400" t="s">
        <v>1887</v>
      </c>
      <c r="H400" t="s">
        <v>2096</v>
      </c>
      <c r="I400" t="s">
        <v>2760</v>
      </c>
      <c r="J400" t="s">
        <v>2108</v>
      </c>
    </row>
    <row r="401" spans="1:10" x14ac:dyDescent="0.25">
      <c r="A401" t="s">
        <v>891</v>
      </c>
      <c r="B401" t="s">
        <v>356</v>
      </c>
      <c r="C401" t="s">
        <v>892</v>
      </c>
      <c r="D401" t="s">
        <v>52</v>
      </c>
      <c r="E401" t="s">
        <v>28</v>
      </c>
      <c r="F401" t="s">
        <v>1888</v>
      </c>
      <c r="G401" t="s">
        <v>1889</v>
      </c>
      <c r="H401" t="s">
        <v>2087</v>
      </c>
      <c r="I401" t="s">
        <v>2875</v>
      </c>
      <c r="J401" t="s">
        <v>2089</v>
      </c>
    </row>
    <row r="402" spans="1:10" x14ac:dyDescent="0.25">
      <c r="A402" t="s">
        <v>893</v>
      </c>
      <c r="B402" t="s">
        <v>189</v>
      </c>
      <c r="C402" t="s">
        <v>894</v>
      </c>
      <c r="D402" t="s">
        <v>8</v>
      </c>
      <c r="E402" t="s">
        <v>28</v>
      </c>
      <c r="F402" t="s">
        <v>1890</v>
      </c>
      <c r="G402" t="s">
        <v>1891</v>
      </c>
      <c r="H402" t="s">
        <v>2096</v>
      </c>
      <c r="I402" t="s">
        <v>2877</v>
      </c>
      <c r="J402" t="s">
        <v>2089</v>
      </c>
    </row>
    <row r="403" spans="1:10" x14ac:dyDescent="0.25">
      <c r="A403" t="s">
        <v>895</v>
      </c>
      <c r="B403" t="s">
        <v>6</v>
      </c>
      <c r="C403" t="s">
        <v>896</v>
      </c>
      <c r="D403" t="s">
        <v>8</v>
      </c>
      <c r="E403" t="s">
        <v>16</v>
      </c>
      <c r="F403" t="s">
        <v>1892</v>
      </c>
      <c r="G403" t="s">
        <v>1893</v>
      </c>
      <c r="H403" t="s">
        <v>2087</v>
      </c>
      <c r="I403" t="s">
        <v>2879</v>
      </c>
      <c r="J403" t="s">
        <v>2093</v>
      </c>
    </row>
    <row r="404" spans="1:10" x14ac:dyDescent="0.25">
      <c r="A404" t="s">
        <v>897</v>
      </c>
      <c r="B404" t="s">
        <v>512</v>
      </c>
      <c r="C404" t="s">
        <v>898</v>
      </c>
      <c r="D404" t="s">
        <v>8</v>
      </c>
      <c r="E404" t="s">
        <v>9</v>
      </c>
      <c r="F404" t="s">
        <v>1894</v>
      </c>
      <c r="G404" t="s">
        <v>1895</v>
      </c>
      <c r="H404" t="s">
        <v>2096</v>
      </c>
      <c r="I404" t="s">
        <v>2145</v>
      </c>
      <c r="J404" t="s">
        <v>2089</v>
      </c>
    </row>
    <row r="405" spans="1:10" x14ac:dyDescent="0.25">
      <c r="A405" t="s">
        <v>899</v>
      </c>
      <c r="B405" t="s">
        <v>22</v>
      </c>
      <c r="C405" t="s">
        <v>900</v>
      </c>
      <c r="D405" t="s">
        <v>35</v>
      </c>
      <c r="E405" t="s">
        <v>9</v>
      </c>
      <c r="F405" t="s">
        <v>1896</v>
      </c>
      <c r="G405" t="s">
        <v>1897</v>
      </c>
      <c r="H405" t="s">
        <v>2087</v>
      </c>
      <c r="I405" t="s">
        <v>2360</v>
      </c>
      <c r="J405" t="s">
        <v>2108</v>
      </c>
    </row>
    <row r="406" spans="1:10" x14ac:dyDescent="0.25">
      <c r="A406" t="s">
        <v>901</v>
      </c>
      <c r="B406" t="s">
        <v>597</v>
      </c>
      <c r="C406" t="s">
        <v>902</v>
      </c>
      <c r="D406" t="s">
        <v>35</v>
      </c>
      <c r="E406" t="s">
        <v>9</v>
      </c>
      <c r="F406" t="s">
        <v>1898</v>
      </c>
      <c r="G406" t="s">
        <v>1899</v>
      </c>
      <c r="H406" t="s">
        <v>2087</v>
      </c>
      <c r="I406" t="s">
        <v>2883</v>
      </c>
      <c r="J406" t="s">
        <v>2104</v>
      </c>
    </row>
    <row r="407" spans="1:10" x14ac:dyDescent="0.25">
      <c r="A407" t="s">
        <v>903</v>
      </c>
      <c r="B407" t="s">
        <v>322</v>
      </c>
      <c r="C407" t="s">
        <v>904</v>
      </c>
      <c r="D407" t="s">
        <v>8</v>
      </c>
      <c r="E407" t="s">
        <v>42</v>
      </c>
      <c r="F407" t="s">
        <v>1900</v>
      </c>
      <c r="G407" t="s">
        <v>1901</v>
      </c>
      <c r="H407" t="s">
        <v>2096</v>
      </c>
      <c r="I407" t="s">
        <v>2709</v>
      </c>
      <c r="J407" t="s">
        <v>2104</v>
      </c>
    </row>
    <row r="408" spans="1:10" x14ac:dyDescent="0.25">
      <c r="A408" t="s">
        <v>905</v>
      </c>
      <c r="B408" t="s">
        <v>399</v>
      </c>
      <c r="C408" t="s">
        <v>906</v>
      </c>
      <c r="D408" t="s">
        <v>8</v>
      </c>
      <c r="E408" t="s">
        <v>16</v>
      </c>
      <c r="F408" t="s">
        <v>1902</v>
      </c>
      <c r="G408" t="s">
        <v>1903</v>
      </c>
      <c r="H408" t="s">
        <v>2096</v>
      </c>
      <c r="I408" t="s">
        <v>2530</v>
      </c>
      <c r="J408" t="s">
        <v>2089</v>
      </c>
    </row>
    <row r="409" spans="1:10" x14ac:dyDescent="0.25">
      <c r="A409" t="s">
        <v>907</v>
      </c>
      <c r="B409" t="s">
        <v>251</v>
      </c>
      <c r="C409" t="s">
        <v>908</v>
      </c>
      <c r="D409" t="s">
        <v>8</v>
      </c>
      <c r="E409" t="s">
        <v>56</v>
      </c>
      <c r="F409" t="s">
        <v>1904</v>
      </c>
      <c r="G409" t="s">
        <v>1905</v>
      </c>
      <c r="H409" t="s">
        <v>2096</v>
      </c>
      <c r="I409" t="s">
        <v>2887</v>
      </c>
      <c r="J409" t="s">
        <v>2108</v>
      </c>
    </row>
    <row r="410" spans="1:10" x14ac:dyDescent="0.25">
      <c r="A410" t="s">
        <v>909</v>
      </c>
      <c r="B410" t="s">
        <v>406</v>
      </c>
      <c r="C410" t="s">
        <v>910</v>
      </c>
      <c r="D410" t="s">
        <v>35</v>
      </c>
      <c r="E410" t="s">
        <v>16</v>
      </c>
      <c r="F410" t="s">
        <v>1906</v>
      </c>
      <c r="G410" t="s">
        <v>1907</v>
      </c>
      <c r="H410" t="s">
        <v>2096</v>
      </c>
      <c r="I410" t="s">
        <v>2713</v>
      </c>
      <c r="J410" t="s">
        <v>2104</v>
      </c>
    </row>
    <row r="411" spans="1:10" x14ac:dyDescent="0.25">
      <c r="A411" t="s">
        <v>911</v>
      </c>
      <c r="B411" t="s">
        <v>114</v>
      </c>
      <c r="C411" t="s">
        <v>912</v>
      </c>
      <c r="D411" t="s">
        <v>35</v>
      </c>
      <c r="E411" t="s">
        <v>16</v>
      </c>
      <c r="F411" t="s">
        <v>1908</v>
      </c>
      <c r="G411" t="s">
        <v>1909</v>
      </c>
      <c r="H411" t="s">
        <v>2096</v>
      </c>
      <c r="I411" t="s">
        <v>2250</v>
      </c>
      <c r="J411" t="s">
        <v>2108</v>
      </c>
    </row>
    <row r="412" spans="1:10" x14ac:dyDescent="0.25">
      <c r="A412" t="s">
        <v>913</v>
      </c>
      <c r="B412" t="s">
        <v>37</v>
      </c>
      <c r="C412" t="s">
        <v>914</v>
      </c>
      <c r="D412" t="s">
        <v>52</v>
      </c>
      <c r="E412" t="s">
        <v>28</v>
      </c>
      <c r="F412" t="s">
        <v>1910</v>
      </c>
      <c r="G412" t="s">
        <v>1911</v>
      </c>
      <c r="H412" t="s">
        <v>2096</v>
      </c>
      <c r="I412" t="s">
        <v>2891</v>
      </c>
      <c r="J412" t="s">
        <v>2104</v>
      </c>
    </row>
    <row r="413" spans="1:10" x14ac:dyDescent="0.25">
      <c r="A413" t="s">
        <v>915</v>
      </c>
      <c r="B413" t="s">
        <v>70</v>
      </c>
      <c r="C413" t="s">
        <v>916</v>
      </c>
      <c r="D413" t="s">
        <v>35</v>
      </c>
      <c r="E413" t="s">
        <v>16</v>
      </c>
      <c r="F413" t="s">
        <v>1912</v>
      </c>
      <c r="G413" t="s">
        <v>1913</v>
      </c>
      <c r="H413" t="s">
        <v>2087</v>
      </c>
      <c r="I413" t="s">
        <v>2401</v>
      </c>
      <c r="J413" t="s">
        <v>2104</v>
      </c>
    </row>
    <row r="414" spans="1:10" x14ac:dyDescent="0.25">
      <c r="A414" t="s">
        <v>917</v>
      </c>
      <c r="B414" t="s">
        <v>359</v>
      </c>
      <c r="C414" t="s">
        <v>918</v>
      </c>
      <c r="D414" t="s">
        <v>52</v>
      </c>
      <c r="E414" t="s">
        <v>56</v>
      </c>
      <c r="F414" t="s">
        <v>1914</v>
      </c>
      <c r="G414" t="s">
        <v>1915</v>
      </c>
      <c r="H414" t="s">
        <v>2087</v>
      </c>
      <c r="I414" t="s">
        <v>2894</v>
      </c>
      <c r="J414" t="s">
        <v>2104</v>
      </c>
    </row>
    <row r="415" spans="1:10" x14ac:dyDescent="0.25">
      <c r="A415" t="s">
        <v>919</v>
      </c>
      <c r="B415" t="s">
        <v>64</v>
      </c>
      <c r="C415" t="s">
        <v>920</v>
      </c>
      <c r="D415" t="s">
        <v>8</v>
      </c>
      <c r="E415" t="s">
        <v>16</v>
      </c>
      <c r="F415" t="s">
        <v>1916</v>
      </c>
      <c r="G415" t="s">
        <v>1917</v>
      </c>
      <c r="H415" t="s">
        <v>2087</v>
      </c>
      <c r="I415" t="s">
        <v>2896</v>
      </c>
      <c r="J415" t="s">
        <v>2108</v>
      </c>
    </row>
    <row r="416" spans="1:10" x14ac:dyDescent="0.25">
      <c r="A416" t="s">
        <v>921</v>
      </c>
      <c r="B416" t="s">
        <v>922</v>
      </c>
      <c r="C416" t="s">
        <v>923</v>
      </c>
      <c r="D416" t="s">
        <v>35</v>
      </c>
      <c r="E416" t="s">
        <v>20</v>
      </c>
      <c r="F416" t="s">
        <v>1918</v>
      </c>
      <c r="G416" t="s">
        <v>1919</v>
      </c>
      <c r="H416" t="s">
        <v>2096</v>
      </c>
      <c r="I416" t="s">
        <v>2898</v>
      </c>
      <c r="J416" t="s">
        <v>2093</v>
      </c>
    </row>
    <row r="417" spans="1:10" x14ac:dyDescent="0.25">
      <c r="A417" t="s">
        <v>924</v>
      </c>
      <c r="B417" t="s">
        <v>406</v>
      </c>
      <c r="C417" t="s">
        <v>925</v>
      </c>
      <c r="D417" t="s">
        <v>8</v>
      </c>
      <c r="E417" t="s">
        <v>24</v>
      </c>
      <c r="F417" t="s">
        <v>1920</v>
      </c>
      <c r="G417" t="s">
        <v>1921</v>
      </c>
      <c r="H417" t="s">
        <v>2087</v>
      </c>
      <c r="I417" t="s">
        <v>2900</v>
      </c>
      <c r="J417" t="s">
        <v>2089</v>
      </c>
    </row>
    <row r="418" spans="1:10" x14ac:dyDescent="0.25">
      <c r="A418" t="s">
        <v>926</v>
      </c>
      <c r="B418" t="s">
        <v>356</v>
      </c>
      <c r="C418" t="s">
        <v>927</v>
      </c>
      <c r="D418" t="s">
        <v>8</v>
      </c>
      <c r="E418" t="s">
        <v>56</v>
      </c>
      <c r="F418" t="s">
        <v>1922</v>
      </c>
      <c r="G418" t="s">
        <v>1923</v>
      </c>
      <c r="H418" t="s">
        <v>2087</v>
      </c>
      <c r="I418" t="s">
        <v>2902</v>
      </c>
      <c r="J418" t="s">
        <v>2108</v>
      </c>
    </row>
    <row r="419" spans="1:10" x14ac:dyDescent="0.25">
      <c r="A419" t="s">
        <v>928</v>
      </c>
      <c r="B419" t="s">
        <v>246</v>
      </c>
      <c r="C419" t="s">
        <v>929</v>
      </c>
      <c r="D419" t="s">
        <v>8</v>
      </c>
      <c r="E419" t="s">
        <v>16</v>
      </c>
      <c r="F419" t="s">
        <v>1924</v>
      </c>
      <c r="G419" t="s">
        <v>1925</v>
      </c>
      <c r="H419" t="s">
        <v>2096</v>
      </c>
      <c r="I419" t="s">
        <v>2904</v>
      </c>
      <c r="J419" t="s">
        <v>2108</v>
      </c>
    </row>
    <row r="420" spans="1:10" x14ac:dyDescent="0.25">
      <c r="A420" t="s">
        <v>930</v>
      </c>
      <c r="B420" t="s">
        <v>263</v>
      </c>
      <c r="C420" t="s">
        <v>931</v>
      </c>
      <c r="D420" t="s">
        <v>52</v>
      </c>
      <c r="E420" t="s">
        <v>42</v>
      </c>
      <c r="F420" t="s">
        <v>1926</v>
      </c>
      <c r="G420" t="s">
        <v>1927</v>
      </c>
      <c r="H420" t="s">
        <v>2087</v>
      </c>
      <c r="I420" t="s">
        <v>2906</v>
      </c>
      <c r="J420" t="s">
        <v>2089</v>
      </c>
    </row>
    <row r="421" spans="1:10" x14ac:dyDescent="0.25">
      <c r="A421" t="s">
        <v>932</v>
      </c>
      <c r="B421" t="s">
        <v>597</v>
      </c>
      <c r="C421" t="s">
        <v>933</v>
      </c>
      <c r="D421" t="s">
        <v>35</v>
      </c>
      <c r="E421" t="s">
        <v>56</v>
      </c>
      <c r="F421" t="s">
        <v>1928</v>
      </c>
      <c r="G421" t="s">
        <v>1929</v>
      </c>
      <c r="H421" t="s">
        <v>2087</v>
      </c>
      <c r="I421" t="s">
        <v>2908</v>
      </c>
      <c r="J421" t="s">
        <v>2089</v>
      </c>
    </row>
    <row r="422" spans="1:10" x14ac:dyDescent="0.25">
      <c r="A422" t="s">
        <v>934</v>
      </c>
      <c r="B422" t="s">
        <v>198</v>
      </c>
      <c r="C422" t="s">
        <v>935</v>
      </c>
      <c r="D422" t="s">
        <v>52</v>
      </c>
      <c r="E422" t="s">
        <v>42</v>
      </c>
      <c r="F422" t="s">
        <v>1930</v>
      </c>
      <c r="G422" t="s">
        <v>1931</v>
      </c>
      <c r="H422" t="s">
        <v>2087</v>
      </c>
      <c r="I422" t="s">
        <v>2910</v>
      </c>
      <c r="J422" t="s">
        <v>2108</v>
      </c>
    </row>
    <row r="423" spans="1:10" x14ac:dyDescent="0.25">
      <c r="A423" t="s">
        <v>936</v>
      </c>
      <c r="B423" t="s">
        <v>512</v>
      </c>
      <c r="C423" t="s">
        <v>937</v>
      </c>
      <c r="D423" t="s">
        <v>8</v>
      </c>
      <c r="E423" t="s">
        <v>20</v>
      </c>
      <c r="F423" t="s">
        <v>1932</v>
      </c>
      <c r="G423" t="s">
        <v>1933</v>
      </c>
      <c r="H423" t="s">
        <v>2096</v>
      </c>
      <c r="I423" t="s">
        <v>2504</v>
      </c>
      <c r="J423" t="s">
        <v>2104</v>
      </c>
    </row>
    <row r="424" spans="1:10" x14ac:dyDescent="0.25">
      <c r="A424" t="s">
        <v>938</v>
      </c>
      <c r="B424" t="s">
        <v>186</v>
      </c>
      <c r="C424" t="s">
        <v>939</v>
      </c>
      <c r="D424" t="s">
        <v>52</v>
      </c>
      <c r="E424" t="s">
        <v>42</v>
      </c>
      <c r="F424" t="s">
        <v>1934</v>
      </c>
      <c r="G424" t="s">
        <v>1935</v>
      </c>
      <c r="H424" t="s">
        <v>2087</v>
      </c>
      <c r="I424" t="s">
        <v>2913</v>
      </c>
      <c r="J424" t="s">
        <v>2104</v>
      </c>
    </row>
    <row r="425" spans="1:10" x14ac:dyDescent="0.25">
      <c r="A425" t="s">
        <v>940</v>
      </c>
      <c r="B425" t="s">
        <v>236</v>
      </c>
      <c r="C425" t="s">
        <v>941</v>
      </c>
      <c r="D425" t="s">
        <v>52</v>
      </c>
      <c r="E425" t="s">
        <v>56</v>
      </c>
      <c r="F425" t="s">
        <v>1459</v>
      </c>
      <c r="G425" t="s">
        <v>1936</v>
      </c>
      <c r="H425" t="s">
        <v>2096</v>
      </c>
      <c r="I425" t="s">
        <v>2915</v>
      </c>
      <c r="J425" t="s">
        <v>2089</v>
      </c>
    </row>
    <row r="426" spans="1:10" x14ac:dyDescent="0.25">
      <c r="A426" t="s">
        <v>942</v>
      </c>
      <c r="B426" t="s">
        <v>313</v>
      </c>
      <c r="C426" t="s">
        <v>943</v>
      </c>
      <c r="D426" t="s">
        <v>52</v>
      </c>
      <c r="E426" t="s">
        <v>42</v>
      </c>
      <c r="F426" t="s">
        <v>1937</v>
      </c>
      <c r="G426" t="s">
        <v>1938</v>
      </c>
      <c r="H426" t="s">
        <v>2087</v>
      </c>
      <c r="I426" t="s">
        <v>2364</v>
      </c>
      <c r="J426" t="s">
        <v>2093</v>
      </c>
    </row>
    <row r="427" spans="1:10" x14ac:dyDescent="0.25">
      <c r="A427" t="s">
        <v>944</v>
      </c>
      <c r="B427" t="s">
        <v>111</v>
      </c>
      <c r="C427" t="s">
        <v>945</v>
      </c>
      <c r="D427" t="s">
        <v>8</v>
      </c>
      <c r="E427" t="s">
        <v>16</v>
      </c>
      <c r="F427" t="s">
        <v>1939</v>
      </c>
      <c r="G427" t="s">
        <v>1940</v>
      </c>
      <c r="H427" t="s">
        <v>2087</v>
      </c>
      <c r="I427" t="s">
        <v>2918</v>
      </c>
      <c r="J427" t="s">
        <v>2093</v>
      </c>
    </row>
    <row r="428" spans="1:10" x14ac:dyDescent="0.25">
      <c r="A428" t="s">
        <v>946</v>
      </c>
      <c r="B428" t="s">
        <v>129</v>
      </c>
      <c r="C428" t="s">
        <v>947</v>
      </c>
      <c r="D428" t="s">
        <v>8</v>
      </c>
      <c r="E428" t="s">
        <v>42</v>
      </c>
      <c r="F428" t="s">
        <v>1941</v>
      </c>
      <c r="G428" t="s">
        <v>1942</v>
      </c>
      <c r="H428" t="s">
        <v>2087</v>
      </c>
      <c r="I428" t="s">
        <v>2512</v>
      </c>
      <c r="J428" t="s">
        <v>2089</v>
      </c>
    </row>
    <row r="429" spans="1:10" x14ac:dyDescent="0.25">
      <c r="A429" t="s">
        <v>948</v>
      </c>
      <c r="B429" t="s">
        <v>219</v>
      </c>
      <c r="C429" t="s">
        <v>949</v>
      </c>
      <c r="D429" t="s">
        <v>35</v>
      </c>
      <c r="E429" t="s">
        <v>9</v>
      </c>
      <c r="F429" t="s">
        <v>1943</v>
      </c>
      <c r="G429" t="s">
        <v>1944</v>
      </c>
      <c r="H429" t="s">
        <v>2096</v>
      </c>
      <c r="I429" t="s">
        <v>2921</v>
      </c>
      <c r="J429" t="s">
        <v>2089</v>
      </c>
    </row>
    <row r="430" spans="1:10" x14ac:dyDescent="0.25">
      <c r="A430" t="s">
        <v>950</v>
      </c>
      <c r="B430" t="s">
        <v>236</v>
      </c>
      <c r="C430" t="s">
        <v>951</v>
      </c>
      <c r="D430" t="s">
        <v>35</v>
      </c>
      <c r="E430" t="s">
        <v>24</v>
      </c>
      <c r="F430" t="s">
        <v>1945</v>
      </c>
      <c r="G430" t="s">
        <v>1946</v>
      </c>
      <c r="H430" t="s">
        <v>2087</v>
      </c>
      <c r="I430" t="s">
        <v>2923</v>
      </c>
      <c r="J430" t="s">
        <v>2093</v>
      </c>
    </row>
    <row r="431" spans="1:10" x14ac:dyDescent="0.25">
      <c r="A431" t="s">
        <v>952</v>
      </c>
      <c r="B431" t="s">
        <v>160</v>
      </c>
      <c r="C431" t="s">
        <v>953</v>
      </c>
      <c r="D431" t="s">
        <v>8</v>
      </c>
      <c r="E431" t="s">
        <v>28</v>
      </c>
      <c r="F431" t="s">
        <v>1947</v>
      </c>
      <c r="G431" t="s">
        <v>1948</v>
      </c>
      <c r="H431" t="s">
        <v>2096</v>
      </c>
      <c r="I431" t="s">
        <v>2239</v>
      </c>
      <c r="J431" t="s">
        <v>2108</v>
      </c>
    </row>
    <row r="432" spans="1:10" x14ac:dyDescent="0.25">
      <c r="A432" t="s">
        <v>954</v>
      </c>
      <c r="B432" t="s">
        <v>523</v>
      </c>
      <c r="C432" t="s">
        <v>955</v>
      </c>
      <c r="D432" t="s">
        <v>35</v>
      </c>
      <c r="E432" t="s">
        <v>56</v>
      </c>
      <c r="F432" t="s">
        <v>1949</v>
      </c>
      <c r="G432" t="s">
        <v>1950</v>
      </c>
      <c r="H432" t="s">
        <v>2087</v>
      </c>
      <c r="I432" t="s">
        <v>2926</v>
      </c>
      <c r="J432" t="s">
        <v>2093</v>
      </c>
    </row>
    <row r="433" spans="1:10" x14ac:dyDescent="0.25">
      <c r="A433" t="s">
        <v>956</v>
      </c>
      <c r="B433" t="s">
        <v>111</v>
      </c>
      <c r="C433" t="s">
        <v>957</v>
      </c>
      <c r="D433" t="s">
        <v>35</v>
      </c>
      <c r="E433" t="s">
        <v>9</v>
      </c>
      <c r="F433" t="s">
        <v>1700</v>
      </c>
      <c r="G433" t="s">
        <v>1951</v>
      </c>
      <c r="H433" t="s">
        <v>2096</v>
      </c>
      <c r="I433" t="s">
        <v>2928</v>
      </c>
      <c r="J433" t="s">
        <v>2089</v>
      </c>
    </row>
    <row r="434" spans="1:10" x14ac:dyDescent="0.25">
      <c r="A434" t="s">
        <v>958</v>
      </c>
      <c r="B434" t="s">
        <v>119</v>
      </c>
      <c r="C434" t="s">
        <v>959</v>
      </c>
      <c r="D434" t="s">
        <v>35</v>
      </c>
      <c r="E434" t="s">
        <v>20</v>
      </c>
      <c r="F434" t="s">
        <v>1952</v>
      </c>
      <c r="G434" t="s">
        <v>1953</v>
      </c>
      <c r="H434" t="s">
        <v>2087</v>
      </c>
      <c r="I434" t="s">
        <v>2930</v>
      </c>
      <c r="J434" t="s">
        <v>2104</v>
      </c>
    </row>
    <row r="435" spans="1:10" x14ac:dyDescent="0.25">
      <c r="A435" t="s">
        <v>960</v>
      </c>
      <c r="B435" t="s">
        <v>186</v>
      </c>
      <c r="C435" t="s">
        <v>961</v>
      </c>
      <c r="D435" t="s">
        <v>8</v>
      </c>
      <c r="E435" t="s">
        <v>20</v>
      </c>
      <c r="F435" t="s">
        <v>1954</v>
      </c>
      <c r="G435" t="s">
        <v>1955</v>
      </c>
      <c r="H435" t="s">
        <v>2096</v>
      </c>
      <c r="I435" t="s">
        <v>2932</v>
      </c>
      <c r="J435" t="s">
        <v>2089</v>
      </c>
    </row>
    <row r="436" spans="1:10" x14ac:dyDescent="0.25">
      <c r="A436" t="s">
        <v>962</v>
      </c>
      <c r="B436" t="s">
        <v>50</v>
      </c>
      <c r="C436" t="s">
        <v>963</v>
      </c>
      <c r="D436" t="s">
        <v>52</v>
      </c>
      <c r="E436" t="s">
        <v>24</v>
      </c>
      <c r="F436" t="s">
        <v>1956</v>
      </c>
      <c r="G436" t="s">
        <v>1957</v>
      </c>
      <c r="H436" t="s">
        <v>2096</v>
      </c>
      <c r="I436" t="s">
        <v>2331</v>
      </c>
      <c r="J436" t="s">
        <v>2108</v>
      </c>
    </row>
    <row r="437" spans="1:10" x14ac:dyDescent="0.25">
      <c r="A437" t="s">
        <v>964</v>
      </c>
      <c r="B437" t="s">
        <v>227</v>
      </c>
      <c r="C437" t="s">
        <v>965</v>
      </c>
      <c r="D437" t="s">
        <v>35</v>
      </c>
      <c r="E437" t="s">
        <v>56</v>
      </c>
      <c r="F437" t="s">
        <v>1958</v>
      </c>
      <c r="G437" t="s">
        <v>1959</v>
      </c>
      <c r="H437" t="s">
        <v>2096</v>
      </c>
      <c r="I437" t="s">
        <v>2248</v>
      </c>
      <c r="J437" t="s">
        <v>2108</v>
      </c>
    </row>
    <row r="438" spans="1:10" x14ac:dyDescent="0.25">
      <c r="A438" t="s">
        <v>966</v>
      </c>
      <c r="B438" t="s">
        <v>129</v>
      </c>
      <c r="C438" t="s">
        <v>967</v>
      </c>
      <c r="D438" t="s">
        <v>8</v>
      </c>
      <c r="E438" t="s">
        <v>28</v>
      </c>
      <c r="F438" t="s">
        <v>1960</v>
      </c>
      <c r="G438" t="s">
        <v>1961</v>
      </c>
      <c r="H438" t="s">
        <v>2087</v>
      </c>
      <c r="I438" t="s">
        <v>2870</v>
      </c>
      <c r="J438" t="s">
        <v>2108</v>
      </c>
    </row>
    <row r="439" spans="1:10" x14ac:dyDescent="0.25">
      <c r="A439" t="s">
        <v>968</v>
      </c>
      <c r="B439" t="s">
        <v>809</v>
      </c>
      <c r="C439" t="s">
        <v>969</v>
      </c>
      <c r="D439" t="s">
        <v>35</v>
      </c>
      <c r="E439" t="s">
        <v>24</v>
      </c>
      <c r="F439" t="s">
        <v>1962</v>
      </c>
      <c r="G439" t="s">
        <v>1963</v>
      </c>
      <c r="H439" t="s">
        <v>2096</v>
      </c>
      <c r="I439" t="s">
        <v>2906</v>
      </c>
      <c r="J439" t="s">
        <v>2093</v>
      </c>
    </row>
    <row r="440" spans="1:10" x14ac:dyDescent="0.25">
      <c r="A440" t="s">
        <v>970</v>
      </c>
      <c r="B440" t="s">
        <v>81</v>
      </c>
      <c r="C440" t="s">
        <v>971</v>
      </c>
      <c r="D440" t="s">
        <v>52</v>
      </c>
      <c r="E440" t="s">
        <v>56</v>
      </c>
      <c r="F440" t="s">
        <v>1964</v>
      </c>
      <c r="G440" t="s">
        <v>1965</v>
      </c>
      <c r="H440" t="s">
        <v>2087</v>
      </c>
      <c r="I440" t="s">
        <v>2561</v>
      </c>
      <c r="J440" t="s">
        <v>2093</v>
      </c>
    </row>
    <row r="441" spans="1:10" x14ac:dyDescent="0.25">
      <c r="A441" t="s">
        <v>972</v>
      </c>
      <c r="B441" t="s">
        <v>81</v>
      </c>
      <c r="C441" t="s">
        <v>973</v>
      </c>
      <c r="D441" t="s">
        <v>8</v>
      </c>
      <c r="E441" t="s">
        <v>24</v>
      </c>
      <c r="F441" t="s">
        <v>1966</v>
      </c>
      <c r="G441" t="s">
        <v>1967</v>
      </c>
      <c r="H441" t="s">
        <v>2096</v>
      </c>
      <c r="I441" t="s">
        <v>2939</v>
      </c>
      <c r="J441" t="s">
        <v>2104</v>
      </c>
    </row>
    <row r="442" spans="1:10" x14ac:dyDescent="0.25">
      <c r="A442" t="s">
        <v>974</v>
      </c>
      <c r="B442" t="s">
        <v>11</v>
      </c>
      <c r="C442" t="s">
        <v>975</v>
      </c>
      <c r="D442" t="s">
        <v>52</v>
      </c>
      <c r="E442" t="s">
        <v>20</v>
      </c>
      <c r="F442" t="s">
        <v>1968</v>
      </c>
      <c r="G442" t="s">
        <v>1969</v>
      </c>
      <c r="H442" t="s">
        <v>2096</v>
      </c>
      <c r="I442" t="s">
        <v>2941</v>
      </c>
      <c r="J442" t="s">
        <v>2108</v>
      </c>
    </row>
    <row r="443" spans="1:10" x14ac:dyDescent="0.25">
      <c r="A443" t="s">
        <v>976</v>
      </c>
      <c r="B443" t="s">
        <v>406</v>
      </c>
      <c r="C443" t="s">
        <v>977</v>
      </c>
      <c r="D443" t="s">
        <v>35</v>
      </c>
      <c r="E443" t="s">
        <v>20</v>
      </c>
      <c r="F443" t="s">
        <v>1970</v>
      </c>
      <c r="G443" t="s">
        <v>1971</v>
      </c>
      <c r="H443" t="s">
        <v>2087</v>
      </c>
      <c r="I443" t="s">
        <v>2943</v>
      </c>
      <c r="J443" t="s">
        <v>2104</v>
      </c>
    </row>
    <row r="444" spans="1:10" x14ac:dyDescent="0.25">
      <c r="A444" t="s">
        <v>978</v>
      </c>
      <c r="B444" t="s">
        <v>54</v>
      </c>
      <c r="C444" t="s">
        <v>546</v>
      </c>
      <c r="D444" t="s">
        <v>52</v>
      </c>
      <c r="E444" t="s">
        <v>42</v>
      </c>
      <c r="F444" t="s">
        <v>1972</v>
      </c>
      <c r="G444" t="s">
        <v>1973</v>
      </c>
      <c r="H444" t="s">
        <v>2096</v>
      </c>
      <c r="I444" t="s">
        <v>2945</v>
      </c>
      <c r="J444" t="s">
        <v>2093</v>
      </c>
    </row>
    <row r="445" spans="1:10" x14ac:dyDescent="0.25">
      <c r="A445" t="s">
        <v>979</v>
      </c>
      <c r="B445" t="s">
        <v>87</v>
      </c>
      <c r="C445" t="s">
        <v>980</v>
      </c>
      <c r="D445" t="s">
        <v>35</v>
      </c>
      <c r="E445" t="s">
        <v>13</v>
      </c>
      <c r="F445" t="s">
        <v>1974</v>
      </c>
      <c r="G445" t="s">
        <v>1975</v>
      </c>
      <c r="H445" t="s">
        <v>2096</v>
      </c>
      <c r="I445" t="s">
        <v>2947</v>
      </c>
      <c r="J445" t="s">
        <v>2089</v>
      </c>
    </row>
    <row r="446" spans="1:10" x14ac:dyDescent="0.25">
      <c r="A446" t="s">
        <v>981</v>
      </c>
      <c r="B446" t="s">
        <v>40</v>
      </c>
      <c r="C446" t="s">
        <v>982</v>
      </c>
      <c r="D446" t="s">
        <v>8</v>
      </c>
      <c r="E446" t="s">
        <v>42</v>
      </c>
      <c r="F446" t="s">
        <v>1976</v>
      </c>
      <c r="G446" t="s">
        <v>1977</v>
      </c>
      <c r="H446" t="s">
        <v>2096</v>
      </c>
      <c r="I446" t="s">
        <v>2752</v>
      </c>
      <c r="J446" t="s">
        <v>2093</v>
      </c>
    </row>
    <row r="447" spans="1:10" x14ac:dyDescent="0.25">
      <c r="A447" t="s">
        <v>983</v>
      </c>
      <c r="B447" t="s">
        <v>30</v>
      </c>
      <c r="C447" t="s">
        <v>984</v>
      </c>
      <c r="D447" t="s">
        <v>52</v>
      </c>
      <c r="E447" t="s">
        <v>56</v>
      </c>
      <c r="F447" t="s">
        <v>1978</v>
      </c>
      <c r="G447" t="s">
        <v>1979</v>
      </c>
      <c r="H447" t="s">
        <v>2087</v>
      </c>
      <c r="I447" t="s">
        <v>2950</v>
      </c>
      <c r="J447" t="s">
        <v>2093</v>
      </c>
    </row>
    <row r="448" spans="1:10" x14ac:dyDescent="0.25">
      <c r="A448" t="s">
        <v>985</v>
      </c>
      <c r="B448" t="s">
        <v>160</v>
      </c>
      <c r="C448" t="s">
        <v>986</v>
      </c>
      <c r="D448" t="s">
        <v>52</v>
      </c>
      <c r="E448" t="s">
        <v>24</v>
      </c>
      <c r="F448" t="s">
        <v>1980</v>
      </c>
      <c r="G448" t="s">
        <v>1981</v>
      </c>
      <c r="H448" t="s">
        <v>2087</v>
      </c>
      <c r="I448" t="s">
        <v>2952</v>
      </c>
      <c r="J448" t="s">
        <v>2108</v>
      </c>
    </row>
    <row r="449" spans="1:10" x14ac:dyDescent="0.25">
      <c r="A449" t="s">
        <v>987</v>
      </c>
      <c r="B449" t="s">
        <v>313</v>
      </c>
      <c r="C449" t="s">
        <v>988</v>
      </c>
      <c r="D449" t="s">
        <v>35</v>
      </c>
      <c r="E449" t="s">
        <v>9</v>
      </c>
      <c r="F449" t="s">
        <v>1982</v>
      </c>
      <c r="G449" t="s">
        <v>1983</v>
      </c>
      <c r="H449" t="s">
        <v>2096</v>
      </c>
      <c r="I449" t="s">
        <v>2546</v>
      </c>
      <c r="J449" t="s">
        <v>2089</v>
      </c>
    </row>
    <row r="450" spans="1:10" x14ac:dyDescent="0.25">
      <c r="A450" t="s">
        <v>989</v>
      </c>
      <c r="B450" t="s">
        <v>266</v>
      </c>
      <c r="C450" t="s">
        <v>990</v>
      </c>
      <c r="D450" t="s">
        <v>8</v>
      </c>
      <c r="E450" t="s">
        <v>28</v>
      </c>
      <c r="F450" t="s">
        <v>1984</v>
      </c>
      <c r="G450" t="s">
        <v>1985</v>
      </c>
      <c r="H450" t="s">
        <v>2087</v>
      </c>
      <c r="I450" t="s">
        <v>2955</v>
      </c>
      <c r="J450" t="s">
        <v>2089</v>
      </c>
    </row>
    <row r="451" spans="1:10" x14ac:dyDescent="0.25">
      <c r="A451" t="s">
        <v>991</v>
      </c>
      <c r="B451" t="s">
        <v>33</v>
      </c>
      <c r="C451" t="s">
        <v>992</v>
      </c>
      <c r="D451" t="s">
        <v>35</v>
      </c>
      <c r="E451" t="s">
        <v>20</v>
      </c>
      <c r="F451" t="s">
        <v>1986</v>
      </c>
      <c r="G451" t="s">
        <v>1987</v>
      </c>
      <c r="H451" t="s">
        <v>2087</v>
      </c>
      <c r="I451" t="s">
        <v>2444</v>
      </c>
      <c r="J451" t="s">
        <v>2093</v>
      </c>
    </row>
    <row r="452" spans="1:10" x14ac:dyDescent="0.25">
      <c r="A452" t="s">
        <v>993</v>
      </c>
      <c r="B452" t="s">
        <v>396</v>
      </c>
      <c r="C452" t="s">
        <v>994</v>
      </c>
      <c r="D452" t="s">
        <v>35</v>
      </c>
      <c r="E452" t="s">
        <v>9</v>
      </c>
      <c r="F452" t="s">
        <v>1988</v>
      </c>
      <c r="G452" t="s">
        <v>1989</v>
      </c>
      <c r="H452" t="s">
        <v>2096</v>
      </c>
      <c r="I452" t="s">
        <v>2958</v>
      </c>
      <c r="J452" t="s">
        <v>2093</v>
      </c>
    </row>
    <row r="453" spans="1:10" x14ac:dyDescent="0.25">
      <c r="A453" t="s">
        <v>995</v>
      </c>
      <c r="B453" t="s">
        <v>149</v>
      </c>
      <c r="C453" t="s">
        <v>996</v>
      </c>
      <c r="D453" t="s">
        <v>52</v>
      </c>
      <c r="E453" t="s">
        <v>28</v>
      </c>
      <c r="F453" t="s">
        <v>1990</v>
      </c>
      <c r="G453" t="s">
        <v>1991</v>
      </c>
      <c r="H453" t="s">
        <v>2087</v>
      </c>
      <c r="I453" t="s">
        <v>2960</v>
      </c>
      <c r="J453" t="s">
        <v>2089</v>
      </c>
    </row>
    <row r="454" spans="1:10" x14ac:dyDescent="0.25">
      <c r="A454" t="s">
        <v>997</v>
      </c>
      <c r="B454" t="s">
        <v>155</v>
      </c>
      <c r="C454" t="s">
        <v>998</v>
      </c>
      <c r="D454" t="s">
        <v>8</v>
      </c>
      <c r="E454" t="s">
        <v>42</v>
      </c>
      <c r="F454" t="s">
        <v>1992</v>
      </c>
      <c r="G454" t="s">
        <v>1993</v>
      </c>
      <c r="H454" t="s">
        <v>2096</v>
      </c>
      <c r="I454" t="s">
        <v>2962</v>
      </c>
      <c r="J454" t="s">
        <v>2089</v>
      </c>
    </row>
    <row r="455" spans="1:10" x14ac:dyDescent="0.25">
      <c r="A455" t="s">
        <v>999</v>
      </c>
      <c r="B455" t="s">
        <v>266</v>
      </c>
      <c r="C455" t="s">
        <v>1000</v>
      </c>
      <c r="D455" t="s">
        <v>52</v>
      </c>
      <c r="E455" t="s">
        <v>13</v>
      </c>
      <c r="F455" t="s">
        <v>1994</v>
      </c>
      <c r="G455" t="s">
        <v>1995</v>
      </c>
      <c r="H455" t="s">
        <v>2096</v>
      </c>
      <c r="I455" t="s">
        <v>2964</v>
      </c>
      <c r="J455" t="s">
        <v>2089</v>
      </c>
    </row>
    <row r="456" spans="1:10" x14ac:dyDescent="0.25">
      <c r="A456" t="s">
        <v>1001</v>
      </c>
      <c r="B456" t="s">
        <v>236</v>
      </c>
      <c r="C456" t="s">
        <v>1002</v>
      </c>
      <c r="D456" t="s">
        <v>8</v>
      </c>
      <c r="E456" t="s">
        <v>9</v>
      </c>
      <c r="F456" t="s">
        <v>1996</v>
      </c>
      <c r="G456" t="s">
        <v>1997</v>
      </c>
      <c r="H456" t="s">
        <v>2087</v>
      </c>
      <c r="I456" t="s">
        <v>2966</v>
      </c>
      <c r="J456" t="s">
        <v>2104</v>
      </c>
    </row>
    <row r="457" spans="1:10" x14ac:dyDescent="0.25">
      <c r="A457" t="s">
        <v>1003</v>
      </c>
      <c r="B457" t="s">
        <v>155</v>
      </c>
      <c r="C457" t="s">
        <v>1004</v>
      </c>
      <c r="D457" t="s">
        <v>8</v>
      </c>
      <c r="E457" t="s">
        <v>9</v>
      </c>
      <c r="F457" t="s">
        <v>1998</v>
      </c>
      <c r="G457" t="s">
        <v>1999</v>
      </c>
      <c r="H457" t="s">
        <v>2087</v>
      </c>
      <c r="I457" t="s">
        <v>2968</v>
      </c>
      <c r="J457" t="s">
        <v>2089</v>
      </c>
    </row>
    <row r="458" spans="1:10" x14ac:dyDescent="0.25">
      <c r="A458" t="s">
        <v>1005</v>
      </c>
      <c r="B458" t="s">
        <v>18</v>
      </c>
      <c r="C458" t="s">
        <v>1006</v>
      </c>
      <c r="D458" t="s">
        <v>52</v>
      </c>
      <c r="E458" t="s">
        <v>13</v>
      </c>
      <c r="F458" t="s">
        <v>2000</v>
      </c>
      <c r="G458" t="s">
        <v>2001</v>
      </c>
      <c r="H458" t="s">
        <v>2087</v>
      </c>
      <c r="I458" t="s">
        <v>2970</v>
      </c>
      <c r="J458" t="s">
        <v>2089</v>
      </c>
    </row>
    <row r="459" spans="1:10" x14ac:dyDescent="0.25">
      <c r="A459" t="s">
        <v>1007</v>
      </c>
      <c r="B459" t="s">
        <v>90</v>
      </c>
      <c r="C459" t="s">
        <v>1008</v>
      </c>
      <c r="D459" t="s">
        <v>52</v>
      </c>
      <c r="E459" t="s">
        <v>56</v>
      </c>
      <c r="F459" t="s">
        <v>2002</v>
      </c>
      <c r="G459" t="s">
        <v>2003</v>
      </c>
      <c r="H459" t="s">
        <v>2096</v>
      </c>
      <c r="I459" t="s">
        <v>2972</v>
      </c>
      <c r="J459" t="s">
        <v>2093</v>
      </c>
    </row>
    <row r="460" spans="1:10" x14ac:dyDescent="0.25">
      <c r="A460" t="s">
        <v>1009</v>
      </c>
      <c r="B460" t="s">
        <v>597</v>
      </c>
      <c r="C460" t="s">
        <v>1010</v>
      </c>
      <c r="D460" t="s">
        <v>52</v>
      </c>
      <c r="E460" t="s">
        <v>9</v>
      </c>
      <c r="F460" t="s">
        <v>1865</v>
      </c>
      <c r="G460" t="s">
        <v>2004</v>
      </c>
      <c r="H460" t="s">
        <v>2096</v>
      </c>
      <c r="I460" t="s">
        <v>2974</v>
      </c>
      <c r="J460" t="s">
        <v>2108</v>
      </c>
    </row>
    <row r="461" spans="1:10" x14ac:dyDescent="0.25">
      <c r="A461" t="s">
        <v>1011</v>
      </c>
      <c r="B461" t="s">
        <v>18</v>
      </c>
      <c r="C461" t="s">
        <v>1012</v>
      </c>
      <c r="D461" t="s">
        <v>8</v>
      </c>
      <c r="E461" t="s">
        <v>9</v>
      </c>
      <c r="F461" t="s">
        <v>2005</v>
      </c>
      <c r="G461" t="s">
        <v>2006</v>
      </c>
      <c r="H461" t="s">
        <v>2096</v>
      </c>
      <c r="I461" t="s">
        <v>2976</v>
      </c>
      <c r="J461" t="s">
        <v>2108</v>
      </c>
    </row>
    <row r="462" spans="1:10" x14ac:dyDescent="0.25">
      <c r="A462" t="s">
        <v>1013</v>
      </c>
      <c r="B462" t="s">
        <v>47</v>
      </c>
      <c r="C462" t="s">
        <v>1014</v>
      </c>
      <c r="D462" t="s">
        <v>8</v>
      </c>
      <c r="E462" t="s">
        <v>42</v>
      </c>
      <c r="F462" t="s">
        <v>1704</v>
      </c>
      <c r="G462" t="s">
        <v>2007</v>
      </c>
      <c r="H462" t="s">
        <v>2096</v>
      </c>
      <c r="I462" t="s">
        <v>2485</v>
      </c>
      <c r="J462" t="s">
        <v>2104</v>
      </c>
    </row>
    <row r="463" spans="1:10" x14ac:dyDescent="0.25">
      <c r="A463" t="s">
        <v>1015</v>
      </c>
      <c r="B463" t="s">
        <v>144</v>
      </c>
      <c r="C463" t="s">
        <v>1016</v>
      </c>
      <c r="D463" t="s">
        <v>52</v>
      </c>
      <c r="E463" t="s">
        <v>28</v>
      </c>
      <c r="F463" t="s">
        <v>2008</v>
      </c>
      <c r="G463" t="s">
        <v>2009</v>
      </c>
      <c r="H463" t="s">
        <v>2087</v>
      </c>
      <c r="I463" t="s">
        <v>2979</v>
      </c>
      <c r="J463" t="s">
        <v>2104</v>
      </c>
    </row>
    <row r="464" spans="1:10" x14ac:dyDescent="0.25">
      <c r="A464" t="s">
        <v>1017</v>
      </c>
      <c r="B464" t="s">
        <v>64</v>
      </c>
      <c r="C464" t="s">
        <v>1018</v>
      </c>
      <c r="D464" t="s">
        <v>8</v>
      </c>
      <c r="E464" t="s">
        <v>28</v>
      </c>
      <c r="F464" t="s">
        <v>2010</v>
      </c>
      <c r="G464" t="s">
        <v>2011</v>
      </c>
      <c r="H464" t="s">
        <v>2087</v>
      </c>
      <c r="I464" t="s">
        <v>2440</v>
      </c>
      <c r="J464" t="s">
        <v>2093</v>
      </c>
    </row>
    <row r="465" spans="1:10" x14ac:dyDescent="0.25">
      <c r="A465" t="s">
        <v>1019</v>
      </c>
      <c r="B465" t="s">
        <v>93</v>
      </c>
      <c r="C465" t="s">
        <v>1020</v>
      </c>
      <c r="D465" t="s">
        <v>35</v>
      </c>
      <c r="E465" t="s">
        <v>16</v>
      </c>
      <c r="F465" t="s">
        <v>2012</v>
      </c>
      <c r="G465" t="s">
        <v>2013</v>
      </c>
      <c r="H465" t="s">
        <v>2087</v>
      </c>
      <c r="I465" t="s">
        <v>2982</v>
      </c>
      <c r="J465" t="s">
        <v>2104</v>
      </c>
    </row>
    <row r="466" spans="1:10" x14ac:dyDescent="0.25">
      <c r="A466" t="s">
        <v>1021</v>
      </c>
      <c r="B466" t="s">
        <v>33</v>
      </c>
      <c r="C466" t="s">
        <v>1022</v>
      </c>
      <c r="D466" t="s">
        <v>8</v>
      </c>
      <c r="E466" t="s">
        <v>42</v>
      </c>
      <c r="F466" t="s">
        <v>2014</v>
      </c>
      <c r="G466" t="s">
        <v>2015</v>
      </c>
      <c r="H466" t="s">
        <v>2096</v>
      </c>
      <c r="I466" t="s">
        <v>2984</v>
      </c>
      <c r="J466" t="s">
        <v>2093</v>
      </c>
    </row>
    <row r="467" spans="1:10" x14ac:dyDescent="0.25">
      <c r="A467" t="s">
        <v>1023</v>
      </c>
      <c r="B467" t="s">
        <v>412</v>
      </c>
      <c r="C467" t="s">
        <v>1024</v>
      </c>
      <c r="D467" t="s">
        <v>52</v>
      </c>
      <c r="E467" t="s">
        <v>28</v>
      </c>
      <c r="F467" t="s">
        <v>2016</v>
      </c>
      <c r="G467" t="s">
        <v>2017</v>
      </c>
      <c r="H467" t="s">
        <v>2087</v>
      </c>
      <c r="I467" t="s">
        <v>2930</v>
      </c>
      <c r="J467" t="s">
        <v>2089</v>
      </c>
    </row>
    <row r="468" spans="1:10" x14ac:dyDescent="0.25">
      <c r="A468" t="s">
        <v>1025</v>
      </c>
      <c r="B468" t="s">
        <v>201</v>
      </c>
      <c r="C468" t="s">
        <v>1026</v>
      </c>
      <c r="D468" t="s">
        <v>35</v>
      </c>
      <c r="E468" t="s">
        <v>20</v>
      </c>
      <c r="F468" t="s">
        <v>1291</v>
      </c>
      <c r="G468" t="s">
        <v>2018</v>
      </c>
      <c r="H468" t="s">
        <v>2087</v>
      </c>
      <c r="I468" t="s">
        <v>2100</v>
      </c>
      <c r="J468" t="s">
        <v>2108</v>
      </c>
    </row>
    <row r="469" spans="1:10" x14ac:dyDescent="0.25">
      <c r="A469" t="s">
        <v>1027</v>
      </c>
      <c r="B469" t="s">
        <v>278</v>
      </c>
      <c r="C469" t="s">
        <v>1028</v>
      </c>
      <c r="D469" t="s">
        <v>52</v>
      </c>
      <c r="E469" t="s">
        <v>20</v>
      </c>
      <c r="F469" t="s">
        <v>2019</v>
      </c>
      <c r="G469" t="s">
        <v>2020</v>
      </c>
      <c r="H469" t="s">
        <v>2096</v>
      </c>
      <c r="I469" t="s">
        <v>2988</v>
      </c>
      <c r="J469" t="s">
        <v>2108</v>
      </c>
    </row>
    <row r="470" spans="1:10" x14ac:dyDescent="0.25">
      <c r="A470" t="s">
        <v>1029</v>
      </c>
      <c r="B470" t="s">
        <v>278</v>
      </c>
      <c r="C470" t="s">
        <v>1030</v>
      </c>
      <c r="D470" t="s">
        <v>35</v>
      </c>
      <c r="E470" t="s">
        <v>28</v>
      </c>
      <c r="F470" t="s">
        <v>2021</v>
      </c>
      <c r="G470" t="s">
        <v>2022</v>
      </c>
      <c r="H470" t="s">
        <v>2096</v>
      </c>
      <c r="I470" t="s">
        <v>2990</v>
      </c>
      <c r="J470" t="s">
        <v>2089</v>
      </c>
    </row>
    <row r="471" spans="1:10" x14ac:dyDescent="0.25">
      <c r="A471" t="s">
        <v>1031</v>
      </c>
      <c r="B471" t="s">
        <v>278</v>
      </c>
      <c r="C471" t="s">
        <v>1032</v>
      </c>
      <c r="D471" t="s">
        <v>52</v>
      </c>
      <c r="E471" t="s">
        <v>24</v>
      </c>
      <c r="F471" t="s">
        <v>2023</v>
      </c>
      <c r="G471" t="s">
        <v>2024</v>
      </c>
      <c r="H471" t="s">
        <v>2096</v>
      </c>
      <c r="I471" t="s">
        <v>2476</v>
      </c>
      <c r="J471" t="s">
        <v>2089</v>
      </c>
    </row>
    <row r="472" spans="1:10" x14ac:dyDescent="0.25">
      <c r="A472" t="s">
        <v>1033</v>
      </c>
      <c r="B472" t="s">
        <v>219</v>
      </c>
      <c r="C472" t="s">
        <v>1034</v>
      </c>
      <c r="D472" t="s">
        <v>35</v>
      </c>
      <c r="E472" t="s">
        <v>24</v>
      </c>
      <c r="F472" t="s">
        <v>1188</v>
      </c>
      <c r="G472" t="s">
        <v>2025</v>
      </c>
      <c r="H472" t="s">
        <v>2096</v>
      </c>
      <c r="I472" t="s">
        <v>2993</v>
      </c>
      <c r="J472" t="s">
        <v>2093</v>
      </c>
    </row>
    <row r="473" spans="1:10" x14ac:dyDescent="0.25">
      <c r="A473" t="s">
        <v>1035</v>
      </c>
      <c r="B473" t="s">
        <v>406</v>
      </c>
      <c r="C473" t="s">
        <v>1036</v>
      </c>
      <c r="D473" t="s">
        <v>8</v>
      </c>
      <c r="E473" t="s">
        <v>28</v>
      </c>
      <c r="F473" t="s">
        <v>1521</v>
      </c>
      <c r="G473" t="s">
        <v>2026</v>
      </c>
      <c r="H473" t="s">
        <v>2096</v>
      </c>
      <c r="I473" t="s">
        <v>2995</v>
      </c>
      <c r="J473" t="s">
        <v>2108</v>
      </c>
    </row>
    <row r="474" spans="1:10" x14ac:dyDescent="0.25">
      <c r="A474" t="s">
        <v>1037</v>
      </c>
      <c r="B474" t="s">
        <v>54</v>
      </c>
      <c r="C474" t="s">
        <v>1038</v>
      </c>
      <c r="D474" t="s">
        <v>8</v>
      </c>
      <c r="E474" t="s">
        <v>20</v>
      </c>
      <c r="F474" t="s">
        <v>2027</v>
      </c>
      <c r="G474" t="s">
        <v>2028</v>
      </c>
      <c r="H474" t="s">
        <v>2087</v>
      </c>
      <c r="I474" t="s">
        <v>2997</v>
      </c>
      <c r="J474" t="s">
        <v>2108</v>
      </c>
    </row>
    <row r="475" spans="1:10" x14ac:dyDescent="0.25">
      <c r="A475" t="s">
        <v>1039</v>
      </c>
      <c r="B475" t="s">
        <v>160</v>
      </c>
      <c r="C475" t="s">
        <v>1040</v>
      </c>
      <c r="D475" t="s">
        <v>52</v>
      </c>
      <c r="E475" t="s">
        <v>56</v>
      </c>
      <c r="F475" t="s">
        <v>2029</v>
      </c>
      <c r="G475" t="s">
        <v>2030</v>
      </c>
      <c r="H475" t="s">
        <v>2087</v>
      </c>
      <c r="I475" t="s">
        <v>2999</v>
      </c>
      <c r="J475" t="s">
        <v>2089</v>
      </c>
    </row>
    <row r="476" spans="1:10" x14ac:dyDescent="0.25">
      <c r="A476" t="s">
        <v>1041</v>
      </c>
      <c r="B476" t="s">
        <v>149</v>
      </c>
      <c r="C476" t="s">
        <v>1042</v>
      </c>
      <c r="D476" t="s">
        <v>8</v>
      </c>
      <c r="E476" t="s">
        <v>56</v>
      </c>
      <c r="F476" t="s">
        <v>2031</v>
      </c>
      <c r="G476" t="s">
        <v>2032</v>
      </c>
      <c r="H476" t="s">
        <v>2096</v>
      </c>
      <c r="I476" t="s">
        <v>3001</v>
      </c>
      <c r="J476" t="s">
        <v>2089</v>
      </c>
    </row>
    <row r="477" spans="1:10" x14ac:dyDescent="0.25">
      <c r="A477" t="s">
        <v>1043</v>
      </c>
      <c r="B477" t="s">
        <v>124</v>
      </c>
      <c r="C477" t="s">
        <v>1044</v>
      </c>
      <c r="D477" t="s">
        <v>35</v>
      </c>
      <c r="E477" t="s">
        <v>28</v>
      </c>
      <c r="F477" t="s">
        <v>2033</v>
      </c>
      <c r="G477" t="s">
        <v>2034</v>
      </c>
      <c r="H477" t="s">
        <v>2096</v>
      </c>
      <c r="I477" t="s">
        <v>3003</v>
      </c>
      <c r="J477" t="s">
        <v>2093</v>
      </c>
    </row>
    <row r="478" spans="1:10" x14ac:dyDescent="0.25">
      <c r="A478" t="s">
        <v>1045</v>
      </c>
      <c r="B478" t="s">
        <v>149</v>
      </c>
      <c r="C478" t="s">
        <v>1046</v>
      </c>
      <c r="D478" t="s">
        <v>35</v>
      </c>
      <c r="E478" t="s">
        <v>28</v>
      </c>
      <c r="F478" t="s">
        <v>2035</v>
      </c>
      <c r="G478" t="s">
        <v>2036</v>
      </c>
      <c r="H478" t="s">
        <v>2096</v>
      </c>
      <c r="I478" t="s">
        <v>3005</v>
      </c>
      <c r="J478" t="s">
        <v>2089</v>
      </c>
    </row>
    <row r="479" spans="1:10" x14ac:dyDescent="0.25">
      <c r="A479" t="s">
        <v>1047</v>
      </c>
      <c r="B479" t="s">
        <v>111</v>
      </c>
      <c r="C479" t="s">
        <v>1048</v>
      </c>
      <c r="D479" t="s">
        <v>8</v>
      </c>
      <c r="E479" t="s">
        <v>42</v>
      </c>
      <c r="F479" t="s">
        <v>2037</v>
      </c>
      <c r="G479" t="s">
        <v>2038</v>
      </c>
      <c r="H479" t="s">
        <v>2096</v>
      </c>
      <c r="I479" t="s">
        <v>2808</v>
      </c>
      <c r="J479" t="s">
        <v>2093</v>
      </c>
    </row>
    <row r="480" spans="1:10" x14ac:dyDescent="0.25">
      <c r="A480" t="s">
        <v>1049</v>
      </c>
      <c r="B480" t="s">
        <v>58</v>
      </c>
      <c r="C480" t="s">
        <v>1050</v>
      </c>
      <c r="D480" t="s">
        <v>8</v>
      </c>
      <c r="E480" t="s">
        <v>13</v>
      </c>
      <c r="F480" t="s">
        <v>2039</v>
      </c>
      <c r="G480" t="s">
        <v>2040</v>
      </c>
      <c r="H480" t="s">
        <v>2087</v>
      </c>
      <c r="I480" t="s">
        <v>3008</v>
      </c>
      <c r="J480" t="s">
        <v>2104</v>
      </c>
    </row>
    <row r="481" spans="1:10" x14ac:dyDescent="0.25">
      <c r="A481" t="s">
        <v>1051</v>
      </c>
      <c r="B481" t="s">
        <v>396</v>
      </c>
      <c r="C481" t="s">
        <v>1052</v>
      </c>
      <c r="D481" t="s">
        <v>35</v>
      </c>
      <c r="E481" t="s">
        <v>13</v>
      </c>
      <c r="F481" t="s">
        <v>2041</v>
      </c>
      <c r="G481" t="s">
        <v>2042</v>
      </c>
      <c r="H481" t="s">
        <v>2096</v>
      </c>
      <c r="I481" t="s">
        <v>3010</v>
      </c>
      <c r="J481" t="s">
        <v>2089</v>
      </c>
    </row>
    <row r="482" spans="1:10" x14ac:dyDescent="0.25">
      <c r="A482" t="s">
        <v>1053</v>
      </c>
      <c r="B482" t="s">
        <v>114</v>
      </c>
      <c r="C482" t="s">
        <v>1054</v>
      </c>
      <c r="D482" t="s">
        <v>8</v>
      </c>
      <c r="E482" t="s">
        <v>24</v>
      </c>
      <c r="F482" t="s">
        <v>2043</v>
      </c>
      <c r="G482" t="s">
        <v>2044</v>
      </c>
      <c r="H482" t="s">
        <v>2087</v>
      </c>
      <c r="I482" t="s">
        <v>3012</v>
      </c>
      <c r="J482" t="s">
        <v>2089</v>
      </c>
    </row>
    <row r="483" spans="1:10" x14ac:dyDescent="0.25">
      <c r="A483" t="s">
        <v>1055</v>
      </c>
      <c r="B483" t="s">
        <v>396</v>
      </c>
      <c r="C483" t="s">
        <v>1056</v>
      </c>
      <c r="D483" t="s">
        <v>8</v>
      </c>
      <c r="E483" t="s">
        <v>56</v>
      </c>
      <c r="F483" t="s">
        <v>2045</v>
      </c>
      <c r="G483" t="s">
        <v>2046</v>
      </c>
      <c r="H483" t="s">
        <v>2096</v>
      </c>
      <c r="I483" t="s">
        <v>2952</v>
      </c>
      <c r="J483" t="s">
        <v>2108</v>
      </c>
    </row>
    <row r="484" spans="1:10" x14ac:dyDescent="0.25">
      <c r="A484" t="s">
        <v>1057</v>
      </c>
      <c r="B484" t="s">
        <v>201</v>
      </c>
      <c r="C484" t="s">
        <v>1058</v>
      </c>
      <c r="D484" t="s">
        <v>35</v>
      </c>
      <c r="E484" t="s">
        <v>42</v>
      </c>
      <c r="F484" t="s">
        <v>2047</v>
      </c>
      <c r="G484" t="s">
        <v>2048</v>
      </c>
      <c r="H484" t="s">
        <v>2096</v>
      </c>
      <c r="I484" t="s">
        <v>3015</v>
      </c>
      <c r="J484" t="s">
        <v>2104</v>
      </c>
    </row>
    <row r="485" spans="1:10" x14ac:dyDescent="0.25">
      <c r="A485" t="s">
        <v>1059</v>
      </c>
      <c r="B485" t="s">
        <v>22</v>
      </c>
      <c r="C485" t="s">
        <v>1060</v>
      </c>
      <c r="D485" t="s">
        <v>35</v>
      </c>
      <c r="E485" t="s">
        <v>42</v>
      </c>
      <c r="F485" t="s">
        <v>2049</v>
      </c>
      <c r="G485" t="s">
        <v>2050</v>
      </c>
      <c r="H485" t="s">
        <v>2096</v>
      </c>
      <c r="I485" t="s">
        <v>3017</v>
      </c>
      <c r="J485" t="s">
        <v>2093</v>
      </c>
    </row>
    <row r="486" spans="1:10" x14ac:dyDescent="0.25">
      <c r="A486" t="s">
        <v>1061</v>
      </c>
      <c r="B486" t="s">
        <v>134</v>
      </c>
      <c r="C486" t="s">
        <v>1062</v>
      </c>
      <c r="D486" t="s">
        <v>35</v>
      </c>
      <c r="E486" t="s">
        <v>42</v>
      </c>
      <c r="F486" t="s">
        <v>2051</v>
      </c>
      <c r="G486" t="s">
        <v>2052</v>
      </c>
      <c r="H486" t="s">
        <v>2087</v>
      </c>
      <c r="I486" t="s">
        <v>3019</v>
      </c>
      <c r="J486" t="s">
        <v>2108</v>
      </c>
    </row>
    <row r="487" spans="1:10" x14ac:dyDescent="0.25">
      <c r="A487" t="s">
        <v>1063</v>
      </c>
      <c r="B487" t="s">
        <v>73</v>
      </c>
      <c r="C487" t="s">
        <v>1064</v>
      </c>
      <c r="D487" t="s">
        <v>8</v>
      </c>
      <c r="E487" t="s">
        <v>24</v>
      </c>
      <c r="F487" t="s">
        <v>2053</v>
      </c>
      <c r="G487" t="s">
        <v>2054</v>
      </c>
      <c r="H487" t="s">
        <v>2087</v>
      </c>
      <c r="I487" t="s">
        <v>3021</v>
      </c>
      <c r="J487" t="s">
        <v>2089</v>
      </c>
    </row>
    <row r="488" spans="1:10" x14ac:dyDescent="0.25">
      <c r="A488" t="s">
        <v>1065</v>
      </c>
      <c r="B488" t="s">
        <v>84</v>
      </c>
      <c r="C488" t="s">
        <v>1066</v>
      </c>
      <c r="D488" t="s">
        <v>52</v>
      </c>
      <c r="E488" t="s">
        <v>28</v>
      </c>
      <c r="F488" t="s">
        <v>2055</v>
      </c>
      <c r="G488" t="s">
        <v>2056</v>
      </c>
      <c r="H488" t="s">
        <v>2087</v>
      </c>
      <c r="I488" t="s">
        <v>3023</v>
      </c>
      <c r="J488" t="s">
        <v>2089</v>
      </c>
    </row>
    <row r="489" spans="1:10" x14ac:dyDescent="0.25">
      <c r="A489" t="s">
        <v>1067</v>
      </c>
      <c r="B489" t="s">
        <v>30</v>
      </c>
      <c r="C489" t="s">
        <v>1068</v>
      </c>
      <c r="D489" t="s">
        <v>35</v>
      </c>
      <c r="E489" t="s">
        <v>13</v>
      </c>
      <c r="F489" t="s">
        <v>2057</v>
      </c>
      <c r="G489" t="s">
        <v>2058</v>
      </c>
      <c r="H489" t="s">
        <v>2087</v>
      </c>
      <c r="I489" t="s">
        <v>3025</v>
      </c>
      <c r="J489" t="s">
        <v>2108</v>
      </c>
    </row>
    <row r="490" spans="1:10" x14ac:dyDescent="0.25">
      <c r="A490" t="s">
        <v>1069</v>
      </c>
      <c r="B490" t="s">
        <v>22</v>
      </c>
      <c r="C490" t="s">
        <v>1070</v>
      </c>
      <c r="D490" t="s">
        <v>35</v>
      </c>
      <c r="E490" t="s">
        <v>28</v>
      </c>
      <c r="F490" t="s">
        <v>2059</v>
      </c>
      <c r="G490" t="s">
        <v>2060</v>
      </c>
      <c r="H490" t="s">
        <v>2096</v>
      </c>
      <c r="I490" t="s">
        <v>3027</v>
      </c>
      <c r="J490" t="s">
        <v>2108</v>
      </c>
    </row>
    <row r="491" spans="1:10" x14ac:dyDescent="0.25">
      <c r="A491" t="s">
        <v>1071</v>
      </c>
      <c r="B491" t="s">
        <v>58</v>
      </c>
      <c r="C491" t="s">
        <v>1072</v>
      </c>
      <c r="D491" t="s">
        <v>8</v>
      </c>
      <c r="E491" t="s">
        <v>24</v>
      </c>
      <c r="F491" t="s">
        <v>2061</v>
      </c>
      <c r="G491" t="s">
        <v>2062</v>
      </c>
      <c r="H491" t="s">
        <v>2096</v>
      </c>
      <c r="I491" t="s">
        <v>3029</v>
      </c>
      <c r="J491" t="s">
        <v>2104</v>
      </c>
    </row>
    <row r="492" spans="1:10" x14ac:dyDescent="0.25">
      <c r="A492" t="s">
        <v>1073</v>
      </c>
      <c r="B492" t="s">
        <v>523</v>
      </c>
      <c r="C492" t="s">
        <v>1074</v>
      </c>
      <c r="D492" t="s">
        <v>52</v>
      </c>
      <c r="E492" t="s">
        <v>24</v>
      </c>
      <c r="F492" t="s">
        <v>1847</v>
      </c>
      <c r="G492" t="s">
        <v>2063</v>
      </c>
      <c r="H492" t="s">
        <v>2096</v>
      </c>
      <c r="I492" t="s">
        <v>3031</v>
      </c>
      <c r="J492" t="s">
        <v>2104</v>
      </c>
    </row>
    <row r="493" spans="1:10" x14ac:dyDescent="0.25">
      <c r="A493" t="s">
        <v>1075</v>
      </c>
      <c r="B493" t="s">
        <v>297</v>
      </c>
      <c r="C493" t="s">
        <v>1076</v>
      </c>
      <c r="D493" t="s">
        <v>52</v>
      </c>
      <c r="E493" t="s">
        <v>16</v>
      </c>
      <c r="F493" t="s">
        <v>2064</v>
      </c>
      <c r="G493" t="s">
        <v>2065</v>
      </c>
      <c r="H493" t="s">
        <v>2087</v>
      </c>
      <c r="I493" t="s">
        <v>3033</v>
      </c>
      <c r="J493" t="s">
        <v>2104</v>
      </c>
    </row>
    <row r="494" spans="1:10" x14ac:dyDescent="0.25">
      <c r="A494" t="s">
        <v>1077</v>
      </c>
      <c r="B494" t="s">
        <v>73</v>
      </c>
      <c r="C494" t="s">
        <v>1078</v>
      </c>
      <c r="D494" t="s">
        <v>35</v>
      </c>
      <c r="E494" t="s">
        <v>9</v>
      </c>
      <c r="F494" t="s">
        <v>2066</v>
      </c>
      <c r="G494" t="s">
        <v>2067</v>
      </c>
      <c r="H494" t="s">
        <v>2096</v>
      </c>
      <c r="I494" t="s">
        <v>3035</v>
      </c>
      <c r="J494" t="s">
        <v>2104</v>
      </c>
    </row>
    <row r="495" spans="1:10" x14ac:dyDescent="0.25">
      <c r="A495" t="s">
        <v>1079</v>
      </c>
      <c r="B495" t="s">
        <v>90</v>
      </c>
      <c r="C495" t="s">
        <v>1080</v>
      </c>
      <c r="D495" t="s">
        <v>35</v>
      </c>
      <c r="E495" t="s">
        <v>56</v>
      </c>
      <c r="F495" t="s">
        <v>2068</v>
      </c>
      <c r="G495" t="s">
        <v>2069</v>
      </c>
      <c r="H495" t="s">
        <v>2087</v>
      </c>
      <c r="I495" t="s">
        <v>3037</v>
      </c>
      <c r="J495" t="s">
        <v>2108</v>
      </c>
    </row>
    <row r="496" spans="1:10" x14ac:dyDescent="0.25">
      <c r="A496" t="s">
        <v>1081</v>
      </c>
      <c r="B496" t="s">
        <v>6</v>
      </c>
      <c r="C496" t="s">
        <v>1082</v>
      </c>
      <c r="D496" t="s">
        <v>8</v>
      </c>
      <c r="E496" t="s">
        <v>13</v>
      </c>
      <c r="F496" t="s">
        <v>1672</v>
      </c>
      <c r="G496" t="s">
        <v>2070</v>
      </c>
      <c r="H496" t="s">
        <v>2087</v>
      </c>
      <c r="I496" t="s">
        <v>3039</v>
      </c>
      <c r="J496" t="s">
        <v>2108</v>
      </c>
    </row>
    <row r="497" spans="1:10" x14ac:dyDescent="0.25">
      <c r="A497" t="s">
        <v>1083</v>
      </c>
      <c r="B497" t="s">
        <v>396</v>
      </c>
      <c r="C497" t="s">
        <v>1084</v>
      </c>
      <c r="D497" t="s">
        <v>35</v>
      </c>
      <c r="E497" t="s">
        <v>42</v>
      </c>
      <c r="F497" t="s">
        <v>2071</v>
      </c>
      <c r="G497" t="s">
        <v>2072</v>
      </c>
      <c r="H497" t="s">
        <v>2087</v>
      </c>
      <c r="I497" t="s">
        <v>3041</v>
      </c>
      <c r="J497" t="s">
        <v>2108</v>
      </c>
    </row>
    <row r="498" spans="1:10" x14ac:dyDescent="0.25">
      <c r="A498" t="s">
        <v>1085</v>
      </c>
      <c r="B498" t="s">
        <v>11</v>
      </c>
      <c r="C498" t="s">
        <v>1086</v>
      </c>
      <c r="D498" t="s">
        <v>35</v>
      </c>
      <c r="E498" t="s">
        <v>42</v>
      </c>
      <c r="F498" t="s">
        <v>1471</v>
      </c>
      <c r="G498" t="s">
        <v>2073</v>
      </c>
      <c r="H498" t="s">
        <v>2087</v>
      </c>
      <c r="I498" t="s">
        <v>2282</v>
      </c>
      <c r="J498" t="s">
        <v>2089</v>
      </c>
    </row>
    <row r="499" spans="1:10" x14ac:dyDescent="0.25">
      <c r="A499" t="s">
        <v>1087</v>
      </c>
      <c r="B499" t="s">
        <v>297</v>
      </c>
      <c r="C499" t="s">
        <v>1088</v>
      </c>
      <c r="D499" t="s">
        <v>52</v>
      </c>
      <c r="E499" t="s">
        <v>16</v>
      </c>
      <c r="F499" t="s">
        <v>2074</v>
      </c>
      <c r="G499" t="s">
        <v>2075</v>
      </c>
      <c r="H499" t="s">
        <v>2096</v>
      </c>
      <c r="I499" t="s">
        <v>3044</v>
      </c>
      <c r="J499" t="s">
        <v>2108</v>
      </c>
    </row>
    <row r="500" spans="1:10" x14ac:dyDescent="0.25">
      <c r="A500" t="s">
        <v>1089</v>
      </c>
      <c r="B500" t="s">
        <v>251</v>
      </c>
      <c r="C500" t="s">
        <v>1090</v>
      </c>
      <c r="D500" t="s">
        <v>35</v>
      </c>
      <c r="E500" t="s">
        <v>9</v>
      </c>
      <c r="F500" t="s">
        <v>2076</v>
      </c>
      <c r="G500" t="s">
        <v>2077</v>
      </c>
      <c r="H500" t="s">
        <v>2096</v>
      </c>
      <c r="I500" t="s">
        <v>3046</v>
      </c>
      <c r="J500" t="s">
        <v>2089</v>
      </c>
    </row>
    <row r="501" spans="1:10" x14ac:dyDescent="0.25">
      <c r="A501" t="s">
        <v>1091</v>
      </c>
      <c r="B501" t="s">
        <v>64</v>
      </c>
      <c r="C501" t="s">
        <v>1092</v>
      </c>
      <c r="D501" t="s">
        <v>35</v>
      </c>
      <c r="E501" t="s">
        <v>20</v>
      </c>
      <c r="F501" t="s">
        <v>2078</v>
      </c>
      <c r="G501" t="s">
        <v>2079</v>
      </c>
      <c r="H501" t="s">
        <v>2087</v>
      </c>
      <c r="I501" t="s">
        <v>3048</v>
      </c>
      <c r="J501" t="s">
        <v>2089</v>
      </c>
    </row>
  </sheetData>
  <pageMargins left="0.7" right="0.7" top="0.75" bottom="0.75" header="0.3" footer="0.3"/>
  <ignoredErrors>
    <ignoredError sqref="A1:E5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01"/>
  <sheetViews>
    <sheetView topLeftCell="A487" workbookViewId="0">
      <selection activeCell="L508" sqref="L508"/>
    </sheetView>
  </sheetViews>
  <sheetFormatPr defaultRowHeight="15.75" x14ac:dyDescent="0.25"/>
  <cols>
    <col min="4" max="4" width="46.625" bestFit="1" customWidth="1"/>
  </cols>
  <sheetData>
    <row r="1" spans="1:4" x14ac:dyDescent="0.25">
      <c r="A1" t="s">
        <v>3452</v>
      </c>
      <c r="B1" t="s">
        <v>2080</v>
      </c>
      <c r="C1" t="s">
        <v>3453</v>
      </c>
      <c r="D1" t="s">
        <v>3454</v>
      </c>
    </row>
    <row r="2" spans="1:4" x14ac:dyDescent="0.25">
      <c r="A2" t="s">
        <v>3455</v>
      </c>
      <c r="B2" t="s">
        <v>2085</v>
      </c>
      <c r="C2" t="s">
        <v>3456</v>
      </c>
      <c r="D2" t="s">
        <v>3457</v>
      </c>
    </row>
    <row r="3" spans="1:4" x14ac:dyDescent="0.25">
      <c r="A3" t="s">
        <v>3458</v>
      </c>
      <c r="B3" t="s">
        <v>2090</v>
      </c>
      <c r="C3" t="s">
        <v>3459</v>
      </c>
      <c r="D3" t="s">
        <v>3460</v>
      </c>
    </row>
    <row r="4" spans="1:4" x14ac:dyDescent="0.25">
      <c r="A4" t="s">
        <v>3461</v>
      </c>
      <c r="B4" t="s">
        <v>2094</v>
      </c>
      <c r="C4" t="s">
        <v>3459</v>
      </c>
      <c r="D4" t="s">
        <v>3460</v>
      </c>
    </row>
    <row r="5" spans="1:4" x14ac:dyDescent="0.25">
      <c r="A5" t="s">
        <v>3462</v>
      </c>
      <c r="B5" t="s">
        <v>2098</v>
      </c>
      <c r="C5" t="s">
        <v>3463</v>
      </c>
      <c r="D5" t="s">
        <v>3464</v>
      </c>
    </row>
    <row r="6" spans="1:4" x14ac:dyDescent="0.25">
      <c r="A6" t="s">
        <v>3465</v>
      </c>
      <c r="B6" t="s">
        <v>2101</v>
      </c>
      <c r="C6" t="s">
        <v>3456</v>
      </c>
      <c r="D6" t="s">
        <v>3457</v>
      </c>
    </row>
    <row r="7" spans="1:4" x14ac:dyDescent="0.25">
      <c r="A7" t="s">
        <v>3466</v>
      </c>
      <c r="B7" t="s">
        <v>2105</v>
      </c>
      <c r="C7" t="s">
        <v>3463</v>
      </c>
      <c r="D7" t="s">
        <v>3464</v>
      </c>
    </row>
    <row r="8" spans="1:4" x14ac:dyDescent="0.25">
      <c r="A8" t="s">
        <v>3467</v>
      </c>
      <c r="B8" t="s">
        <v>2109</v>
      </c>
      <c r="C8" t="s">
        <v>3463</v>
      </c>
      <c r="D8" t="s">
        <v>3464</v>
      </c>
    </row>
    <row r="9" spans="1:4" x14ac:dyDescent="0.25">
      <c r="A9" t="s">
        <v>3468</v>
      </c>
      <c r="B9" t="s">
        <v>2112</v>
      </c>
      <c r="C9" t="s">
        <v>3456</v>
      </c>
      <c r="D9" t="s">
        <v>3457</v>
      </c>
    </row>
    <row r="10" spans="1:4" x14ac:dyDescent="0.25">
      <c r="A10" t="s">
        <v>3469</v>
      </c>
      <c r="B10" t="s">
        <v>2115</v>
      </c>
      <c r="C10" t="s">
        <v>3463</v>
      </c>
      <c r="D10" t="s">
        <v>3464</v>
      </c>
    </row>
    <row r="11" spans="1:4" x14ac:dyDescent="0.25">
      <c r="A11" t="s">
        <v>3470</v>
      </c>
      <c r="B11" t="s">
        <v>2118</v>
      </c>
      <c r="C11" t="s">
        <v>3471</v>
      </c>
      <c r="D11" t="s">
        <v>3472</v>
      </c>
    </row>
    <row r="12" spans="1:4" x14ac:dyDescent="0.25">
      <c r="A12" t="s">
        <v>3473</v>
      </c>
      <c r="B12" t="s">
        <v>2120</v>
      </c>
      <c r="C12" t="s">
        <v>3471</v>
      </c>
      <c r="D12" t="s">
        <v>3472</v>
      </c>
    </row>
    <row r="13" spans="1:4" x14ac:dyDescent="0.25">
      <c r="A13" t="s">
        <v>3474</v>
      </c>
      <c r="B13" t="s">
        <v>2122</v>
      </c>
      <c r="C13" t="s">
        <v>3459</v>
      </c>
      <c r="D13" t="s">
        <v>3460</v>
      </c>
    </row>
    <row r="14" spans="1:4" x14ac:dyDescent="0.25">
      <c r="A14" t="s">
        <v>3475</v>
      </c>
      <c r="B14" t="s">
        <v>2125</v>
      </c>
      <c r="C14" t="s">
        <v>3471</v>
      </c>
      <c r="D14" t="s">
        <v>3472</v>
      </c>
    </row>
    <row r="15" spans="1:4" x14ac:dyDescent="0.25">
      <c r="A15" t="s">
        <v>3476</v>
      </c>
      <c r="B15" t="s">
        <v>2128</v>
      </c>
      <c r="C15" t="s">
        <v>3477</v>
      </c>
      <c r="D15" t="s">
        <v>3478</v>
      </c>
    </row>
    <row r="16" spans="1:4" x14ac:dyDescent="0.25">
      <c r="A16" t="s">
        <v>3479</v>
      </c>
      <c r="B16" t="s">
        <v>2131</v>
      </c>
      <c r="C16" t="s">
        <v>3459</v>
      </c>
      <c r="D16" t="s">
        <v>3460</v>
      </c>
    </row>
    <row r="17" spans="1:4" x14ac:dyDescent="0.25">
      <c r="A17" t="s">
        <v>3480</v>
      </c>
      <c r="B17" t="s">
        <v>2134</v>
      </c>
      <c r="C17" t="s">
        <v>3463</v>
      </c>
      <c r="D17" t="s">
        <v>3464</v>
      </c>
    </row>
    <row r="18" spans="1:4" x14ac:dyDescent="0.25">
      <c r="A18" t="s">
        <v>3481</v>
      </c>
      <c r="B18" t="s">
        <v>2137</v>
      </c>
      <c r="C18" t="s">
        <v>3471</v>
      </c>
      <c r="D18" t="s">
        <v>3472</v>
      </c>
    </row>
    <row r="19" spans="1:4" x14ac:dyDescent="0.25">
      <c r="A19" t="s">
        <v>3482</v>
      </c>
      <c r="B19" t="s">
        <v>2140</v>
      </c>
      <c r="C19" t="s">
        <v>3459</v>
      </c>
      <c r="D19" t="s">
        <v>3460</v>
      </c>
    </row>
    <row r="20" spans="1:4" x14ac:dyDescent="0.25">
      <c r="A20" t="s">
        <v>3483</v>
      </c>
      <c r="B20" t="s">
        <v>2142</v>
      </c>
      <c r="C20" t="s">
        <v>3471</v>
      </c>
      <c r="D20" t="s">
        <v>3472</v>
      </c>
    </row>
    <row r="21" spans="1:4" x14ac:dyDescent="0.25">
      <c r="A21" t="s">
        <v>3484</v>
      </c>
      <c r="B21" t="s">
        <v>2144</v>
      </c>
      <c r="C21" t="s">
        <v>3477</v>
      </c>
      <c r="D21" t="s">
        <v>3478</v>
      </c>
    </row>
    <row r="22" spans="1:4" x14ac:dyDescent="0.25">
      <c r="A22" t="s">
        <v>3485</v>
      </c>
      <c r="B22" t="s">
        <v>2146</v>
      </c>
      <c r="C22" t="s">
        <v>3459</v>
      </c>
      <c r="D22" t="s">
        <v>3460</v>
      </c>
    </row>
    <row r="23" spans="1:4" x14ac:dyDescent="0.25">
      <c r="A23" t="s">
        <v>3486</v>
      </c>
      <c r="B23" t="s">
        <v>2149</v>
      </c>
      <c r="C23" t="s">
        <v>3463</v>
      </c>
      <c r="D23" t="s">
        <v>3464</v>
      </c>
    </row>
    <row r="24" spans="1:4" x14ac:dyDescent="0.25">
      <c r="A24" t="s">
        <v>3487</v>
      </c>
      <c r="B24" t="s">
        <v>2151</v>
      </c>
      <c r="C24" t="s">
        <v>3471</v>
      </c>
      <c r="D24" t="s">
        <v>3472</v>
      </c>
    </row>
    <row r="25" spans="1:4" x14ac:dyDescent="0.25">
      <c r="A25" t="s">
        <v>3488</v>
      </c>
      <c r="B25" t="s">
        <v>2154</v>
      </c>
      <c r="C25" t="s">
        <v>3463</v>
      </c>
      <c r="D25" t="s">
        <v>3464</v>
      </c>
    </row>
    <row r="26" spans="1:4" x14ac:dyDescent="0.25">
      <c r="A26" t="s">
        <v>3489</v>
      </c>
      <c r="B26" t="s">
        <v>2156</v>
      </c>
      <c r="C26" t="s">
        <v>3456</v>
      </c>
      <c r="D26" t="s">
        <v>3457</v>
      </c>
    </row>
    <row r="27" spans="1:4" x14ac:dyDescent="0.25">
      <c r="A27" t="s">
        <v>3490</v>
      </c>
      <c r="B27" t="s">
        <v>2159</v>
      </c>
      <c r="C27" t="s">
        <v>3463</v>
      </c>
      <c r="D27" t="s">
        <v>3464</v>
      </c>
    </row>
    <row r="28" spans="1:4" x14ac:dyDescent="0.25">
      <c r="A28" t="s">
        <v>3491</v>
      </c>
      <c r="B28" t="s">
        <v>2161</v>
      </c>
      <c r="C28" t="s">
        <v>3477</v>
      </c>
      <c r="D28" t="s">
        <v>3478</v>
      </c>
    </row>
    <row r="29" spans="1:4" x14ac:dyDescent="0.25">
      <c r="A29" t="s">
        <v>3492</v>
      </c>
      <c r="B29" t="s">
        <v>2164</v>
      </c>
      <c r="C29" t="s">
        <v>3477</v>
      </c>
      <c r="D29" t="s">
        <v>3478</v>
      </c>
    </row>
    <row r="30" spans="1:4" x14ac:dyDescent="0.25">
      <c r="A30" t="s">
        <v>3493</v>
      </c>
      <c r="B30" t="s">
        <v>2166</v>
      </c>
      <c r="C30" t="s">
        <v>3471</v>
      </c>
      <c r="D30" t="s">
        <v>3472</v>
      </c>
    </row>
    <row r="31" spans="1:4" x14ac:dyDescent="0.25">
      <c r="A31" t="s">
        <v>3494</v>
      </c>
      <c r="B31" t="s">
        <v>2168</v>
      </c>
      <c r="C31" t="s">
        <v>3471</v>
      </c>
      <c r="D31" t="s">
        <v>3472</v>
      </c>
    </row>
    <row r="32" spans="1:4" x14ac:dyDescent="0.25">
      <c r="A32" t="s">
        <v>3495</v>
      </c>
      <c r="B32" t="s">
        <v>2171</v>
      </c>
      <c r="C32" t="s">
        <v>3471</v>
      </c>
      <c r="D32" t="s">
        <v>3472</v>
      </c>
    </row>
    <row r="33" spans="1:4" x14ac:dyDescent="0.25">
      <c r="A33" t="s">
        <v>3496</v>
      </c>
      <c r="B33" t="s">
        <v>2173</v>
      </c>
      <c r="C33" t="s">
        <v>3477</v>
      </c>
      <c r="D33" t="s">
        <v>3478</v>
      </c>
    </row>
    <row r="34" spans="1:4" x14ac:dyDescent="0.25">
      <c r="A34" t="s">
        <v>3497</v>
      </c>
      <c r="B34" t="s">
        <v>2175</v>
      </c>
      <c r="C34" t="s">
        <v>3459</v>
      </c>
      <c r="D34" t="s">
        <v>3460</v>
      </c>
    </row>
    <row r="35" spans="1:4" x14ac:dyDescent="0.25">
      <c r="A35" t="s">
        <v>3498</v>
      </c>
      <c r="B35" t="s">
        <v>2177</v>
      </c>
      <c r="C35" t="s">
        <v>3463</v>
      </c>
      <c r="D35" t="s">
        <v>3464</v>
      </c>
    </row>
    <row r="36" spans="1:4" x14ac:dyDescent="0.25">
      <c r="A36" t="s">
        <v>3499</v>
      </c>
      <c r="B36" t="s">
        <v>2179</v>
      </c>
      <c r="C36" t="s">
        <v>3456</v>
      </c>
      <c r="D36" t="s">
        <v>3457</v>
      </c>
    </row>
    <row r="37" spans="1:4" x14ac:dyDescent="0.25">
      <c r="A37" t="s">
        <v>3500</v>
      </c>
      <c r="B37" t="s">
        <v>2182</v>
      </c>
      <c r="C37" t="s">
        <v>3463</v>
      </c>
      <c r="D37" t="s">
        <v>3464</v>
      </c>
    </row>
    <row r="38" spans="1:4" x14ac:dyDescent="0.25">
      <c r="A38" t="s">
        <v>3501</v>
      </c>
      <c r="B38" t="s">
        <v>2184</v>
      </c>
      <c r="C38" t="s">
        <v>3459</v>
      </c>
      <c r="D38" t="s">
        <v>3460</v>
      </c>
    </row>
    <row r="39" spans="1:4" x14ac:dyDescent="0.25">
      <c r="A39" t="s">
        <v>3502</v>
      </c>
      <c r="B39" t="s">
        <v>2187</v>
      </c>
      <c r="C39" t="s">
        <v>3463</v>
      </c>
      <c r="D39" t="s">
        <v>3464</v>
      </c>
    </row>
    <row r="40" spans="1:4" x14ac:dyDescent="0.25">
      <c r="A40" t="s">
        <v>3503</v>
      </c>
      <c r="B40" t="s">
        <v>2189</v>
      </c>
      <c r="C40" t="s">
        <v>3477</v>
      </c>
      <c r="D40" t="s">
        <v>3478</v>
      </c>
    </row>
    <row r="41" spans="1:4" x14ac:dyDescent="0.25">
      <c r="A41" t="s">
        <v>3504</v>
      </c>
      <c r="B41" t="s">
        <v>2191</v>
      </c>
      <c r="C41" t="s">
        <v>3459</v>
      </c>
      <c r="D41" t="s">
        <v>3460</v>
      </c>
    </row>
    <row r="42" spans="1:4" x14ac:dyDescent="0.25">
      <c r="A42" t="s">
        <v>3505</v>
      </c>
      <c r="B42" t="s">
        <v>2193</v>
      </c>
      <c r="C42" t="s">
        <v>3459</v>
      </c>
      <c r="D42" t="s">
        <v>3460</v>
      </c>
    </row>
    <row r="43" spans="1:4" x14ac:dyDescent="0.25">
      <c r="A43" t="s">
        <v>3506</v>
      </c>
      <c r="B43" t="s">
        <v>2195</v>
      </c>
      <c r="C43" t="s">
        <v>3477</v>
      </c>
      <c r="D43" t="s">
        <v>3478</v>
      </c>
    </row>
    <row r="44" spans="1:4" x14ac:dyDescent="0.25">
      <c r="A44" t="s">
        <v>3507</v>
      </c>
      <c r="B44" t="s">
        <v>2198</v>
      </c>
      <c r="C44" t="s">
        <v>3463</v>
      </c>
      <c r="D44" t="s">
        <v>3464</v>
      </c>
    </row>
    <row r="45" spans="1:4" x14ac:dyDescent="0.25">
      <c r="A45" t="s">
        <v>3508</v>
      </c>
      <c r="B45" t="s">
        <v>2200</v>
      </c>
      <c r="C45" t="s">
        <v>3459</v>
      </c>
      <c r="D45" t="s">
        <v>3460</v>
      </c>
    </row>
    <row r="46" spans="1:4" x14ac:dyDescent="0.25">
      <c r="A46" t="s">
        <v>3509</v>
      </c>
      <c r="B46" t="s">
        <v>2203</v>
      </c>
      <c r="C46" t="s">
        <v>3471</v>
      </c>
      <c r="D46" t="s">
        <v>3472</v>
      </c>
    </row>
    <row r="47" spans="1:4" x14ac:dyDescent="0.25">
      <c r="A47" t="s">
        <v>3510</v>
      </c>
      <c r="B47" t="s">
        <v>2204</v>
      </c>
      <c r="C47" t="s">
        <v>3477</v>
      </c>
      <c r="D47" t="s">
        <v>3478</v>
      </c>
    </row>
    <row r="48" spans="1:4" x14ac:dyDescent="0.25">
      <c r="A48" t="s">
        <v>3511</v>
      </c>
      <c r="B48" t="s">
        <v>2205</v>
      </c>
      <c r="C48" t="s">
        <v>3459</v>
      </c>
      <c r="D48" t="s">
        <v>3460</v>
      </c>
    </row>
    <row r="49" spans="1:4" x14ac:dyDescent="0.25">
      <c r="A49" t="s">
        <v>3512</v>
      </c>
      <c r="B49" t="s">
        <v>2207</v>
      </c>
      <c r="C49" t="s">
        <v>3477</v>
      </c>
      <c r="D49" t="s">
        <v>3478</v>
      </c>
    </row>
    <row r="50" spans="1:4" x14ac:dyDescent="0.25">
      <c r="A50" t="s">
        <v>3513</v>
      </c>
      <c r="B50" t="s">
        <v>2209</v>
      </c>
      <c r="C50" t="s">
        <v>3456</v>
      </c>
      <c r="D50" t="s">
        <v>3457</v>
      </c>
    </row>
    <row r="51" spans="1:4" x14ac:dyDescent="0.25">
      <c r="A51" t="s">
        <v>3514</v>
      </c>
      <c r="B51" t="s">
        <v>2211</v>
      </c>
      <c r="C51" t="s">
        <v>3471</v>
      </c>
      <c r="D51" t="s">
        <v>3472</v>
      </c>
    </row>
    <row r="52" spans="1:4" x14ac:dyDescent="0.25">
      <c r="A52" t="s">
        <v>3515</v>
      </c>
      <c r="B52" t="s">
        <v>2213</v>
      </c>
      <c r="C52" t="s">
        <v>3463</v>
      </c>
      <c r="D52" t="s">
        <v>3464</v>
      </c>
    </row>
    <row r="53" spans="1:4" x14ac:dyDescent="0.25">
      <c r="A53" t="s">
        <v>3516</v>
      </c>
      <c r="B53" t="s">
        <v>2215</v>
      </c>
      <c r="C53" t="s">
        <v>3477</v>
      </c>
      <c r="D53" t="s">
        <v>3478</v>
      </c>
    </row>
    <row r="54" spans="1:4" x14ac:dyDescent="0.25">
      <c r="A54" t="s">
        <v>3517</v>
      </c>
      <c r="B54" t="s">
        <v>2218</v>
      </c>
      <c r="C54" t="s">
        <v>3477</v>
      </c>
      <c r="D54" t="s">
        <v>3478</v>
      </c>
    </row>
    <row r="55" spans="1:4" x14ac:dyDescent="0.25">
      <c r="A55" t="s">
        <v>3518</v>
      </c>
      <c r="B55" t="s">
        <v>2220</v>
      </c>
      <c r="C55" t="s">
        <v>3477</v>
      </c>
      <c r="D55" t="s">
        <v>3478</v>
      </c>
    </row>
    <row r="56" spans="1:4" x14ac:dyDescent="0.25">
      <c r="A56" t="s">
        <v>3519</v>
      </c>
      <c r="B56" t="s">
        <v>2222</v>
      </c>
      <c r="C56" t="s">
        <v>3456</v>
      </c>
      <c r="D56" t="s">
        <v>3457</v>
      </c>
    </row>
    <row r="57" spans="1:4" x14ac:dyDescent="0.25">
      <c r="A57" t="s">
        <v>3520</v>
      </c>
      <c r="B57" t="s">
        <v>2224</v>
      </c>
      <c r="C57" t="s">
        <v>3477</v>
      </c>
      <c r="D57" t="s">
        <v>3478</v>
      </c>
    </row>
    <row r="58" spans="1:4" x14ac:dyDescent="0.25">
      <c r="A58" t="s">
        <v>3521</v>
      </c>
      <c r="B58" t="s">
        <v>2226</v>
      </c>
      <c r="C58" t="s">
        <v>3477</v>
      </c>
      <c r="D58" t="s">
        <v>3478</v>
      </c>
    </row>
    <row r="59" spans="1:4" x14ac:dyDescent="0.25">
      <c r="A59" t="s">
        <v>3522</v>
      </c>
      <c r="B59" t="s">
        <v>2229</v>
      </c>
      <c r="C59" t="s">
        <v>3456</v>
      </c>
      <c r="D59" t="s">
        <v>3457</v>
      </c>
    </row>
    <row r="60" spans="1:4" x14ac:dyDescent="0.25">
      <c r="A60" t="s">
        <v>3523</v>
      </c>
      <c r="B60" t="s">
        <v>2231</v>
      </c>
      <c r="C60" t="s">
        <v>3463</v>
      </c>
      <c r="D60" t="s">
        <v>3464</v>
      </c>
    </row>
    <row r="61" spans="1:4" x14ac:dyDescent="0.25">
      <c r="A61" t="s">
        <v>3524</v>
      </c>
      <c r="B61" t="s">
        <v>2233</v>
      </c>
      <c r="C61" t="s">
        <v>3463</v>
      </c>
      <c r="D61" t="s">
        <v>3464</v>
      </c>
    </row>
    <row r="62" spans="1:4" x14ac:dyDescent="0.25">
      <c r="A62" t="s">
        <v>3525</v>
      </c>
      <c r="B62" t="s">
        <v>2234</v>
      </c>
      <c r="C62" t="s">
        <v>3459</v>
      </c>
      <c r="D62" t="s">
        <v>3460</v>
      </c>
    </row>
    <row r="63" spans="1:4" x14ac:dyDescent="0.25">
      <c r="A63" t="s">
        <v>3526</v>
      </c>
      <c r="B63" t="s">
        <v>2236</v>
      </c>
      <c r="C63" t="s">
        <v>3471</v>
      </c>
      <c r="D63" t="s">
        <v>3472</v>
      </c>
    </row>
    <row r="64" spans="1:4" x14ac:dyDescent="0.25">
      <c r="A64" t="s">
        <v>3527</v>
      </c>
      <c r="B64" t="s">
        <v>2238</v>
      </c>
      <c r="C64" t="s">
        <v>3459</v>
      </c>
      <c r="D64" t="s">
        <v>3460</v>
      </c>
    </row>
    <row r="65" spans="1:4" x14ac:dyDescent="0.25">
      <c r="A65" t="s">
        <v>3528</v>
      </c>
      <c r="B65" t="s">
        <v>2240</v>
      </c>
      <c r="C65" t="s">
        <v>3459</v>
      </c>
      <c r="D65" t="s">
        <v>3460</v>
      </c>
    </row>
    <row r="66" spans="1:4" x14ac:dyDescent="0.25">
      <c r="A66" t="s">
        <v>3529</v>
      </c>
      <c r="B66" t="s">
        <v>2242</v>
      </c>
      <c r="C66" t="s">
        <v>3459</v>
      </c>
      <c r="D66" t="s">
        <v>3460</v>
      </c>
    </row>
    <row r="67" spans="1:4" x14ac:dyDescent="0.25">
      <c r="A67" t="s">
        <v>3530</v>
      </c>
      <c r="B67" t="s">
        <v>2244</v>
      </c>
      <c r="C67" t="s">
        <v>3471</v>
      </c>
      <c r="D67" t="s">
        <v>3472</v>
      </c>
    </row>
    <row r="68" spans="1:4" x14ac:dyDescent="0.25">
      <c r="A68" t="s">
        <v>3531</v>
      </c>
      <c r="B68" t="s">
        <v>2246</v>
      </c>
      <c r="C68" t="s">
        <v>3459</v>
      </c>
      <c r="D68" t="s">
        <v>3460</v>
      </c>
    </row>
    <row r="69" spans="1:4" x14ac:dyDescent="0.25">
      <c r="A69" t="s">
        <v>3532</v>
      </c>
      <c r="B69" t="s">
        <v>2249</v>
      </c>
      <c r="C69" t="s">
        <v>3477</v>
      </c>
      <c r="D69" t="s">
        <v>3478</v>
      </c>
    </row>
    <row r="70" spans="1:4" x14ac:dyDescent="0.25">
      <c r="A70" t="s">
        <v>3533</v>
      </c>
      <c r="B70" t="s">
        <v>2251</v>
      </c>
      <c r="C70" t="s">
        <v>3471</v>
      </c>
      <c r="D70" t="s">
        <v>3472</v>
      </c>
    </row>
    <row r="71" spans="1:4" x14ac:dyDescent="0.25">
      <c r="A71" t="s">
        <v>3534</v>
      </c>
      <c r="B71" t="s">
        <v>2253</v>
      </c>
      <c r="C71" t="s">
        <v>3463</v>
      </c>
      <c r="D71" t="s">
        <v>3464</v>
      </c>
    </row>
    <row r="72" spans="1:4" x14ac:dyDescent="0.25">
      <c r="A72" t="s">
        <v>3535</v>
      </c>
      <c r="B72" t="s">
        <v>2255</v>
      </c>
      <c r="C72" t="s">
        <v>3471</v>
      </c>
      <c r="D72" t="s">
        <v>3472</v>
      </c>
    </row>
    <row r="73" spans="1:4" x14ac:dyDescent="0.25">
      <c r="A73" t="s">
        <v>3536</v>
      </c>
      <c r="B73" t="s">
        <v>2257</v>
      </c>
      <c r="C73" t="s">
        <v>3477</v>
      </c>
      <c r="D73" t="s">
        <v>3478</v>
      </c>
    </row>
    <row r="74" spans="1:4" x14ac:dyDescent="0.25">
      <c r="A74" t="s">
        <v>3537</v>
      </c>
      <c r="B74" t="s">
        <v>2260</v>
      </c>
      <c r="C74" t="s">
        <v>3463</v>
      </c>
      <c r="D74" t="s">
        <v>3464</v>
      </c>
    </row>
    <row r="75" spans="1:4" x14ac:dyDescent="0.25">
      <c r="A75" t="s">
        <v>3538</v>
      </c>
      <c r="B75" t="s">
        <v>2262</v>
      </c>
      <c r="C75" t="s">
        <v>3463</v>
      </c>
      <c r="D75" t="s">
        <v>3464</v>
      </c>
    </row>
    <row r="76" spans="1:4" x14ac:dyDescent="0.25">
      <c r="A76" t="s">
        <v>3539</v>
      </c>
      <c r="B76" t="s">
        <v>2264</v>
      </c>
      <c r="C76" t="s">
        <v>3459</v>
      </c>
      <c r="D76" t="s">
        <v>3460</v>
      </c>
    </row>
    <row r="77" spans="1:4" x14ac:dyDescent="0.25">
      <c r="A77" t="s">
        <v>3540</v>
      </c>
      <c r="B77" t="s">
        <v>2266</v>
      </c>
      <c r="C77" t="s">
        <v>3471</v>
      </c>
      <c r="D77" t="s">
        <v>3472</v>
      </c>
    </row>
    <row r="78" spans="1:4" x14ac:dyDescent="0.25">
      <c r="A78" t="s">
        <v>3541</v>
      </c>
      <c r="B78" t="s">
        <v>2268</v>
      </c>
      <c r="C78" t="s">
        <v>3471</v>
      </c>
      <c r="D78" t="s">
        <v>3472</v>
      </c>
    </row>
    <row r="79" spans="1:4" x14ac:dyDescent="0.25">
      <c r="A79" t="s">
        <v>3542</v>
      </c>
      <c r="B79" t="s">
        <v>2269</v>
      </c>
      <c r="C79" t="s">
        <v>3471</v>
      </c>
      <c r="D79" t="s">
        <v>3472</v>
      </c>
    </row>
    <row r="80" spans="1:4" x14ac:dyDescent="0.25">
      <c r="A80" t="s">
        <v>3543</v>
      </c>
      <c r="B80" t="s">
        <v>2271</v>
      </c>
      <c r="C80" t="s">
        <v>3477</v>
      </c>
      <c r="D80" t="s">
        <v>3478</v>
      </c>
    </row>
    <row r="81" spans="1:4" x14ac:dyDescent="0.25">
      <c r="A81" t="s">
        <v>3544</v>
      </c>
      <c r="B81" t="s">
        <v>2273</v>
      </c>
      <c r="C81" t="s">
        <v>3459</v>
      </c>
      <c r="D81" t="s">
        <v>3460</v>
      </c>
    </row>
    <row r="82" spans="1:4" x14ac:dyDescent="0.25">
      <c r="A82" t="s">
        <v>3545</v>
      </c>
      <c r="B82" t="s">
        <v>2275</v>
      </c>
      <c r="C82" t="s">
        <v>3463</v>
      </c>
      <c r="D82" t="s">
        <v>3464</v>
      </c>
    </row>
    <row r="83" spans="1:4" x14ac:dyDescent="0.25">
      <c r="A83" t="s">
        <v>3546</v>
      </c>
      <c r="B83" t="s">
        <v>2277</v>
      </c>
      <c r="C83" t="s">
        <v>3459</v>
      </c>
      <c r="D83" t="s">
        <v>3460</v>
      </c>
    </row>
    <row r="84" spans="1:4" x14ac:dyDescent="0.25">
      <c r="A84" t="s">
        <v>3547</v>
      </c>
      <c r="B84" t="s">
        <v>2279</v>
      </c>
      <c r="C84" t="s">
        <v>3477</v>
      </c>
      <c r="D84" t="s">
        <v>3478</v>
      </c>
    </row>
    <row r="85" spans="1:4" x14ac:dyDescent="0.25">
      <c r="A85" t="s">
        <v>3548</v>
      </c>
      <c r="B85" t="s">
        <v>2281</v>
      </c>
      <c r="C85" t="s">
        <v>3471</v>
      </c>
      <c r="D85" t="s">
        <v>3472</v>
      </c>
    </row>
    <row r="86" spans="1:4" x14ac:dyDescent="0.25">
      <c r="A86" t="s">
        <v>3549</v>
      </c>
      <c r="B86" t="s">
        <v>2283</v>
      </c>
      <c r="C86" t="s">
        <v>3463</v>
      </c>
      <c r="D86" t="s">
        <v>3464</v>
      </c>
    </row>
    <row r="87" spans="1:4" x14ac:dyDescent="0.25">
      <c r="A87" t="s">
        <v>3550</v>
      </c>
      <c r="B87" t="s">
        <v>2284</v>
      </c>
      <c r="C87" t="s">
        <v>3471</v>
      </c>
      <c r="D87" t="s">
        <v>3472</v>
      </c>
    </row>
    <row r="88" spans="1:4" x14ac:dyDescent="0.25">
      <c r="A88" t="s">
        <v>3551</v>
      </c>
      <c r="B88" t="s">
        <v>2286</v>
      </c>
      <c r="C88" t="s">
        <v>3471</v>
      </c>
      <c r="D88" t="s">
        <v>3472</v>
      </c>
    </row>
    <row r="89" spans="1:4" x14ac:dyDescent="0.25">
      <c r="A89" t="s">
        <v>3552</v>
      </c>
      <c r="B89" t="s">
        <v>2288</v>
      </c>
      <c r="C89" t="s">
        <v>3471</v>
      </c>
      <c r="D89" t="s">
        <v>3472</v>
      </c>
    </row>
    <row r="90" spans="1:4" x14ac:dyDescent="0.25">
      <c r="A90" t="s">
        <v>3553</v>
      </c>
      <c r="B90" t="s">
        <v>2290</v>
      </c>
      <c r="C90" t="s">
        <v>3471</v>
      </c>
      <c r="D90" t="s">
        <v>3472</v>
      </c>
    </row>
    <row r="91" spans="1:4" x14ac:dyDescent="0.25">
      <c r="A91" t="s">
        <v>3554</v>
      </c>
      <c r="B91" t="s">
        <v>2292</v>
      </c>
      <c r="C91" t="s">
        <v>3477</v>
      </c>
      <c r="D91" t="s">
        <v>3478</v>
      </c>
    </row>
    <row r="92" spans="1:4" x14ac:dyDescent="0.25">
      <c r="A92" t="s">
        <v>3555</v>
      </c>
      <c r="B92" t="s">
        <v>2294</v>
      </c>
      <c r="C92" t="s">
        <v>3471</v>
      </c>
      <c r="D92" t="s">
        <v>3472</v>
      </c>
    </row>
    <row r="93" spans="1:4" x14ac:dyDescent="0.25">
      <c r="A93" t="s">
        <v>3556</v>
      </c>
      <c r="B93" t="s">
        <v>2296</v>
      </c>
      <c r="C93" t="s">
        <v>3477</v>
      </c>
      <c r="D93" t="s">
        <v>3478</v>
      </c>
    </row>
    <row r="94" spans="1:4" x14ac:dyDescent="0.25">
      <c r="A94" t="s">
        <v>3557</v>
      </c>
      <c r="B94" t="s">
        <v>2298</v>
      </c>
      <c r="C94" t="s">
        <v>3471</v>
      </c>
      <c r="D94" t="s">
        <v>3472</v>
      </c>
    </row>
    <row r="95" spans="1:4" x14ac:dyDescent="0.25">
      <c r="A95" t="s">
        <v>3558</v>
      </c>
      <c r="B95" t="s">
        <v>2300</v>
      </c>
      <c r="C95" t="s">
        <v>3471</v>
      </c>
      <c r="D95" t="s">
        <v>3472</v>
      </c>
    </row>
    <row r="96" spans="1:4" x14ac:dyDescent="0.25">
      <c r="A96" t="s">
        <v>3559</v>
      </c>
      <c r="B96" t="s">
        <v>2302</v>
      </c>
      <c r="C96" t="s">
        <v>3463</v>
      </c>
      <c r="D96" t="s">
        <v>3464</v>
      </c>
    </row>
    <row r="97" spans="1:4" x14ac:dyDescent="0.25">
      <c r="A97" t="s">
        <v>3560</v>
      </c>
      <c r="B97" t="s">
        <v>2304</v>
      </c>
      <c r="C97" t="s">
        <v>3456</v>
      </c>
      <c r="D97" t="s">
        <v>3457</v>
      </c>
    </row>
    <row r="98" spans="1:4" x14ac:dyDescent="0.25">
      <c r="A98" t="s">
        <v>3561</v>
      </c>
      <c r="B98" t="s">
        <v>2306</v>
      </c>
      <c r="C98" t="s">
        <v>3477</v>
      </c>
      <c r="D98" t="s">
        <v>3478</v>
      </c>
    </row>
    <row r="99" spans="1:4" x14ac:dyDescent="0.25">
      <c r="A99" t="s">
        <v>3562</v>
      </c>
      <c r="B99" t="s">
        <v>2308</v>
      </c>
      <c r="C99" t="s">
        <v>3456</v>
      </c>
      <c r="D99" t="s">
        <v>3457</v>
      </c>
    </row>
    <row r="100" spans="1:4" x14ac:dyDescent="0.25">
      <c r="A100" t="s">
        <v>3563</v>
      </c>
      <c r="B100" t="s">
        <v>2310</v>
      </c>
      <c r="C100" t="s">
        <v>3471</v>
      </c>
      <c r="D100" t="s">
        <v>3472</v>
      </c>
    </row>
    <row r="101" spans="1:4" x14ac:dyDescent="0.25">
      <c r="A101" t="s">
        <v>3564</v>
      </c>
      <c r="B101" t="s">
        <v>2312</v>
      </c>
      <c r="C101" t="s">
        <v>3471</v>
      </c>
      <c r="D101" t="s">
        <v>3472</v>
      </c>
    </row>
    <row r="102" spans="1:4" x14ac:dyDescent="0.25">
      <c r="A102" t="s">
        <v>3565</v>
      </c>
      <c r="B102" t="s">
        <v>2314</v>
      </c>
      <c r="C102" t="s">
        <v>3456</v>
      </c>
      <c r="D102" t="s">
        <v>3457</v>
      </c>
    </row>
    <row r="103" spans="1:4" x14ac:dyDescent="0.25">
      <c r="A103" t="s">
        <v>3566</v>
      </c>
      <c r="B103" t="s">
        <v>2316</v>
      </c>
      <c r="C103" t="s">
        <v>3471</v>
      </c>
      <c r="D103" t="s">
        <v>3472</v>
      </c>
    </row>
    <row r="104" spans="1:4" x14ac:dyDescent="0.25">
      <c r="A104" t="s">
        <v>3567</v>
      </c>
      <c r="B104" t="s">
        <v>2319</v>
      </c>
      <c r="C104" t="s">
        <v>3477</v>
      </c>
      <c r="D104" t="s">
        <v>3478</v>
      </c>
    </row>
    <row r="105" spans="1:4" x14ac:dyDescent="0.25">
      <c r="A105" t="s">
        <v>3568</v>
      </c>
      <c r="B105" t="s">
        <v>2321</v>
      </c>
      <c r="C105" t="s">
        <v>3471</v>
      </c>
      <c r="D105" t="s">
        <v>3472</v>
      </c>
    </row>
    <row r="106" spans="1:4" x14ac:dyDescent="0.25">
      <c r="A106" t="s">
        <v>3569</v>
      </c>
      <c r="B106" t="s">
        <v>2322</v>
      </c>
      <c r="C106" t="s">
        <v>3463</v>
      </c>
      <c r="D106" t="s">
        <v>3464</v>
      </c>
    </row>
    <row r="107" spans="1:4" x14ac:dyDescent="0.25">
      <c r="A107" t="s">
        <v>3570</v>
      </c>
      <c r="B107" t="s">
        <v>2324</v>
      </c>
      <c r="C107" t="s">
        <v>3471</v>
      </c>
      <c r="D107" t="s">
        <v>3472</v>
      </c>
    </row>
    <row r="108" spans="1:4" x14ac:dyDescent="0.25">
      <c r="A108" t="s">
        <v>3571</v>
      </c>
      <c r="B108" t="s">
        <v>2326</v>
      </c>
      <c r="C108" t="s">
        <v>3463</v>
      </c>
      <c r="D108" t="s">
        <v>3464</v>
      </c>
    </row>
    <row r="109" spans="1:4" x14ac:dyDescent="0.25">
      <c r="A109" t="s">
        <v>3572</v>
      </c>
      <c r="B109" t="s">
        <v>2328</v>
      </c>
      <c r="C109" t="s">
        <v>3471</v>
      </c>
      <c r="D109" t="s">
        <v>3472</v>
      </c>
    </row>
    <row r="110" spans="1:4" x14ac:dyDescent="0.25">
      <c r="A110" t="s">
        <v>3573</v>
      </c>
      <c r="B110" t="s">
        <v>2330</v>
      </c>
      <c r="C110" t="s">
        <v>3471</v>
      </c>
      <c r="D110" t="s">
        <v>3472</v>
      </c>
    </row>
    <row r="111" spans="1:4" x14ac:dyDescent="0.25">
      <c r="A111" t="s">
        <v>3574</v>
      </c>
      <c r="B111" t="s">
        <v>2332</v>
      </c>
      <c r="C111" t="s">
        <v>3471</v>
      </c>
      <c r="D111" t="s">
        <v>3472</v>
      </c>
    </row>
    <row r="112" spans="1:4" x14ac:dyDescent="0.25">
      <c r="A112" t="s">
        <v>3575</v>
      </c>
      <c r="B112" t="s">
        <v>2334</v>
      </c>
      <c r="C112" t="s">
        <v>3463</v>
      </c>
      <c r="D112" t="s">
        <v>3464</v>
      </c>
    </row>
    <row r="113" spans="1:4" x14ac:dyDescent="0.25">
      <c r="A113" t="s">
        <v>3576</v>
      </c>
      <c r="B113" t="s">
        <v>2336</v>
      </c>
      <c r="C113" t="s">
        <v>3477</v>
      </c>
      <c r="D113" t="s">
        <v>3478</v>
      </c>
    </row>
    <row r="114" spans="1:4" x14ac:dyDescent="0.25">
      <c r="A114" t="s">
        <v>3577</v>
      </c>
      <c r="B114" t="s">
        <v>2338</v>
      </c>
      <c r="C114" t="s">
        <v>3459</v>
      </c>
      <c r="D114" t="s">
        <v>3460</v>
      </c>
    </row>
    <row r="115" spans="1:4" x14ac:dyDescent="0.25">
      <c r="A115" t="s">
        <v>3578</v>
      </c>
      <c r="B115" t="s">
        <v>2340</v>
      </c>
      <c r="C115" t="s">
        <v>3459</v>
      </c>
      <c r="D115" t="s">
        <v>3460</v>
      </c>
    </row>
    <row r="116" spans="1:4" x14ac:dyDescent="0.25">
      <c r="A116" t="s">
        <v>3579</v>
      </c>
      <c r="B116" t="s">
        <v>2342</v>
      </c>
      <c r="C116" t="s">
        <v>3477</v>
      </c>
      <c r="D116" t="s">
        <v>3478</v>
      </c>
    </row>
    <row r="117" spans="1:4" x14ac:dyDescent="0.25">
      <c r="A117" t="s">
        <v>3580</v>
      </c>
      <c r="B117" t="s">
        <v>2344</v>
      </c>
      <c r="C117" t="s">
        <v>3477</v>
      </c>
      <c r="D117" t="s">
        <v>3478</v>
      </c>
    </row>
    <row r="118" spans="1:4" x14ac:dyDescent="0.25">
      <c r="A118" t="s">
        <v>3581</v>
      </c>
      <c r="B118" t="s">
        <v>2346</v>
      </c>
      <c r="C118" t="s">
        <v>3456</v>
      </c>
      <c r="D118" t="s">
        <v>3457</v>
      </c>
    </row>
    <row r="119" spans="1:4" x14ac:dyDescent="0.25">
      <c r="A119" t="s">
        <v>3582</v>
      </c>
      <c r="B119" t="s">
        <v>2348</v>
      </c>
      <c r="C119" t="s">
        <v>3471</v>
      </c>
      <c r="D119" t="s">
        <v>3472</v>
      </c>
    </row>
    <row r="120" spans="1:4" x14ac:dyDescent="0.25">
      <c r="A120" t="s">
        <v>3583</v>
      </c>
      <c r="B120" t="s">
        <v>2350</v>
      </c>
      <c r="C120" t="s">
        <v>3456</v>
      </c>
      <c r="D120" t="s">
        <v>3457</v>
      </c>
    </row>
    <row r="121" spans="1:4" x14ac:dyDescent="0.25">
      <c r="A121" t="s">
        <v>3584</v>
      </c>
      <c r="B121" t="s">
        <v>2352</v>
      </c>
      <c r="C121" t="s">
        <v>3463</v>
      </c>
      <c r="D121" t="s">
        <v>3464</v>
      </c>
    </row>
    <row r="122" spans="1:4" x14ac:dyDescent="0.25">
      <c r="A122" t="s">
        <v>3585</v>
      </c>
      <c r="B122" t="s">
        <v>2354</v>
      </c>
      <c r="C122" t="s">
        <v>3456</v>
      </c>
      <c r="D122" t="s">
        <v>3457</v>
      </c>
    </row>
    <row r="123" spans="1:4" x14ac:dyDescent="0.25">
      <c r="A123" t="s">
        <v>3586</v>
      </c>
      <c r="B123" t="s">
        <v>2356</v>
      </c>
      <c r="C123" t="s">
        <v>3463</v>
      </c>
      <c r="D123" t="s">
        <v>3464</v>
      </c>
    </row>
    <row r="124" spans="1:4" x14ac:dyDescent="0.25">
      <c r="A124" t="s">
        <v>3587</v>
      </c>
      <c r="B124" t="s">
        <v>2357</v>
      </c>
      <c r="C124" t="s">
        <v>3463</v>
      </c>
      <c r="D124" t="s">
        <v>3464</v>
      </c>
    </row>
    <row r="125" spans="1:4" x14ac:dyDescent="0.25">
      <c r="A125" t="s">
        <v>3588</v>
      </c>
      <c r="B125" t="s">
        <v>2359</v>
      </c>
      <c r="C125" t="s">
        <v>3471</v>
      </c>
      <c r="D125" t="s">
        <v>3472</v>
      </c>
    </row>
    <row r="126" spans="1:4" x14ac:dyDescent="0.25">
      <c r="A126" t="s">
        <v>3589</v>
      </c>
      <c r="B126" t="s">
        <v>2361</v>
      </c>
      <c r="C126" t="s">
        <v>3477</v>
      </c>
      <c r="D126" t="s">
        <v>3478</v>
      </c>
    </row>
    <row r="127" spans="1:4" x14ac:dyDescent="0.25">
      <c r="A127" t="s">
        <v>3590</v>
      </c>
      <c r="B127" t="s">
        <v>2363</v>
      </c>
      <c r="C127" t="s">
        <v>3471</v>
      </c>
      <c r="D127" t="s">
        <v>3472</v>
      </c>
    </row>
    <row r="128" spans="1:4" x14ac:dyDescent="0.25">
      <c r="A128" t="s">
        <v>3591</v>
      </c>
      <c r="B128" t="s">
        <v>2365</v>
      </c>
      <c r="C128" t="s">
        <v>3471</v>
      </c>
      <c r="D128" t="s">
        <v>3472</v>
      </c>
    </row>
    <row r="129" spans="1:4" x14ac:dyDescent="0.25">
      <c r="A129" t="s">
        <v>3592</v>
      </c>
      <c r="B129" t="s">
        <v>2367</v>
      </c>
      <c r="C129" t="s">
        <v>3459</v>
      </c>
      <c r="D129" t="s">
        <v>3460</v>
      </c>
    </row>
    <row r="130" spans="1:4" x14ac:dyDescent="0.25">
      <c r="A130" t="s">
        <v>3593</v>
      </c>
      <c r="B130" t="s">
        <v>2369</v>
      </c>
      <c r="C130" t="s">
        <v>3463</v>
      </c>
      <c r="D130" t="s">
        <v>3464</v>
      </c>
    </row>
    <row r="131" spans="1:4" x14ac:dyDescent="0.25">
      <c r="A131" t="s">
        <v>3594</v>
      </c>
      <c r="B131" t="s">
        <v>2371</v>
      </c>
      <c r="C131" t="s">
        <v>3477</v>
      </c>
      <c r="D131" t="s">
        <v>3478</v>
      </c>
    </row>
    <row r="132" spans="1:4" x14ac:dyDescent="0.25">
      <c r="A132" t="s">
        <v>3595</v>
      </c>
      <c r="B132" t="s">
        <v>2372</v>
      </c>
      <c r="C132" t="s">
        <v>3471</v>
      </c>
      <c r="D132" t="s">
        <v>3472</v>
      </c>
    </row>
    <row r="133" spans="1:4" x14ac:dyDescent="0.25">
      <c r="A133" t="s">
        <v>3596</v>
      </c>
      <c r="B133" t="s">
        <v>2374</v>
      </c>
      <c r="C133" t="s">
        <v>3459</v>
      </c>
      <c r="D133" t="s">
        <v>3460</v>
      </c>
    </row>
    <row r="134" spans="1:4" x14ac:dyDescent="0.25">
      <c r="A134" t="s">
        <v>3597</v>
      </c>
      <c r="B134" t="s">
        <v>2376</v>
      </c>
      <c r="C134" t="s">
        <v>3463</v>
      </c>
      <c r="D134" t="s">
        <v>3464</v>
      </c>
    </row>
    <row r="135" spans="1:4" x14ac:dyDescent="0.25">
      <c r="A135" t="s">
        <v>3598</v>
      </c>
      <c r="B135" t="s">
        <v>2378</v>
      </c>
      <c r="C135" t="s">
        <v>3463</v>
      </c>
      <c r="D135" t="s">
        <v>3464</v>
      </c>
    </row>
    <row r="136" spans="1:4" x14ac:dyDescent="0.25">
      <c r="A136" t="s">
        <v>3599</v>
      </c>
      <c r="B136" t="s">
        <v>2380</v>
      </c>
      <c r="C136" t="s">
        <v>3477</v>
      </c>
      <c r="D136" t="s">
        <v>3478</v>
      </c>
    </row>
    <row r="137" spans="1:4" x14ac:dyDescent="0.25">
      <c r="A137" t="s">
        <v>3600</v>
      </c>
      <c r="B137" t="s">
        <v>2382</v>
      </c>
      <c r="C137" t="s">
        <v>3456</v>
      </c>
      <c r="D137" t="s">
        <v>3457</v>
      </c>
    </row>
    <row r="138" spans="1:4" x14ac:dyDescent="0.25">
      <c r="A138" t="s">
        <v>3601</v>
      </c>
      <c r="B138" t="s">
        <v>2384</v>
      </c>
      <c r="C138" t="s">
        <v>3471</v>
      </c>
      <c r="D138" t="s">
        <v>3472</v>
      </c>
    </row>
    <row r="139" spans="1:4" x14ac:dyDescent="0.25">
      <c r="A139" t="s">
        <v>3602</v>
      </c>
      <c r="B139" t="s">
        <v>2386</v>
      </c>
      <c r="C139" t="s">
        <v>3459</v>
      </c>
      <c r="D139" t="s">
        <v>3460</v>
      </c>
    </row>
    <row r="140" spans="1:4" x14ac:dyDescent="0.25">
      <c r="A140" t="s">
        <v>3603</v>
      </c>
      <c r="B140" t="s">
        <v>2388</v>
      </c>
      <c r="C140" t="s">
        <v>3459</v>
      </c>
      <c r="D140" t="s">
        <v>3460</v>
      </c>
    </row>
    <row r="141" spans="1:4" x14ac:dyDescent="0.25">
      <c r="A141" t="s">
        <v>3604</v>
      </c>
      <c r="B141" t="s">
        <v>2390</v>
      </c>
      <c r="C141" t="s">
        <v>3477</v>
      </c>
      <c r="D141" t="s">
        <v>3478</v>
      </c>
    </row>
    <row r="142" spans="1:4" x14ac:dyDescent="0.25">
      <c r="A142" t="s">
        <v>3605</v>
      </c>
      <c r="B142" t="s">
        <v>2392</v>
      </c>
      <c r="C142" t="s">
        <v>3459</v>
      </c>
      <c r="D142" t="s">
        <v>3460</v>
      </c>
    </row>
    <row r="143" spans="1:4" x14ac:dyDescent="0.25">
      <c r="A143" t="s">
        <v>3606</v>
      </c>
      <c r="B143" t="s">
        <v>2394</v>
      </c>
      <c r="C143" t="s">
        <v>3477</v>
      </c>
      <c r="D143" t="s">
        <v>3478</v>
      </c>
    </row>
    <row r="144" spans="1:4" x14ac:dyDescent="0.25">
      <c r="A144" t="s">
        <v>3607</v>
      </c>
      <c r="B144" t="s">
        <v>2396</v>
      </c>
      <c r="C144" t="s">
        <v>3459</v>
      </c>
      <c r="D144" t="s">
        <v>3460</v>
      </c>
    </row>
    <row r="145" spans="1:4" x14ac:dyDescent="0.25">
      <c r="A145" t="s">
        <v>3608</v>
      </c>
      <c r="B145" t="s">
        <v>2398</v>
      </c>
      <c r="C145" t="s">
        <v>3471</v>
      </c>
      <c r="D145" t="s">
        <v>3472</v>
      </c>
    </row>
    <row r="146" spans="1:4" x14ac:dyDescent="0.25">
      <c r="A146" t="s">
        <v>3609</v>
      </c>
      <c r="B146" t="s">
        <v>2399</v>
      </c>
      <c r="C146" t="s">
        <v>3459</v>
      </c>
      <c r="D146" t="s">
        <v>3460</v>
      </c>
    </row>
    <row r="147" spans="1:4" x14ac:dyDescent="0.25">
      <c r="A147" t="s">
        <v>3610</v>
      </c>
      <c r="B147" t="s">
        <v>2400</v>
      </c>
      <c r="C147" t="s">
        <v>3456</v>
      </c>
      <c r="D147" t="s">
        <v>3457</v>
      </c>
    </row>
    <row r="148" spans="1:4" x14ac:dyDescent="0.25">
      <c r="A148" t="s">
        <v>3611</v>
      </c>
      <c r="B148" t="s">
        <v>2402</v>
      </c>
      <c r="C148" t="s">
        <v>3459</v>
      </c>
      <c r="D148" t="s">
        <v>3460</v>
      </c>
    </row>
    <row r="149" spans="1:4" x14ac:dyDescent="0.25">
      <c r="A149" t="s">
        <v>3612</v>
      </c>
      <c r="B149" t="s">
        <v>2404</v>
      </c>
      <c r="C149" t="s">
        <v>3456</v>
      </c>
      <c r="D149" t="s">
        <v>3457</v>
      </c>
    </row>
    <row r="150" spans="1:4" x14ac:dyDescent="0.25">
      <c r="A150" t="s">
        <v>3613</v>
      </c>
      <c r="B150" t="s">
        <v>2406</v>
      </c>
      <c r="C150" t="s">
        <v>3463</v>
      </c>
      <c r="D150" t="s">
        <v>3464</v>
      </c>
    </row>
    <row r="151" spans="1:4" x14ac:dyDescent="0.25">
      <c r="A151" t="s">
        <v>3614</v>
      </c>
      <c r="B151" t="s">
        <v>2408</v>
      </c>
      <c r="C151" t="s">
        <v>3456</v>
      </c>
      <c r="D151" t="s">
        <v>3457</v>
      </c>
    </row>
    <row r="152" spans="1:4" x14ac:dyDescent="0.25">
      <c r="A152" t="s">
        <v>3615</v>
      </c>
      <c r="B152" t="s">
        <v>2410</v>
      </c>
      <c r="C152" t="s">
        <v>3456</v>
      </c>
      <c r="D152" t="s">
        <v>3457</v>
      </c>
    </row>
    <row r="153" spans="1:4" x14ac:dyDescent="0.25">
      <c r="A153" t="s">
        <v>3616</v>
      </c>
      <c r="B153" t="s">
        <v>2412</v>
      </c>
      <c r="C153" t="s">
        <v>3471</v>
      </c>
      <c r="D153" t="s">
        <v>3472</v>
      </c>
    </row>
    <row r="154" spans="1:4" x14ac:dyDescent="0.25">
      <c r="A154" t="s">
        <v>3617</v>
      </c>
      <c r="B154" t="s">
        <v>2414</v>
      </c>
      <c r="C154" t="s">
        <v>3463</v>
      </c>
      <c r="D154" t="s">
        <v>3464</v>
      </c>
    </row>
    <row r="155" spans="1:4" x14ac:dyDescent="0.25">
      <c r="A155" t="s">
        <v>3618</v>
      </c>
      <c r="B155" t="s">
        <v>2416</v>
      </c>
      <c r="C155" t="s">
        <v>3471</v>
      </c>
      <c r="D155" t="s">
        <v>3472</v>
      </c>
    </row>
    <row r="156" spans="1:4" x14ac:dyDescent="0.25">
      <c r="A156" t="s">
        <v>3619</v>
      </c>
      <c r="B156" t="s">
        <v>2418</v>
      </c>
      <c r="C156" t="s">
        <v>3463</v>
      </c>
      <c r="D156" t="s">
        <v>3464</v>
      </c>
    </row>
    <row r="157" spans="1:4" x14ac:dyDescent="0.25">
      <c r="A157" t="s">
        <v>3620</v>
      </c>
      <c r="B157" t="s">
        <v>2420</v>
      </c>
      <c r="C157" t="s">
        <v>3459</v>
      </c>
      <c r="D157" t="s">
        <v>3460</v>
      </c>
    </row>
    <row r="158" spans="1:4" x14ac:dyDescent="0.25">
      <c r="A158" t="s">
        <v>3621</v>
      </c>
      <c r="B158" t="s">
        <v>2422</v>
      </c>
      <c r="C158" t="s">
        <v>3471</v>
      </c>
      <c r="D158" t="s">
        <v>3472</v>
      </c>
    </row>
    <row r="159" spans="1:4" x14ac:dyDescent="0.25">
      <c r="A159" t="s">
        <v>3622</v>
      </c>
      <c r="B159" t="s">
        <v>2424</v>
      </c>
      <c r="C159" t="s">
        <v>3477</v>
      </c>
      <c r="D159" t="s">
        <v>3478</v>
      </c>
    </row>
    <row r="160" spans="1:4" x14ac:dyDescent="0.25">
      <c r="A160" t="s">
        <v>3623</v>
      </c>
      <c r="B160" t="s">
        <v>2426</v>
      </c>
      <c r="C160" t="s">
        <v>3459</v>
      </c>
      <c r="D160" t="s">
        <v>3460</v>
      </c>
    </row>
    <row r="161" spans="1:4" x14ac:dyDescent="0.25">
      <c r="A161" t="s">
        <v>3624</v>
      </c>
      <c r="B161" t="s">
        <v>2427</v>
      </c>
      <c r="C161" t="s">
        <v>3471</v>
      </c>
      <c r="D161" t="s">
        <v>3472</v>
      </c>
    </row>
    <row r="162" spans="1:4" x14ac:dyDescent="0.25">
      <c r="A162" t="s">
        <v>3625</v>
      </c>
      <c r="B162" t="s">
        <v>2429</v>
      </c>
      <c r="C162" t="s">
        <v>3463</v>
      </c>
      <c r="D162" t="s">
        <v>3464</v>
      </c>
    </row>
    <row r="163" spans="1:4" x14ac:dyDescent="0.25">
      <c r="A163" t="s">
        <v>3626</v>
      </c>
      <c r="B163" t="s">
        <v>2431</v>
      </c>
      <c r="C163" t="s">
        <v>3456</v>
      </c>
      <c r="D163" t="s">
        <v>3457</v>
      </c>
    </row>
    <row r="164" spans="1:4" x14ac:dyDescent="0.25">
      <c r="A164" t="s">
        <v>3627</v>
      </c>
      <c r="B164" t="s">
        <v>2433</v>
      </c>
      <c r="C164" t="s">
        <v>3477</v>
      </c>
      <c r="D164" t="s">
        <v>3478</v>
      </c>
    </row>
    <row r="165" spans="1:4" x14ac:dyDescent="0.25">
      <c r="A165" t="s">
        <v>3628</v>
      </c>
      <c r="B165" t="s">
        <v>2435</v>
      </c>
      <c r="C165" t="s">
        <v>3459</v>
      </c>
      <c r="D165" t="s">
        <v>3460</v>
      </c>
    </row>
    <row r="166" spans="1:4" x14ac:dyDescent="0.25">
      <c r="A166" t="s">
        <v>3629</v>
      </c>
      <c r="B166" t="s">
        <v>2437</v>
      </c>
      <c r="C166" t="s">
        <v>3463</v>
      </c>
      <c r="D166" t="s">
        <v>3464</v>
      </c>
    </row>
    <row r="167" spans="1:4" x14ac:dyDescent="0.25">
      <c r="A167" t="s">
        <v>3630</v>
      </c>
      <c r="B167" t="s">
        <v>2439</v>
      </c>
      <c r="C167" t="s">
        <v>3471</v>
      </c>
      <c r="D167" t="s">
        <v>3472</v>
      </c>
    </row>
    <row r="168" spans="1:4" x14ac:dyDescent="0.25">
      <c r="A168" t="s">
        <v>3631</v>
      </c>
      <c r="B168" t="s">
        <v>2441</v>
      </c>
      <c r="C168" t="s">
        <v>3463</v>
      </c>
      <c r="D168" t="s">
        <v>3464</v>
      </c>
    </row>
    <row r="169" spans="1:4" x14ac:dyDescent="0.25">
      <c r="A169" t="s">
        <v>3632</v>
      </c>
      <c r="B169" t="s">
        <v>2443</v>
      </c>
      <c r="C169" t="s">
        <v>3459</v>
      </c>
      <c r="D169" t="s">
        <v>3460</v>
      </c>
    </row>
    <row r="170" spans="1:4" x14ac:dyDescent="0.25">
      <c r="A170" t="s">
        <v>3633</v>
      </c>
      <c r="B170" t="s">
        <v>2445</v>
      </c>
      <c r="C170" t="s">
        <v>3463</v>
      </c>
      <c r="D170" t="s">
        <v>3464</v>
      </c>
    </row>
    <row r="171" spans="1:4" x14ac:dyDescent="0.25">
      <c r="A171" t="s">
        <v>3634</v>
      </c>
      <c r="B171" t="s">
        <v>2447</v>
      </c>
      <c r="C171" t="s">
        <v>3463</v>
      </c>
      <c r="D171" t="s">
        <v>3464</v>
      </c>
    </row>
    <row r="172" spans="1:4" x14ac:dyDescent="0.25">
      <c r="A172" t="s">
        <v>3635</v>
      </c>
      <c r="B172" t="s">
        <v>2449</v>
      </c>
      <c r="C172" t="s">
        <v>3463</v>
      </c>
      <c r="D172" t="s">
        <v>3464</v>
      </c>
    </row>
    <row r="173" spans="1:4" x14ac:dyDescent="0.25">
      <c r="A173" t="s">
        <v>3636</v>
      </c>
      <c r="B173" t="s">
        <v>2451</v>
      </c>
      <c r="C173" t="s">
        <v>3456</v>
      </c>
      <c r="D173" t="s">
        <v>3457</v>
      </c>
    </row>
    <row r="174" spans="1:4" x14ac:dyDescent="0.25">
      <c r="A174" t="s">
        <v>3637</v>
      </c>
      <c r="B174" t="s">
        <v>2453</v>
      </c>
      <c r="C174" t="s">
        <v>3463</v>
      </c>
      <c r="D174" t="s">
        <v>3464</v>
      </c>
    </row>
    <row r="175" spans="1:4" x14ac:dyDescent="0.25">
      <c r="A175" t="s">
        <v>3638</v>
      </c>
      <c r="B175" t="s">
        <v>2455</v>
      </c>
      <c r="C175" t="s">
        <v>3471</v>
      </c>
      <c r="D175" t="s">
        <v>3472</v>
      </c>
    </row>
    <row r="176" spans="1:4" x14ac:dyDescent="0.25">
      <c r="A176" t="s">
        <v>3639</v>
      </c>
      <c r="B176" t="s">
        <v>2457</v>
      </c>
      <c r="C176" t="s">
        <v>3477</v>
      </c>
      <c r="D176" t="s">
        <v>3478</v>
      </c>
    </row>
    <row r="177" spans="1:4" x14ac:dyDescent="0.25">
      <c r="A177" t="s">
        <v>3640</v>
      </c>
      <c r="B177" t="s">
        <v>2459</v>
      </c>
      <c r="C177" t="s">
        <v>3471</v>
      </c>
      <c r="D177" t="s">
        <v>3472</v>
      </c>
    </row>
    <row r="178" spans="1:4" x14ac:dyDescent="0.25">
      <c r="A178" t="s">
        <v>3641</v>
      </c>
      <c r="B178" t="s">
        <v>2461</v>
      </c>
      <c r="C178" t="s">
        <v>3471</v>
      </c>
      <c r="D178" t="s">
        <v>3472</v>
      </c>
    </row>
    <row r="179" spans="1:4" x14ac:dyDescent="0.25">
      <c r="A179" t="s">
        <v>3642</v>
      </c>
      <c r="B179" t="s">
        <v>2463</v>
      </c>
      <c r="C179" t="s">
        <v>3471</v>
      </c>
      <c r="D179" t="s">
        <v>3472</v>
      </c>
    </row>
    <row r="180" spans="1:4" x14ac:dyDescent="0.25">
      <c r="A180" t="s">
        <v>3643</v>
      </c>
      <c r="B180" t="s">
        <v>2465</v>
      </c>
      <c r="C180" t="s">
        <v>3471</v>
      </c>
      <c r="D180" t="s">
        <v>3472</v>
      </c>
    </row>
    <row r="181" spans="1:4" x14ac:dyDescent="0.25">
      <c r="A181" t="s">
        <v>3644</v>
      </c>
      <c r="B181" t="s">
        <v>2467</v>
      </c>
      <c r="C181" t="s">
        <v>3471</v>
      </c>
      <c r="D181" t="s">
        <v>3472</v>
      </c>
    </row>
    <row r="182" spans="1:4" x14ac:dyDescent="0.25">
      <c r="A182" t="s">
        <v>3645</v>
      </c>
      <c r="B182" t="s">
        <v>2469</v>
      </c>
      <c r="C182" t="s">
        <v>3463</v>
      </c>
      <c r="D182" t="s">
        <v>3464</v>
      </c>
    </row>
    <row r="183" spans="1:4" x14ac:dyDescent="0.25">
      <c r="A183" t="s">
        <v>3646</v>
      </c>
      <c r="B183" t="s">
        <v>2471</v>
      </c>
      <c r="C183" t="s">
        <v>3463</v>
      </c>
      <c r="D183" t="s">
        <v>3464</v>
      </c>
    </row>
    <row r="184" spans="1:4" x14ac:dyDescent="0.25">
      <c r="A184" t="s">
        <v>3647</v>
      </c>
      <c r="B184" t="s">
        <v>2473</v>
      </c>
      <c r="C184" t="s">
        <v>3477</v>
      </c>
      <c r="D184" t="s">
        <v>3478</v>
      </c>
    </row>
    <row r="185" spans="1:4" x14ac:dyDescent="0.25">
      <c r="A185" t="s">
        <v>3648</v>
      </c>
      <c r="B185" t="s">
        <v>2475</v>
      </c>
      <c r="C185" t="s">
        <v>3463</v>
      </c>
      <c r="D185" t="s">
        <v>3464</v>
      </c>
    </row>
    <row r="186" spans="1:4" x14ac:dyDescent="0.25">
      <c r="A186" t="s">
        <v>3649</v>
      </c>
      <c r="B186" t="s">
        <v>2477</v>
      </c>
      <c r="C186" t="s">
        <v>3456</v>
      </c>
      <c r="D186" t="s">
        <v>3457</v>
      </c>
    </row>
    <row r="187" spans="1:4" x14ac:dyDescent="0.25">
      <c r="A187" t="s">
        <v>3650</v>
      </c>
      <c r="B187" t="s">
        <v>2479</v>
      </c>
      <c r="C187" t="s">
        <v>3463</v>
      </c>
      <c r="D187" t="s">
        <v>3464</v>
      </c>
    </row>
    <row r="188" spans="1:4" x14ac:dyDescent="0.25">
      <c r="A188" t="s">
        <v>3651</v>
      </c>
      <c r="B188" t="s">
        <v>2481</v>
      </c>
      <c r="C188" t="s">
        <v>3471</v>
      </c>
      <c r="D188" t="s">
        <v>3472</v>
      </c>
    </row>
    <row r="189" spans="1:4" x14ac:dyDescent="0.25">
      <c r="A189" t="s">
        <v>3652</v>
      </c>
      <c r="B189" t="s">
        <v>2482</v>
      </c>
      <c r="C189" t="s">
        <v>3456</v>
      </c>
      <c r="D189" t="s">
        <v>3457</v>
      </c>
    </row>
    <row r="190" spans="1:4" x14ac:dyDescent="0.25">
      <c r="A190" t="s">
        <v>3653</v>
      </c>
      <c r="B190" t="s">
        <v>2484</v>
      </c>
      <c r="C190" t="s">
        <v>3477</v>
      </c>
      <c r="D190" t="s">
        <v>3478</v>
      </c>
    </row>
    <row r="191" spans="1:4" x14ac:dyDescent="0.25">
      <c r="A191" t="s">
        <v>3654</v>
      </c>
      <c r="B191" t="s">
        <v>2486</v>
      </c>
      <c r="C191" t="s">
        <v>3463</v>
      </c>
      <c r="D191" t="s">
        <v>3464</v>
      </c>
    </row>
    <row r="192" spans="1:4" x14ac:dyDescent="0.25">
      <c r="A192" t="s">
        <v>3655</v>
      </c>
      <c r="B192" t="s">
        <v>2488</v>
      </c>
      <c r="C192" t="s">
        <v>3471</v>
      </c>
      <c r="D192" t="s">
        <v>3472</v>
      </c>
    </row>
    <row r="193" spans="1:4" x14ac:dyDescent="0.25">
      <c r="A193" t="s">
        <v>3656</v>
      </c>
      <c r="B193" t="s">
        <v>2490</v>
      </c>
      <c r="C193" t="s">
        <v>3463</v>
      </c>
      <c r="D193" t="s">
        <v>3464</v>
      </c>
    </row>
    <row r="194" spans="1:4" x14ac:dyDescent="0.25">
      <c r="A194" t="s">
        <v>3657</v>
      </c>
      <c r="B194" t="s">
        <v>2492</v>
      </c>
      <c r="C194" t="s">
        <v>3477</v>
      </c>
      <c r="D194" t="s">
        <v>3478</v>
      </c>
    </row>
    <row r="195" spans="1:4" x14ac:dyDescent="0.25">
      <c r="A195" t="s">
        <v>3658</v>
      </c>
      <c r="B195" t="s">
        <v>2494</v>
      </c>
      <c r="C195" t="s">
        <v>3477</v>
      </c>
      <c r="D195" t="s">
        <v>3478</v>
      </c>
    </row>
    <row r="196" spans="1:4" x14ac:dyDescent="0.25">
      <c r="A196" t="s">
        <v>3659</v>
      </c>
      <c r="B196" t="s">
        <v>2496</v>
      </c>
      <c r="C196" t="s">
        <v>3463</v>
      </c>
      <c r="D196" t="s">
        <v>3464</v>
      </c>
    </row>
    <row r="197" spans="1:4" x14ac:dyDescent="0.25">
      <c r="A197" t="s">
        <v>3660</v>
      </c>
      <c r="B197" t="s">
        <v>2497</v>
      </c>
      <c r="C197" t="s">
        <v>3456</v>
      </c>
      <c r="D197" t="s">
        <v>3457</v>
      </c>
    </row>
    <row r="198" spans="1:4" x14ac:dyDescent="0.25">
      <c r="A198" t="s">
        <v>3661</v>
      </c>
      <c r="B198" t="s">
        <v>2499</v>
      </c>
      <c r="C198" t="s">
        <v>3477</v>
      </c>
      <c r="D198" t="s">
        <v>3478</v>
      </c>
    </row>
    <row r="199" spans="1:4" x14ac:dyDescent="0.25">
      <c r="A199" t="s">
        <v>3662</v>
      </c>
      <c r="B199" t="s">
        <v>2501</v>
      </c>
      <c r="C199" t="s">
        <v>3477</v>
      </c>
      <c r="D199" t="s">
        <v>3478</v>
      </c>
    </row>
    <row r="200" spans="1:4" x14ac:dyDescent="0.25">
      <c r="A200" t="s">
        <v>3663</v>
      </c>
      <c r="B200" t="s">
        <v>2502</v>
      </c>
      <c r="C200" t="s">
        <v>3471</v>
      </c>
      <c r="D200" t="s">
        <v>3472</v>
      </c>
    </row>
    <row r="201" spans="1:4" x14ac:dyDescent="0.25">
      <c r="A201" t="s">
        <v>3664</v>
      </c>
      <c r="B201" t="s">
        <v>2503</v>
      </c>
      <c r="C201" t="s">
        <v>3477</v>
      </c>
      <c r="D201" t="s">
        <v>3478</v>
      </c>
    </row>
    <row r="202" spans="1:4" x14ac:dyDescent="0.25">
      <c r="A202" t="s">
        <v>3665</v>
      </c>
      <c r="B202" t="s">
        <v>2505</v>
      </c>
      <c r="C202" t="s">
        <v>3459</v>
      </c>
      <c r="D202" t="s">
        <v>3460</v>
      </c>
    </row>
    <row r="203" spans="1:4" x14ac:dyDescent="0.25">
      <c r="A203" t="s">
        <v>3666</v>
      </c>
      <c r="B203" t="s">
        <v>2507</v>
      </c>
      <c r="C203" t="s">
        <v>3463</v>
      </c>
      <c r="D203" t="s">
        <v>3464</v>
      </c>
    </row>
    <row r="204" spans="1:4" x14ac:dyDescent="0.25">
      <c r="A204" t="s">
        <v>3667</v>
      </c>
      <c r="B204" t="s">
        <v>2509</v>
      </c>
      <c r="C204" t="s">
        <v>3463</v>
      </c>
      <c r="D204" t="s">
        <v>3464</v>
      </c>
    </row>
    <row r="205" spans="1:4" x14ac:dyDescent="0.25">
      <c r="A205" t="s">
        <v>3668</v>
      </c>
      <c r="B205" t="s">
        <v>2511</v>
      </c>
      <c r="C205" t="s">
        <v>3463</v>
      </c>
      <c r="D205" t="s">
        <v>3464</v>
      </c>
    </row>
    <row r="206" spans="1:4" x14ac:dyDescent="0.25">
      <c r="A206" t="s">
        <v>3669</v>
      </c>
      <c r="B206" t="s">
        <v>2513</v>
      </c>
      <c r="C206" t="s">
        <v>3456</v>
      </c>
      <c r="D206" t="s">
        <v>3457</v>
      </c>
    </row>
    <row r="207" spans="1:4" x14ac:dyDescent="0.25">
      <c r="A207" t="s">
        <v>3670</v>
      </c>
      <c r="B207" t="s">
        <v>2515</v>
      </c>
      <c r="C207" t="s">
        <v>3459</v>
      </c>
      <c r="D207" t="s">
        <v>3460</v>
      </c>
    </row>
    <row r="208" spans="1:4" x14ac:dyDescent="0.25">
      <c r="A208" t="s">
        <v>3671</v>
      </c>
      <c r="B208" t="s">
        <v>2517</v>
      </c>
      <c r="C208" t="s">
        <v>3456</v>
      </c>
      <c r="D208" t="s">
        <v>3457</v>
      </c>
    </row>
    <row r="209" spans="1:4" x14ac:dyDescent="0.25">
      <c r="A209" t="s">
        <v>3672</v>
      </c>
      <c r="B209" t="s">
        <v>2519</v>
      </c>
      <c r="C209" t="s">
        <v>3459</v>
      </c>
      <c r="D209" t="s">
        <v>3460</v>
      </c>
    </row>
    <row r="210" spans="1:4" x14ac:dyDescent="0.25">
      <c r="A210" t="s">
        <v>3673</v>
      </c>
      <c r="B210" t="s">
        <v>2521</v>
      </c>
      <c r="C210" t="s">
        <v>3463</v>
      </c>
      <c r="D210" t="s">
        <v>3464</v>
      </c>
    </row>
    <row r="211" spans="1:4" x14ac:dyDescent="0.25">
      <c r="A211" t="s">
        <v>3674</v>
      </c>
      <c r="B211" t="s">
        <v>2523</v>
      </c>
      <c r="C211" t="s">
        <v>3471</v>
      </c>
      <c r="D211" t="s">
        <v>3472</v>
      </c>
    </row>
    <row r="212" spans="1:4" x14ac:dyDescent="0.25">
      <c r="A212" t="s">
        <v>3675</v>
      </c>
      <c r="B212" t="s">
        <v>2525</v>
      </c>
      <c r="C212" t="s">
        <v>3477</v>
      </c>
      <c r="D212" t="s">
        <v>3478</v>
      </c>
    </row>
    <row r="213" spans="1:4" x14ac:dyDescent="0.25">
      <c r="A213" t="s">
        <v>3676</v>
      </c>
      <c r="B213" t="s">
        <v>2527</v>
      </c>
      <c r="C213" t="s">
        <v>3471</v>
      </c>
      <c r="D213" t="s">
        <v>3472</v>
      </c>
    </row>
    <row r="214" spans="1:4" x14ac:dyDescent="0.25">
      <c r="A214" t="s">
        <v>3677</v>
      </c>
      <c r="B214" t="s">
        <v>2529</v>
      </c>
      <c r="C214" t="s">
        <v>3471</v>
      </c>
      <c r="D214" t="s">
        <v>3472</v>
      </c>
    </row>
    <row r="215" spans="1:4" x14ac:dyDescent="0.25">
      <c r="A215" t="s">
        <v>3678</v>
      </c>
      <c r="B215" t="s">
        <v>2531</v>
      </c>
      <c r="C215" t="s">
        <v>3471</v>
      </c>
      <c r="D215" t="s">
        <v>3472</v>
      </c>
    </row>
    <row r="216" spans="1:4" x14ac:dyDescent="0.25">
      <c r="A216" t="s">
        <v>3679</v>
      </c>
      <c r="B216" t="s">
        <v>2533</v>
      </c>
      <c r="C216" t="s">
        <v>3477</v>
      </c>
      <c r="D216" t="s">
        <v>3478</v>
      </c>
    </row>
    <row r="217" spans="1:4" x14ac:dyDescent="0.25">
      <c r="A217" t="s">
        <v>3680</v>
      </c>
      <c r="B217" t="s">
        <v>2535</v>
      </c>
      <c r="C217" t="s">
        <v>3477</v>
      </c>
      <c r="D217" t="s">
        <v>3478</v>
      </c>
    </row>
    <row r="218" spans="1:4" x14ac:dyDescent="0.25">
      <c r="A218" t="s">
        <v>3681</v>
      </c>
      <c r="B218" t="s">
        <v>2537</v>
      </c>
      <c r="C218" t="s">
        <v>3456</v>
      </c>
      <c r="D218" t="s">
        <v>3457</v>
      </c>
    </row>
    <row r="219" spans="1:4" x14ac:dyDescent="0.25">
      <c r="A219" t="s">
        <v>3682</v>
      </c>
      <c r="B219" t="s">
        <v>2539</v>
      </c>
      <c r="C219" t="s">
        <v>3463</v>
      </c>
      <c r="D219" t="s">
        <v>3464</v>
      </c>
    </row>
    <row r="220" spans="1:4" x14ac:dyDescent="0.25">
      <c r="A220" t="s">
        <v>3683</v>
      </c>
      <c r="B220" t="s">
        <v>2541</v>
      </c>
      <c r="C220" t="s">
        <v>3459</v>
      </c>
      <c r="D220" t="s">
        <v>3460</v>
      </c>
    </row>
    <row r="221" spans="1:4" x14ac:dyDescent="0.25">
      <c r="A221" t="s">
        <v>3684</v>
      </c>
      <c r="B221" t="s">
        <v>2543</v>
      </c>
      <c r="C221" t="s">
        <v>3471</v>
      </c>
      <c r="D221" t="s">
        <v>3472</v>
      </c>
    </row>
    <row r="222" spans="1:4" x14ac:dyDescent="0.25">
      <c r="A222" t="s">
        <v>3685</v>
      </c>
      <c r="B222" t="s">
        <v>2545</v>
      </c>
      <c r="C222" t="s">
        <v>3459</v>
      </c>
      <c r="D222" t="s">
        <v>3460</v>
      </c>
    </row>
    <row r="223" spans="1:4" x14ac:dyDescent="0.25">
      <c r="A223" t="s">
        <v>3686</v>
      </c>
      <c r="B223" t="s">
        <v>2547</v>
      </c>
      <c r="C223" t="s">
        <v>3477</v>
      </c>
      <c r="D223" t="s">
        <v>3478</v>
      </c>
    </row>
    <row r="224" spans="1:4" x14ac:dyDescent="0.25">
      <c r="A224" t="s">
        <v>3687</v>
      </c>
      <c r="B224" t="s">
        <v>2549</v>
      </c>
      <c r="C224" t="s">
        <v>3471</v>
      </c>
      <c r="D224" t="s">
        <v>3472</v>
      </c>
    </row>
    <row r="225" spans="1:4" x14ac:dyDescent="0.25">
      <c r="A225" t="s">
        <v>3688</v>
      </c>
      <c r="B225" t="s">
        <v>2551</v>
      </c>
      <c r="C225" t="s">
        <v>3463</v>
      </c>
      <c r="D225" t="s">
        <v>3464</v>
      </c>
    </row>
    <row r="226" spans="1:4" x14ac:dyDescent="0.25">
      <c r="A226" t="s">
        <v>3689</v>
      </c>
      <c r="B226" t="s">
        <v>2553</v>
      </c>
      <c r="C226" t="s">
        <v>3463</v>
      </c>
      <c r="D226" t="s">
        <v>3464</v>
      </c>
    </row>
    <row r="227" spans="1:4" x14ac:dyDescent="0.25">
      <c r="A227" t="s">
        <v>3690</v>
      </c>
      <c r="B227" t="s">
        <v>2554</v>
      </c>
      <c r="C227" t="s">
        <v>3459</v>
      </c>
      <c r="D227" t="s">
        <v>3460</v>
      </c>
    </row>
    <row r="228" spans="1:4" x14ac:dyDescent="0.25">
      <c r="A228" t="s">
        <v>3691</v>
      </c>
      <c r="B228" t="s">
        <v>2556</v>
      </c>
      <c r="C228" t="s">
        <v>3477</v>
      </c>
      <c r="D228" t="s">
        <v>3478</v>
      </c>
    </row>
    <row r="229" spans="1:4" x14ac:dyDescent="0.25">
      <c r="A229" t="s">
        <v>3692</v>
      </c>
      <c r="B229" t="s">
        <v>2558</v>
      </c>
      <c r="C229" t="s">
        <v>3456</v>
      </c>
      <c r="D229" t="s">
        <v>3457</v>
      </c>
    </row>
    <row r="230" spans="1:4" x14ac:dyDescent="0.25">
      <c r="A230" t="s">
        <v>3693</v>
      </c>
      <c r="B230" t="s">
        <v>2560</v>
      </c>
      <c r="C230" t="s">
        <v>3463</v>
      </c>
      <c r="D230" t="s">
        <v>3464</v>
      </c>
    </row>
    <row r="231" spans="1:4" x14ac:dyDescent="0.25">
      <c r="A231" t="s">
        <v>3694</v>
      </c>
      <c r="B231" t="s">
        <v>2562</v>
      </c>
      <c r="C231" t="s">
        <v>3471</v>
      </c>
      <c r="D231" t="s">
        <v>3472</v>
      </c>
    </row>
    <row r="232" spans="1:4" x14ac:dyDescent="0.25">
      <c r="A232" t="s">
        <v>3695</v>
      </c>
      <c r="B232" t="s">
        <v>2564</v>
      </c>
      <c r="C232" t="s">
        <v>3459</v>
      </c>
      <c r="D232" t="s">
        <v>3460</v>
      </c>
    </row>
    <row r="233" spans="1:4" x14ac:dyDescent="0.25">
      <c r="A233" t="s">
        <v>3696</v>
      </c>
      <c r="B233" t="s">
        <v>2566</v>
      </c>
      <c r="C233" t="s">
        <v>3463</v>
      </c>
      <c r="D233" t="s">
        <v>3464</v>
      </c>
    </row>
    <row r="234" spans="1:4" x14ac:dyDescent="0.25">
      <c r="A234" t="s">
        <v>3697</v>
      </c>
      <c r="B234" t="s">
        <v>2568</v>
      </c>
      <c r="C234" t="s">
        <v>3459</v>
      </c>
      <c r="D234" t="s">
        <v>3460</v>
      </c>
    </row>
    <row r="235" spans="1:4" x14ac:dyDescent="0.25">
      <c r="A235" t="s">
        <v>3698</v>
      </c>
      <c r="B235" t="s">
        <v>2570</v>
      </c>
      <c r="C235" t="s">
        <v>3477</v>
      </c>
      <c r="D235" t="s">
        <v>3478</v>
      </c>
    </row>
    <row r="236" spans="1:4" x14ac:dyDescent="0.25">
      <c r="A236" t="s">
        <v>3699</v>
      </c>
      <c r="B236" t="s">
        <v>2572</v>
      </c>
      <c r="C236" t="s">
        <v>3477</v>
      </c>
      <c r="D236" t="s">
        <v>3478</v>
      </c>
    </row>
    <row r="237" spans="1:4" x14ac:dyDescent="0.25">
      <c r="A237" t="s">
        <v>3700</v>
      </c>
      <c r="B237" t="s">
        <v>2574</v>
      </c>
      <c r="C237" t="s">
        <v>3471</v>
      </c>
      <c r="D237" t="s">
        <v>3472</v>
      </c>
    </row>
    <row r="238" spans="1:4" x14ac:dyDescent="0.25">
      <c r="A238" t="s">
        <v>3701</v>
      </c>
      <c r="B238" t="s">
        <v>2576</v>
      </c>
      <c r="C238" t="s">
        <v>3456</v>
      </c>
      <c r="D238" t="s">
        <v>3457</v>
      </c>
    </row>
    <row r="239" spans="1:4" x14ac:dyDescent="0.25">
      <c r="A239" t="s">
        <v>3702</v>
      </c>
      <c r="B239" t="s">
        <v>2578</v>
      </c>
      <c r="C239" t="s">
        <v>3471</v>
      </c>
      <c r="D239" t="s">
        <v>3472</v>
      </c>
    </row>
    <row r="240" spans="1:4" x14ac:dyDescent="0.25">
      <c r="A240" t="s">
        <v>3703</v>
      </c>
      <c r="B240" t="s">
        <v>2580</v>
      </c>
      <c r="C240" t="s">
        <v>3456</v>
      </c>
      <c r="D240" t="s">
        <v>3457</v>
      </c>
    </row>
    <row r="241" spans="1:4" x14ac:dyDescent="0.25">
      <c r="A241" t="s">
        <v>3704</v>
      </c>
      <c r="B241" t="s">
        <v>2582</v>
      </c>
      <c r="C241" t="s">
        <v>3459</v>
      </c>
      <c r="D241" t="s">
        <v>3460</v>
      </c>
    </row>
    <row r="242" spans="1:4" x14ac:dyDescent="0.25">
      <c r="A242" t="s">
        <v>3705</v>
      </c>
      <c r="B242" t="s">
        <v>2583</v>
      </c>
      <c r="C242" t="s">
        <v>3471</v>
      </c>
      <c r="D242" t="s">
        <v>3472</v>
      </c>
    </row>
    <row r="243" spans="1:4" x14ac:dyDescent="0.25">
      <c r="A243" t="s">
        <v>3706</v>
      </c>
      <c r="B243" t="s">
        <v>2585</v>
      </c>
      <c r="C243" t="s">
        <v>3477</v>
      </c>
      <c r="D243" t="s">
        <v>3478</v>
      </c>
    </row>
    <row r="244" spans="1:4" x14ac:dyDescent="0.25">
      <c r="A244" t="s">
        <v>3707</v>
      </c>
      <c r="B244" t="s">
        <v>2586</v>
      </c>
      <c r="C244" t="s">
        <v>3463</v>
      </c>
      <c r="D244" t="s">
        <v>3464</v>
      </c>
    </row>
    <row r="245" spans="1:4" x14ac:dyDescent="0.25">
      <c r="A245" t="s">
        <v>3708</v>
      </c>
      <c r="B245" t="s">
        <v>2588</v>
      </c>
      <c r="C245" t="s">
        <v>3477</v>
      </c>
      <c r="D245" t="s">
        <v>3478</v>
      </c>
    </row>
    <row r="246" spans="1:4" x14ac:dyDescent="0.25">
      <c r="A246" t="s">
        <v>3709</v>
      </c>
      <c r="B246" t="s">
        <v>2590</v>
      </c>
      <c r="C246" t="s">
        <v>3477</v>
      </c>
      <c r="D246" t="s">
        <v>3478</v>
      </c>
    </row>
    <row r="247" spans="1:4" x14ac:dyDescent="0.25">
      <c r="A247" t="s">
        <v>3710</v>
      </c>
      <c r="B247" t="s">
        <v>2592</v>
      </c>
      <c r="C247" t="s">
        <v>3471</v>
      </c>
      <c r="D247" t="s">
        <v>3472</v>
      </c>
    </row>
    <row r="248" spans="1:4" x14ac:dyDescent="0.25">
      <c r="A248" t="s">
        <v>3711</v>
      </c>
      <c r="B248" t="s">
        <v>2594</v>
      </c>
      <c r="C248" t="s">
        <v>3477</v>
      </c>
      <c r="D248" t="s">
        <v>3478</v>
      </c>
    </row>
    <row r="249" spans="1:4" x14ac:dyDescent="0.25">
      <c r="A249" t="s">
        <v>3712</v>
      </c>
      <c r="B249" t="s">
        <v>2596</v>
      </c>
      <c r="C249" t="s">
        <v>3459</v>
      </c>
      <c r="D249" t="s">
        <v>3460</v>
      </c>
    </row>
    <row r="250" spans="1:4" x14ac:dyDescent="0.25">
      <c r="A250" t="s">
        <v>3713</v>
      </c>
      <c r="B250" t="s">
        <v>2598</v>
      </c>
      <c r="C250" t="s">
        <v>3477</v>
      </c>
      <c r="D250" t="s">
        <v>3478</v>
      </c>
    </row>
    <row r="251" spans="1:4" x14ac:dyDescent="0.25">
      <c r="A251" t="s">
        <v>3714</v>
      </c>
      <c r="B251" t="s">
        <v>2600</v>
      </c>
      <c r="C251" t="s">
        <v>3471</v>
      </c>
      <c r="D251" t="s">
        <v>3472</v>
      </c>
    </row>
    <row r="252" spans="1:4" x14ac:dyDescent="0.25">
      <c r="A252" t="s">
        <v>3715</v>
      </c>
      <c r="B252" t="s">
        <v>2602</v>
      </c>
      <c r="C252" t="s">
        <v>3459</v>
      </c>
      <c r="D252" t="s">
        <v>3460</v>
      </c>
    </row>
    <row r="253" spans="1:4" x14ac:dyDescent="0.25">
      <c r="A253" t="s">
        <v>3716</v>
      </c>
      <c r="B253" t="s">
        <v>2604</v>
      </c>
      <c r="C253" t="s">
        <v>3463</v>
      </c>
      <c r="D253" t="s">
        <v>3464</v>
      </c>
    </row>
    <row r="254" spans="1:4" x14ac:dyDescent="0.25">
      <c r="A254" t="s">
        <v>3717</v>
      </c>
      <c r="B254" t="s">
        <v>2606</v>
      </c>
      <c r="C254" t="s">
        <v>3477</v>
      </c>
      <c r="D254" t="s">
        <v>3478</v>
      </c>
    </row>
    <row r="255" spans="1:4" x14ac:dyDescent="0.25">
      <c r="A255" t="s">
        <v>3718</v>
      </c>
      <c r="B255" t="s">
        <v>2608</v>
      </c>
      <c r="C255" t="s">
        <v>3471</v>
      </c>
      <c r="D255" t="s">
        <v>3472</v>
      </c>
    </row>
    <row r="256" spans="1:4" x14ac:dyDescent="0.25">
      <c r="A256" t="s">
        <v>3719</v>
      </c>
      <c r="B256" t="s">
        <v>2610</v>
      </c>
      <c r="C256" t="s">
        <v>3477</v>
      </c>
      <c r="D256" t="s">
        <v>3478</v>
      </c>
    </row>
    <row r="257" spans="1:4" x14ac:dyDescent="0.25">
      <c r="A257" t="s">
        <v>3720</v>
      </c>
      <c r="B257" t="s">
        <v>2612</v>
      </c>
      <c r="C257" t="s">
        <v>3456</v>
      </c>
      <c r="D257" t="s">
        <v>3457</v>
      </c>
    </row>
    <row r="258" spans="1:4" x14ac:dyDescent="0.25">
      <c r="A258" t="s">
        <v>3721</v>
      </c>
      <c r="B258" t="s">
        <v>2614</v>
      </c>
      <c r="C258" t="s">
        <v>3477</v>
      </c>
      <c r="D258" t="s">
        <v>3478</v>
      </c>
    </row>
    <row r="259" spans="1:4" x14ac:dyDescent="0.25">
      <c r="A259" t="s">
        <v>3722</v>
      </c>
      <c r="B259" t="s">
        <v>2615</v>
      </c>
      <c r="C259" t="s">
        <v>3463</v>
      </c>
      <c r="D259" t="s">
        <v>3464</v>
      </c>
    </row>
    <row r="260" spans="1:4" x14ac:dyDescent="0.25">
      <c r="A260" t="s">
        <v>3723</v>
      </c>
      <c r="B260" t="s">
        <v>2617</v>
      </c>
      <c r="C260" t="s">
        <v>3471</v>
      </c>
      <c r="D260" t="s">
        <v>3472</v>
      </c>
    </row>
    <row r="261" spans="1:4" x14ac:dyDescent="0.25">
      <c r="A261" t="s">
        <v>3724</v>
      </c>
      <c r="B261" t="s">
        <v>2619</v>
      </c>
      <c r="C261" t="s">
        <v>3459</v>
      </c>
      <c r="D261" t="s">
        <v>3460</v>
      </c>
    </row>
    <row r="262" spans="1:4" x14ac:dyDescent="0.25">
      <c r="A262" t="s">
        <v>3725</v>
      </c>
      <c r="B262" t="s">
        <v>2621</v>
      </c>
      <c r="C262" t="s">
        <v>3471</v>
      </c>
      <c r="D262" t="s">
        <v>3472</v>
      </c>
    </row>
    <row r="263" spans="1:4" x14ac:dyDescent="0.25">
      <c r="A263" t="s">
        <v>3726</v>
      </c>
      <c r="B263" t="s">
        <v>2623</v>
      </c>
      <c r="C263" t="s">
        <v>3477</v>
      </c>
      <c r="D263" t="s">
        <v>3478</v>
      </c>
    </row>
    <row r="264" spans="1:4" x14ac:dyDescent="0.25">
      <c r="A264" t="s">
        <v>3727</v>
      </c>
      <c r="B264" t="s">
        <v>2625</v>
      </c>
      <c r="C264" t="s">
        <v>3477</v>
      </c>
      <c r="D264" t="s">
        <v>3478</v>
      </c>
    </row>
    <row r="265" spans="1:4" x14ac:dyDescent="0.25">
      <c r="A265" t="s">
        <v>3728</v>
      </c>
      <c r="B265" t="s">
        <v>2627</v>
      </c>
      <c r="C265" t="s">
        <v>3463</v>
      </c>
      <c r="D265" t="s">
        <v>3464</v>
      </c>
    </row>
    <row r="266" spans="1:4" x14ac:dyDescent="0.25">
      <c r="A266" t="s">
        <v>3729</v>
      </c>
      <c r="B266" t="s">
        <v>2629</v>
      </c>
      <c r="C266" t="s">
        <v>3477</v>
      </c>
      <c r="D266" t="s">
        <v>3478</v>
      </c>
    </row>
    <row r="267" spans="1:4" x14ac:dyDescent="0.25">
      <c r="A267" t="s">
        <v>3730</v>
      </c>
      <c r="B267" t="s">
        <v>2631</v>
      </c>
      <c r="C267" t="s">
        <v>3471</v>
      </c>
      <c r="D267" t="s">
        <v>3472</v>
      </c>
    </row>
    <row r="268" spans="1:4" x14ac:dyDescent="0.25">
      <c r="A268" t="s">
        <v>3731</v>
      </c>
      <c r="B268" t="s">
        <v>2633</v>
      </c>
      <c r="C268" t="s">
        <v>3463</v>
      </c>
      <c r="D268" t="s">
        <v>3464</v>
      </c>
    </row>
    <row r="269" spans="1:4" x14ac:dyDescent="0.25">
      <c r="A269" t="s">
        <v>3732</v>
      </c>
      <c r="B269" t="s">
        <v>2635</v>
      </c>
      <c r="C269" t="s">
        <v>3463</v>
      </c>
      <c r="D269" t="s">
        <v>3464</v>
      </c>
    </row>
    <row r="270" spans="1:4" x14ac:dyDescent="0.25">
      <c r="A270" t="s">
        <v>3733</v>
      </c>
      <c r="B270" t="s">
        <v>2637</v>
      </c>
      <c r="C270" t="s">
        <v>3477</v>
      </c>
      <c r="D270" t="s">
        <v>3478</v>
      </c>
    </row>
    <row r="271" spans="1:4" x14ac:dyDescent="0.25">
      <c r="A271" t="s">
        <v>3734</v>
      </c>
      <c r="B271" t="s">
        <v>2639</v>
      </c>
      <c r="C271" t="s">
        <v>3463</v>
      </c>
      <c r="D271" t="s">
        <v>3464</v>
      </c>
    </row>
    <row r="272" spans="1:4" x14ac:dyDescent="0.25">
      <c r="A272" t="s">
        <v>3735</v>
      </c>
      <c r="B272" t="s">
        <v>2641</v>
      </c>
      <c r="C272" t="s">
        <v>3459</v>
      </c>
      <c r="D272" t="s">
        <v>3460</v>
      </c>
    </row>
    <row r="273" spans="1:4" x14ac:dyDescent="0.25">
      <c r="A273" t="s">
        <v>3736</v>
      </c>
      <c r="B273" t="s">
        <v>2642</v>
      </c>
      <c r="C273" t="s">
        <v>3463</v>
      </c>
      <c r="D273" t="s">
        <v>3464</v>
      </c>
    </row>
    <row r="274" spans="1:4" x14ac:dyDescent="0.25">
      <c r="A274" t="s">
        <v>3737</v>
      </c>
      <c r="B274" t="s">
        <v>2644</v>
      </c>
      <c r="C274" t="s">
        <v>3456</v>
      </c>
      <c r="D274" t="s">
        <v>3457</v>
      </c>
    </row>
    <row r="275" spans="1:4" x14ac:dyDescent="0.25">
      <c r="A275" t="s">
        <v>3738</v>
      </c>
      <c r="B275" t="s">
        <v>2646</v>
      </c>
      <c r="C275" t="s">
        <v>3463</v>
      </c>
      <c r="D275" t="s">
        <v>3464</v>
      </c>
    </row>
    <row r="276" spans="1:4" x14ac:dyDescent="0.25">
      <c r="A276" t="s">
        <v>3739</v>
      </c>
      <c r="B276" t="s">
        <v>2648</v>
      </c>
      <c r="C276" t="s">
        <v>3471</v>
      </c>
      <c r="D276" t="s">
        <v>3472</v>
      </c>
    </row>
    <row r="277" spans="1:4" x14ac:dyDescent="0.25">
      <c r="A277" t="s">
        <v>3740</v>
      </c>
      <c r="B277" t="s">
        <v>2650</v>
      </c>
      <c r="C277" t="s">
        <v>3459</v>
      </c>
      <c r="D277" t="s">
        <v>3460</v>
      </c>
    </row>
    <row r="278" spans="1:4" x14ac:dyDescent="0.25">
      <c r="A278" t="s">
        <v>3741</v>
      </c>
      <c r="B278" t="s">
        <v>2652</v>
      </c>
      <c r="C278" t="s">
        <v>3456</v>
      </c>
      <c r="D278" t="s">
        <v>3457</v>
      </c>
    </row>
    <row r="279" spans="1:4" x14ac:dyDescent="0.25">
      <c r="A279" t="s">
        <v>3742</v>
      </c>
      <c r="B279" t="s">
        <v>2654</v>
      </c>
      <c r="C279" t="s">
        <v>3456</v>
      </c>
      <c r="D279" t="s">
        <v>3457</v>
      </c>
    </row>
    <row r="280" spans="1:4" x14ac:dyDescent="0.25">
      <c r="A280" t="s">
        <v>3743</v>
      </c>
      <c r="B280" t="s">
        <v>2656</v>
      </c>
      <c r="C280" t="s">
        <v>3459</v>
      </c>
      <c r="D280" t="s">
        <v>3460</v>
      </c>
    </row>
    <row r="281" spans="1:4" x14ac:dyDescent="0.25">
      <c r="A281" t="s">
        <v>3744</v>
      </c>
      <c r="B281" t="s">
        <v>2658</v>
      </c>
      <c r="C281" t="s">
        <v>3456</v>
      </c>
      <c r="D281" t="s">
        <v>3457</v>
      </c>
    </row>
    <row r="282" spans="1:4" x14ac:dyDescent="0.25">
      <c r="A282" t="s">
        <v>3745</v>
      </c>
      <c r="B282" t="s">
        <v>2660</v>
      </c>
      <c r="C282" t="s">
        <v>3459</v>
      </c>
      <c r="D282" t="s">
        <v>3460</v>
      </c>
    </row>
    <row r="283" spans="1:4" x14ac:dyDescent="0.25">
      <c r="A283" t="s">
        <v>3746</v>
      </c>
      <c r="B283" t="s">
        <v>2662</v>
      </c>
      <c r="C283" t="s">
        <v>3471</v>
      </c>
      <c r="D283" t="s">
        <v>3472</v>
      </c>
    </row>
    <row r="284" spans="1:4" x14ac:dyDescent="0.25">
      <c r="A284" t="s">
        <v>3747</v>
      </c>
      <c r="B284" t="s">
        <v>2664</v>
      </c>
      <c r="C284" t="s">
        <v>3456</v>
      </c>
      <c r="D284" t="s">
        <v>3457</v>
      </c>
    </row>
    <row r="285" spans="1:4" x14ac:dyDescent="0.25">
      <c r="A285" t="s">
        <v>3748</v>
      </c>
      <c r="B285" t="s">
        <v>2666</v>
      </c>
      <c r="C285" t="s">
        <v>3456</v>
      </c>
      <c r="D285" t="s">
        <v>3457</v>
      </c>
    </row>
    <row r="286" spans="1:4" x14ac:dyDescent="0.25">
      <c r="A286" t="s">
        <v>3749</v>
      </c>
      <c r="B286" t="s">
        <v>2668</v>
      </c>
      <c r="C286" t="s">
        <v>3463</v>
      </c>
      <c r="D286" t="s">
        <v>3464</v>
      </c>
    </row>
    <row r="287" spans="1:4" x14ac:dyDescent="0.25">
      <c r="A287" t="s">
        <v>3750</v>
      </c>
      <c r="B287" t="s">
        <v>2670</v>
      </c>
      <c r="C287" t="s">
        <v>3456</v>
      </c>
      <c r="D287" t="s">
        <v>3457</v>
      </c>
    </row>
    <row r="288" spans="1:4" x14ac:dyDescent="0.25">
      <c r="A288" t="s">
        <v>3751</v>
      </c>
      <c r="B288" t="s">
        <v>2672</v>
      </c>
      <c r="C288" t="s">
        <v>3459</v>
      </c>
      <c r="D288" t="s">
        <v>3460</v>
      </c>
    </row>
    <row r="289" spans="1:4" x14ac:dyDescent="0.25">
      <c r="A289" t="s">
        <v>3752</v>
      </c>
      <c r="B289" t="s">
        <v>2674</v>
      </c>
      <c r="C289" t="s">
        <v>3471</v>
      </c>
      <c r="D289" t="s">
        <v>3472</v>
      </c>
    </row>
    <row r="290" spans="1:4" x14ac:dyDescent="0.25">
      <c r="A290" t="s">
        <v>3753</v>
      </c>
      <c r="B290" t="s">
        <v>2675</v>
      </c>
      <c r="C290" t="s">
        <v>3459</v>
      </c>
      <c r="D290" t="s">
        <v>3460</v>
      </c>
    </row>
    <row r="291" spans="1:4" x14ac:dyDescent="0.25">
      <c r="A291" t="s">
        <v>3754</v>
      </c>
      <c r="B291" t="s">
        <v>2677</v>
      </c>
      <c r="C291" t="s">
        <v>3459</v>
      </c>
      <c r="D291" t="s">
        <v>3460</v>
      </c>
    </row>
    <row r="292" spans="1:4" x14ac:dyDescent="0.25">
      <c r="A292" t="s">
        <v>3755</v>
      </c>
      <c r="B292" t="s">
        <v>2679</v>
      </c>
      <c r="C292" t="s">
        <v>3459</v>
      </c>
      <c r="D292" t="s">
        <v>3460</v>
      </c>
    </row>
    <row r="293" spans="1:4" x14ac:dyDescent="0.25">
      <c r="A293" t="s">
        <v>3756</v>
      </c>
      <c r="B293" t="s">
        <v>2681</v>
      </c>
      <c r="C293" t="s">
        <v>3471</v>
      </c>
      <c r="D293" t="s">
        <v>3472</v>
      </c>
    </row>
    <row r="294" spans="1:4" x14ac:dyDescent="0.25">
      <c r="A294" t="s">
        <v>3757</v>
      </c>
      <c r="B294" t="s">
        <v>2682</v>
      </c>
      <c r="C294" t="s">
        <v>3477</v>
      </c>
      <c r="D294" t="s">
        <v>3478</v>
      </c>
    </row>
    <row r="295" spans="1:4" x14ac:dyDescent="0.25">
      <c r="A295" t="s">
        <v>3758</v>
      </c>
      <c r="B295" t="s">
        <v>2684</v>
      </c>
      <c r="C295" t="s">
        <v>3456</v>
      </c>
      <c r="D295" t="s">
        <v>3457</v>
      </c>
    </row>
    <row r="296" spans="1:4" x14ac:dyDescent="0.25">
      <c r="A296" t="s">
        <v>3759</v>
      </c>
      <c r="B296" t="s">
        <v>2685</v>
      </c>
      <c r="C296" t="s">
        <v>3477</v>
      </c>
      <c r="D296" t="s">
        <v>3478</v>
      </c>
    </row>
    <row r="297" spans="1:4" x14ac:dyDescent="0.25">
      <c r="A297" t="s">
        <v>3760</v>
      </c>
      <c r="B297" t="s">
        <v>2687</v>
      </c>
      <c r="C297" t="s">
        <v>3459</v>
      </c>
      <c r="D297" t="s">
        <v>3460</v>
      </c>
    </row>
    <row r="298" spans="1:4" x14ac:dyDescent="0.25">
      <c r="A298" t="s">
        <v>3761</v>
      </c>
      <c r="B298" t="s">
        <v>2689</v>
      </c>
      <c r="C298" t="s">
        <v>3463</v>
      </c>
      <c r="D298" t="s">
        <v>3464</v>
      </c>
    </row>
    <row r="299" spans="1:4" x14ac:dyDescent="0.25">
      <c r="A299" t="s">
        <v>3762</v>
      </c>
      <c r="B299" t="s">
        <v>2690</v>
      </c>
      <c r="C299" t="s">
        <v>3471</v>
      </c>
      <c r="D299" t="s">
        <v>3472</v>
      </c>
    </row>
    <row r="300" spans="1:4" x14ac:dyDescent="0.25">
      <c r="A300" t="s">
        <v>3763</v>
      </c>
      <c r="B300" t="s">
        <v>2692</v>
      </c>
      <c r="C300" t="s">
        <v>3477</v>
      </c>
      <c r="D300" t="s">
        <v>3478</v>
      </c>
    </row>
    <row r="301" spans="1:4" x14ac:dyDescent="0.25">
      <c r="A301" t="s">
        <v>3764</v>
      </c>
      <c r="B301" t="s">
        <v>2694</v>
      </c>
      <c r="C301" t="s">
        <v>3459</v>
      </c>
      <c r="D301" t="s">
        <v>3460</v>
      </c>
    </row>
    <row r="302" spans="1:4" x14ac:dyDescent="0.25">
      <c r="A302" t="s">
        <v>3765</v>
      </c>
      <c r="B302" t="s">
        <v>2696</v>
      </c>
      <c r="C302" t="s">
        <v>3477</v>
      </c>
      <c r="D302" t="s">
        <v>3478</v>
      </c>
    </row>
    <row r="303" spans="1:4" x14ac:dyDescent="0.25">
      <c r="A303" t="s">
        <v>3766</v>
      </c>
      <c r="B303" t="s">
        <v>2698</v>
      </c>
      <c r="C303" t="s">
        <v>3477</v>
      </c>
      <c r="D303" t="s">
        <v>3478</v>
      </c>
    </row>
    <row r="304" spans="1:4" x14ac:dyDescent="0.25">
      <c r="A304" t="s">
        <v>3767</v>
      </c>
      <c r="B304" t="s">
        <v>2700</v>
      </c>
      <c r="C304" t="s">
        <v>3456</v>
      </c>
      <c r="D304" t="s">
        <v>3457</v>
      </c>
    </row>
    <row r="305" spans="1:4" x14ac:dyDescent="0.25">
      <c r="A305" t="s">
        <v>3768</v>
      </c>
      <c r="B305" t="s">
        <v>2701</v>
      </c>
      <c r="C305" t="s">
        <v>3471</v>
      </c>
      <c r="D305" t="s">
        <v>3472</v>
      </c>
    </row>
    <row r="306" spans="1:4" x14ac:dyDescent="0.25">
      <c r="A306" t="s">
        <v>3769</v>
      </c>
      <c r="B306" t="s">
        <v>2703</v>
      </c>
      <c r="C306" t="s">
        <v>3456</v>
      </c>
      <c r="D306" t="s">
        <v>3457</v>
      </c>
    </row>
    <row r="307" spans="1:4" x14ac:dyDescent="0.25">
      <c r="A307" t="s">
        <v>3770</v>
      </c>
      <c r="B307" t="s">
        <v>2704</v>
      </c>
      <c r="C307" t="s">
        <v>3456</v>
      </c>
      <c r="D307" t="s">
        <v>3457</v>
      </c>
    </row>
    <row r="308" spans="1:4" x14ac:dyDescent="0.25">
      <c r="A308" t="s">
        <v>3771</v>
      </c>
      <c r="B308" t="s">
        <v>2706</v>
      </c>
      <c r="C308" t="s">
        <v>3456</v>
      </c>
      <c r="D308" t="s">
        <v>3457</v>
      </c>
    </row>
    <row r="309" spans="1:4" x14ac:dyDescent="0.25">
      <c r="A309" t="s">
        <v>3772</v>
      </c>
      <c r="B309" t="s">
        <v>2708</v>
      </c>
      <c r="C309" t="s">
        <v>3456</v>
      </c>
      <c r="D309" t="s">
        <v>3457</v>
      </c>
    </row>
    <row r="310" spans="1:4" x14ac:dyDescent="0.25">
      <c r="A310" t="s">
        <v>3773</v>
      </c>
      <c r="B310" t="s">
        <v>2710</v>
      </c>
      <c r="C310" t="s">
        <v>3477</v>
      </c>
      <c r="D310" t="s">
        <v>3478</v>
      </c>
    </row>
    <row r="311" spans="1:4" x14ac:dyDescent="0.25">
      <c r="A311" t="s">
        <v>3774</v>
      </c>
      <c r="B311" t="s">
        <v>2712</v>
      </c>
      <c r="C311" t="s">
        <v>3463</v>
      </c>
      <c r="D311" t="s">
        <v>3464</v>
      </c>
    </row>
    <row r="312" spans="1:4" x14ac:dyDescent="0.25">
      <c r="A312" t="s">
        <v>3775</v>
      </c>
      <c r="B312" t="s">
        <v>2714</v>
      </c>
      <c r="C312" t="s">
        <v>3463</v>
      </c>
      <c r="D312" t="s">
        <v>3464</v>
      </c>
    </row>
    <row r="313" spans="1:4" x14ac:dyDescent="0.25">
      <c r="A313" t="s">
        <v>3776</v>
      </c>
      <c r="B313" t="s">
        <v>2716</v>
      </c>
      <c r="C313" t="s">
        <v>3471</v>
      </c>
      <c r="D313" t="s">
        <v>3472</v>
      </c>
    </row>
    <row r="314" spans="1:4" x14ac:dyDescent="0.25">
      <c r="A314" t="s">
        <v>3777</v>
      </c>
      <c r="B314" t="s">
        <v>2717</v>
      </c>
      <c r="C314" t="s">
        <v>3456</v>
      </c>
      <c r="D314" t="s">
        <v>3457</v>
      </c>
    </row>
    <row r="315" spans="1:4" x14ac:dyDescent="0.25">
      <c r="A315" t="s">
        <v>3778</v>
      </c>
      <c r="B315" t="s">
        <v>2719</v>
      </c>
      <c r="C315" t="s">
        <v>3456</v>
      </c>
      <c r="D315" t="s">
        <v>3457</v>
      </c>
    </row>
    <row r="316" spans="1:4" x14ac:dyDescent="0.25">
      <c r="A316" t="s">
        <v>3779</v>
      </c>
      <c r="B316" t="s">
        <v>2720</v>
      </c>
      <c r="C316" t="s">
        <v>3459</v>
      </c>
      <c r="D316" t="s">
        <v>3460</v>
      </c>
    </row>
    <row r="317" spans="1:4" x14ac:dyDescent="0.25">
      <c r="A317" t="s">
        <v>3780</v>
      </c>
      <c r="B317" t="s">
        <v>2722</v>
      </c>
      <c r="C317" t="s">
        <v>3471</v>
      </c>
      <c r="D317" t="s">
        <v>3472</v>
      </c>
    </row>
    <row r="318" spans="1:4" x14ac:dyDescent="0.25">
      <c r="A318" t="s">
        <v>3781</v>
      </c>
      <c r="B318" t="s">
        <v>2724</v>
      </c>
      <c r="C318" t="s">
        <v>3459</v>
      </c>
      <c r="D318" t="s">
        <v>3460</v>
      </c>
    </row>
    <row r="319" spans="1:4" x14ac:dyDescent="0.25">
      <c r="A319" t="s">
        <v>3782</v>
      </c>
      <c r="B319" t="s">
        <v>2726</v>
      </c>
      <c r="C319" t="s">
        <v>3459</v>
      </c>
      <c r="D319" t="s">
        <v>3460</v>
      </c>
    </row>
    <row r="320" spans="1:4" x14ac:dyDescent="0.25">
      <c r="A320" t="s">
        <v>3783</v>
      </c>
      <c r="B320" t="s">
        <v>2728</v>
      </c>
      <c r="C320" t="s">
        <v>3456</v>
      </c>
      <c r="D320" t="s">
        <v>3457</v>
      </c>
    </row>
    <row r="321" spans="1:4" x14ac:dyDescent="0.25">
      <c r="A321" t="s">
        <v>3784</v>
      </c>
      <c r="B321" t="s">
        <v>2730</v>
      </c>
      <c r="C321" t="s">
        <v>3477</v>
      </c>
      <c r="D321" t="s">
        <v>3478</v>
      </c>
    </row>
    <row r="322" spans="1:4" x14ac:dyDescent="0.25">
      <c r="A322" t="s">
        <v>3785</v>
      </c>
      <c r="B322" t="s">
        <v>2732</v>
      </c>
      <c r="C322" t="s">
        <v>3456</v>
      </c>
      <c r="D322" t="s">
        <v>3457</v>
      </c>
    </row>
    <row r="323" spans="1:4" x14ac:dyDescent="0.25">
      <c r="A323" t="s">
        <v>3786</v>
      </c>
      <c r="B323" t="s">
        <v>2733</v>
      </c>
      <c r="C323" t="s">
        <v>3459</v>
      </c>
      <c r="D323" t="s">
        <v>3460</v>
      </c>
    </row>
    <row r="324" spans="1:4" x14ac:dyDescent="0.25">
      <c r="A324" t="s">
        <v>3787</v>
      </c>
      <c r="B324" t="s">
        <v>2735</v>
      </c>
      <c r="C324" t="s">
        <v>3463</v>
      </c>
      <c r="D324" t="s">
        <v>3464</v>
      </c>
    </row>
    <row r="325" spans="1:4" x14ac:dyDescent="0.25">
      <c r="A325" t="s">
        <v>3788</v>
      </c>
      <c r="B325" t="s">
        <v>2737</v>
      </c>
      <c r="C325" t="s">
        <v>3459</v>
      </c>
      <c r="D325" t="s">
        <v>3460</v>
      </c>
    </row>
    <row r="326" spans="1:4" x14ac:dyDescent="0.25">
      <c r="A326" t="s">
        <v>3789</v>
      </c>
      <c r="B326" t="s">
        <v>2739</v>
      </c>
      <c r="C326" t="s">
        <v>3463</v>
      </c>
      <c r="D326" t="s">
        <v>3464</v>
      </c>
    </row>
    <row r="327" spans="1:4" x14ac:dyDescent="0.25">
      <c r="A327" t="s">
        <v>3790</v>
      </c>
      <c r="B327" t="s">
        <v>2740</v>
      </c>
      <c r="C327" t="s">
        <v>3459</v>
      </c>
      <c r="D327" t="s">
        <v>3460</v>
      </c>
    </row>
    <row r="328" spans="1:4" x14ac:dyDescent="0.25">
      <c r="A328" t="s">
        <v>3791</v>
      </c>
      <c r="B328" t="s">
        <v>2742</v>
      </c>
      <c r="C328" t="s">
        <v>3456</v>
      </c>
      <c r="D328" t="s">
        <v>3457</v>
      </c>
    </row>
    <row r="329" spans="1:4" x14ac:dyDescent="0.25">
      <c r="A329" t="s">
        <v>3792</v>
      </c>
      <c r="B329" t="s">
        <v>2743</v>
      </c>
      <c r="C329" t="s">
        <v>3459</v>
      </c>
      <c r="D329" t="s">
        <v>3460</v>
      </c>
    </row>
    <row r="330" spans="1:4" x14ac:dyDescent="0.25">
      <c r="A330" t="s">
        <v>3793</v>
      </c>
      <c r="B330" t="s">
        <v>2745</v>
      </c>
      <c r="C330" t="s">
        <v>3471</v>
      </c>
      <c r="D330" t="s">
        <v>3472</v>
      </c>
    </row>
    <row r="331" spans="1:4" x14ac:dyDescent="0.25">
      <c r="A331" t="s">
        <v>3794</v>
      </c>
      <c r="B331" t="s">
        <v>2747</v>
      </c>
      <c r="C331" t="s">
        <v>3456</v>
      </c>
      <c r="D331" t="s">
        <v>3457</v>
      </c>
    </row>
    <row r="332" spans="1:4" x14ac:dyDescent="0.25">
      <c r="A332" t="s">
        <v>3795</v>
      </c>
      <c r="B332" t="s">
        <v>2749</v>
      </c>
      <c r="C332" t="s">
        <v>3477</v>
      </c>
      <c r="D332" t="s">
        <v>3478</v>
      </c>
    </row>
    <row r="333" spans="1:4" x14ac:dyDescent="0.25">
      <c r="A333" t="s">
        <v>3796</v>
      </c>
      <c r="B333" t="s">
        <v>2751</v>
      </c>
      <c r="C333" t="s">
        <v>3463</v>
      </c>
      <c r="D333" t="s">
        <v>3464</v>
      </c>
    </row>
    <row r="334" spans="1:4" x14ac:dyDescent="0.25">
      <c r="A334" t="s">
        <v>3797</v>
      </c>
      <c r="B334" t="s">
        <v>2753</v>
      </c>
      <c r="C334" t="s">
        <v>3456</v>
      </c>
      <c r="D334" t="s">
        <v>3457</v>
      </c>
    </row>
    <row r="335" spans="1:4" x14ac:dyDescent="0.25">
      <c r="A335" t="s">
        <v>3798</v>
      </c>
      <c r="B335" t="s">
        <v>2755</v>
      </c>
      <c r="C335" t="s">
        <v>3456</v>
      </c>
      <c r="D335" t="s">
        <v>3457</v>
      </c>
    </row>
    <row r="336" spans="1:4" x14ac:dyDescent="0.25">
      <c r="A336" t="s">
        <v>3799</v>
      </c>
      <c r="B336" t="s">
        <v>2757</v>
      </c>
      <c r="C336" t="s">
        <v>3456</v>
      </c>
      <c r="D336" t="s">
        <v>3457</v>
      </c>
    </row>
    <row r="337" spans="1:4" x14ac:dyDescent="0.25">
      <c r="A337" t="s">
        <v>3800</v>
      </c>
      <c r="B337" t="s">
        <v>2759</v>
      </c>
      <c r="C337" t="s">
        <v>3477</v>
      </c>
      <c r="D337" t="s">
        <v>3478</v>
      </c>
    </row>
    <row r="338" spans="1:4" x14ac:dyDescent="0.25">
      <c r="A338" t="s">
        <v>3801</v>
      </c>
      <c r="B338" t="s">
        <v>2761</v>
      </c>
      <c r="C338" t="s">
        <v>3456</v>
      </c>
      <c r="D338" t="s">
        <v>3457</v>
      </c>
    </row>
    <row r="339" spans="1:4" x14ac:dyDescent="0.25">
      <c r="A339" t="s">
        <v>3802</v>
      </c>
      <c r="B339" t="s">
        <v>2763</v>
      </c>
      <c r="C339" t="s">
        <v>3459</v>
      </c>
      <c r="D339" t="s">
        <v>3460</v>
      </c>
    </row>
    <row r="340" spans="1:4" x14ac:dyDescent="0.25">
      <c r="A340" t="s">
        <v>3803</v>
      </c>
      <c r="B340" t="s">
        <v>2765</v>
      </c>
      <c r="C340" t="s">
        <v>3477</v>
      </c>
      <c r="D340" t="s">
        <v>3478</v>
      </c>
    </row>
    <row r="341" spans="1:4" x14ac:dyDescent="0.25">
      <c r="A341" t="s">
        <v>3804</v>
      </c>
      <c r="B341" t="s">
        <v>2767</v>
      </c>
      <c r="C341" t="s">
        <v>3471</v>
      </c>
      <c r="D341" t="s">
        <v>3472</v>
      </c>
    </row>
    <row r="342" spans="1:4" x14ac:dyDescent="0.25">
      <c r="A342" t="s">
        <v>3805</v>
      </c>
      <c r="B342" t="s">
        <v>2768</v>
      </c>
      <c r="C342" t="s">
        <v>3471</v>
      </c>
      <c r="D342" t="s">
        <v>3472</v>
      </c>
    </row>
    <row r="343" spans="1:4" x14ac:dyDescent="0.25">
      <c r="A343" t="s">
        <v>3806</v>
      </c>
      <c r="B343" t="s">
        <v>2770</v>
      </c>
      <c r="C343" t="s">
        <v>3471</v>
      </c>
      <c r="D343" t="s">
        <v>3472</v>
      </c>
    </row>
    <row r="344" spans="1:4" x14ac:dyDescent="0.25">
      <c r="A344" t="s">
        <v>3807</v>
      </c>
      <c r="B344" t="s">
        <v>2772</v>
      </c>
      <c r="C344" t="s">
        <v>3456</v>
      </c>
      <c r="D344" t="s">
        <v>3457</v>
      </c>
    </row>
    <row r="345" spans="1:4" x14ac:dyDescent="0.25">
      <c r="A345" t="s">
        <v>3808</v>
      </c>
      <c r="B345" t="s">
        <v>2774</v>
      </c>
      <c r="C345" t="s">
        <v>3463</v>
      </c>
      <c r="D345" t="s">
        <v>3464</v>
      </c>
    </row>
    <row r="346" spans="1:4" x14ac:dyDescent="0.25">
      <c r="A346" t="s">
        <v>3809</v>
      </c>
      <c r="B346" t="s">
        <v>2776</v>
      </c>
      <c r="C346" t="s">
        <v>3456</v>
      </c>
      <c r="D346" t="s">
        <v>3457</v>
      </c>
    </row>
    <row r="347" spans="1:4" x14ac:dyDescent="0.25">
      <c r="A347" t="s">
        <v>3810</v>
      </c>
      <c r="B347" t="s">
        <v>2778</v>
      </c>
      <c r="C347" t="s">
        <v>3456</v>
      </c>
      <c r="D347" t="s">
        <v>3457</v>
      </c>
    </row>
    <row r="348" spans="1:4" x14ac:dyDescent="0.25">
      <c r="A348" t="s">
        <v>3811</v>
      </c>
      <c r="B348" t="s">
        <v>2779</v>
      </c>
      <c r="C348" t="s">
        <v>3463</v>
      </c>
      <c r="D348" t="s">
        <v>3464</v>
      </c>
    </row>
    <row r="349" spans="1:4" x14ac:dyDescent="0.25">
      <c r="A349" t="s">
        <v>3812</v>
      </c>
      <c r="B349" t="s">
        <v>2781</v>
      </c>
      <c r="C349" t="s">
        <v>3459</v>
      </c>
      <c r="D349" t="s">
        <v>3460</v>
      </c>
    </row>
    <row r="350" spans="1:4" x14ac:dyDescent="0.25">
      <c r="A350" t="s">
        <v>3813</v>
      </c>
      <c r="B350" t="s">
        <v>2783</v>
      </c>
      <c r="C350" t="s">
        <v>3456</v>
      </c>
      <c r="D350" t="s">
        <v>3457</v>
      </c>
    </row>
    <row r="351" spans="1:4" x14ac:dyDescent="0.25">
      <c r="A351" t="s">
        <v>3814</v>
      </c>
      <c r="B351" t="s">
        <v>2784</v>
      </c>
      <c r="C351" t="s">
        <v>3471</v>
      </c>
      <c r="D351" t="s">
        <v>3472</v>
      </c>
    </row>
    <row r="352" spans="1:4" x14ac:dyDescent="0.25">
      <c r="A352" t="s">
        <v>3815</v>
      </c>
      <c r="B352" t="s">
        <v>2785</v>
      </c>
      <c r="C352" t="s">
        <v>3463</v>
      </c>
      <c r="D352" t="s">
        <v>3464</v>
      </c>
    </row>
    <row r="353" spans="1:4" x14ac:dyDescent="0.25">
      <c r="A353" t="s">
        <v>3816</v>
      </c>
      <c r="B353" t="s">
        <v>2787</v>
      </c>
      <c r="C353" t="s">
        <v>3463</v>
      </c>
      <c r="D353" t="s">
        <v>3464</v>
      </c>
    </row>
    <row r="354" spans="1:4" x14ac:dyDescent="0.25">
      <c r="A354" t="s">
        <v>3817</v>
      </c>
      <c r="B354" t="s">
        <v>2789</v>
      </c>
      <c r="C354" t="s">
        <v>3471</v>
      </c>
      <c r="D354" t="s">
        <v>3472</v>
      </c>
    </row>
    <row r="355" spans="1:4" x14ac:dyDescent="0.25">
      <c r="A355" t="s">
        <v>3818</v>
      </c>
      <c r="B355" t="s">
        <v>2791</v>
      </c>
      <c r="C355" t="s">
        <v>3471</v>
      </c>
      <c r="D355" t="s">
        <v>3472</v>
      </c>
    </row>
    <row r="356" spans="1:4" x14ac:dyDescent="0.25">
      <c r="A356" t="s">
        <v>3819</v>
      </c>
      <c r="B356" t="s">
        <v>2792</v>
      </c>
      <c r="C356" t="s">
        <v>3459</v>
      </c>
      <c r="D356" t="s">
        <v>3460</v>
      </c>
    </row>
    <row r="357" spans="1:4" x14ac:dyDescent="0.25">
      <c r="A357" t="s">
        <v>3820</v>
      </c>
      <c r="B357" t="s">
        <v>2794</v>
      </c>
      <c r="C357" t="s">
        <v>3471</v>
      </c>
      <c r="D357" t="s">
        <v>3472</v>
      </c>
    </row>
    <row r="358" spans="1:4" x14ac:dyDescent="0.25">
      <c r="A358" t="s">
        <v>3821</v>
      </c>
      <c r="B358" t="s">
        <v>2796</v>
      </c>
      <c r="C358" t="s">
        <v>3456</v>
      </c>
      <c r="D358" t="s">
        <v>3457</v>
      </c>
    </row>
    <row r="359" spans="1:4" x14ac:dyDescent="0.25">
      <c r="A359" t="s">
        <v>3822</v>
      </c>
      <c r="B359" t="s">
        <v>2798</v>
      </c>
      <c r="C359" t="s">
        <v>3463</v>
      </c>
      <c r="D359" t="s">
        <v>3464</v>
      </c>
    </row>
    <row r="360" spans="1:4" x14ac:dyDescent="0.25">
      <c r="A360" t="s">
        <v>3823</v>
      </c>
      <c r="B360" t="s">
        <v>2800</v>
      </c>
      <c r="C360" t="s">
        <v>3459</v>
      </c>
      <c r="D360" t="s">
        <v>3460</v>
      </c>
    </row>
    <row r="361" spans="1:4" x14ac:dyDescent="0.25">
      <c r="A361" t="s">
        <v>3824</v>
      </c>
      <c r="B361" t="s">
        <v>2802</v>
      </c>
      <c r="C361" t="s">
        <v>3463</v>
      </c>
      <c r="D361" t="s">
        <v>3464</v>
      </c>
    </row>
    <row r="362" spans="1:4" x14ac:dyDescent="0.25">
      <c r="A362" t="s">
        <v>3825</v>
      </c>
      <c r="B362" t="s">
        <v>2803</v>
      </c>
      <c r="C362" t="s">
        <v>3477</v>
      </c>
      <c r="D362" t="s">
        <v>3478</v>
      </c>
    </row>
    <row r="363" spans="1:4" x14ac:dyDescent="0.25">
      <c r="A363" t="s">
        <v>3826</v>
      </c>
      <c r="B363" t="s">
        <v>2805</v>
      </c>
      <c r="C363" t="s">
        <v>3463</v>
      </c>
      <c r="D363" t="s">
        <v>3464</v>
      </c>
    </row>
    <row r="364" spans="1:4" x14ac:dyDescent="0.25">
      <c r="A364" t="s">
        <v>3827</v>
      </c>
      <c r="B364" t="s">
        <v>2807</v>
      </c>
      <c r="C364" t="s">
        <v>3477</v>
      </c>
      <c r="D364" t="s">
        <v>3478</v>
      </c>
    </row>
    <row r="365" spans="1:4" x14ac:dyDescent="0.25">
      <c r="A365" t="s">
        <v>3828</v>
      </c>
      <c r="B365" t="s">
        <v>2809</v>
      </c>
      <c r="C365" t="s">
        <v>3456</v>
      </c>
      <c r="D365" t="s">
        <v>3457</v>
      </c>
    </row>
    <row r="366" spans="1:4" x14ac:dyDescent="0.25">
      <c r="A366" t="s">
        <v>3829</v>
      </c>
      <c r="B366" t="s">
        <v>2810</v>
      </c>
      <c r="C366" t="s">
        <v>3459</v>
      </c>
      <c r="D366" t="s">
        <v>3460</v>
      </c>
    </row>
    <row r="367" spans="1:4" x14ac:dyDescent="0.25">
      <c r="A367" t="s">
        <v>3830</v>
      </c>
      <c r="B367" t="s">
        <v>2812</v>
      </c>
      <c r="C367" t="s">
        <v>3471</v>
      </c>
      <c r="D367" t="s">
        <v>3472</v>
      </c>
    </row>
    <row r="368" spans="1:4" x14ac:dyDescent="0.25">
      <c r="A368" t="s">
        <v>3831</v>
      </c>
      <c r="B368" t="s">
        <v>2814</v>
      </c>
      <c r="C368" t="s">
        <v>3463</v>
      </c>
      <c r="D368" t="s">
        <v>3464</v>
      </c>
    </row>
    <row r="369" spans="1:4" x14ac:dyDescent="0.25">
      <c r="A369" t="s">
        <v>3832</v>
      </c>
      <c r="B369" t="s">
        <v>2816</v>
      </c>
      <c r="C369" t="s">
        <v>3463</v>
      </c>
      <c r="D369" t="s">
        <v>3464</v>
      </c>
    </row>
    <row r="370" spans="1:4" x14ac:dyDescent="0.25">
      <c r="A370" t="s">
        <v>3833</v>
      </c>
      <c r="B370" t="s">
        <v>2818</v>
      </c>
      <c r="C370" t="s">
        <v>3456</v>
      </c>
      <c r="D370" t="s">
        <v>3457</v>
      </c>
    </row>
    <row r="371" spans="1:4" x14ac:dyDescent="0.25">
      <c r="A371" t="s">
        <v>3834</v>
      </c>
      <c r="B371" t="s">
        <v>2820</v>
      </c>
      <c r="C371" t="s">
        <v>3463</v>
      </c>
      <c r="D371" t="s">
        <v>3464</v>
      </c>
    </row>
    <row r="372" spans="1:4" x14ac:dyDescent="0.25">
      <c r="A372" t="s">
        <v>3835</v>
      </c>
      <c r="B372" t="s">
        <v>2822</v>
      </c>
      <c r="C372" t="s">
        <v>3477</v>
      </c>
      <c r="D372" t="s">
        <v>3478</v>
      </c>
    </row>
    <row r="373" spans="1:4" x14ac:dyDescent="0.25">
      <c r="A373" t="s">
        <v>3836</v>
      </c>
      <c r="B373" t="s">
        <v>2824</v>
      </c>
      <c r="C373" t="s">
        <v>3456</v>
      </c>
      <c r="D373" t="s">
        <v>3457</v>
      </c>
    </row>
    <row r="374" spans="1:4" x14ac:dyDescent="0.25">
      <c r="A374" t="s">
        <v>3837</v>
      </c>
      <c r="B374" t="s">
        <v>2826</v>
      </c>
      <c r="C374" t="s">
        <v>3459</v>
      </c>
      <c r="D374" t="s">
        <v>3460</v>
      </c>
    </row>
    <row r="375" spans="1:4" x14ac:dyDescent="0.25">
      <c r="A375" t="s">
        <v>3838</v>
      </c>
      <c r="B375" t="s">
        <v>2828</v>
      </c>
      <c r="C375" t="s">
        <v>3463</v>
      </c>
      <c r="D375" t="s">
        <v>3464</v>
      </c>
    </row>
    <row r="376" spans="1:4" x14ac:dyDescent="0.25">
      <c r="A376" t="s">
        <v>3839</v>
      </c>
      <c r="B376" t="s">
        <v>2830</v>
      </c>
      <c r="C376" t="s">
        <v>3456</v>
      </c>
      <c r="D376" t="s">
        <v>3457</v>
      </c>
    </row>
    <row r="377" spans="1:4" x14ac:dyDescent="0.25">
      <c r="A377" t="s">
        <v>3840</v>
      </c>
      <c r="B377" t="s">
        <v>2831</v>
      </c>
      <c r="C377" t="s">
        <v>3459</v>
      </c>
      <c r="D377" t="s">
        <v>3460</v>
      </c>
    </row>
    <row r="378" spans="1:4" x14ac:dyDescent="0.25">
      <c r="A378" t="s">
        <v>3841</v>
      </c>
      <c r="B378" t="s">
        <v>2832</v>
      </c>
      <c r="C378" t="s">
        <v>3463</v>
      </c>
      <c r="D378" t="s">
        <v>3464</v>
      </c>
    </row>
    <row r="379" spans="1:4" x14ac:dyDescent="0.25">
      <c r="A379" t="s">
        <v>3842</v>
      </c>
      <c r="B379" t="s">
        <v>2834</v>
      </c>
      <c r="C379" t="s">
        <v>3477</v>
      </c>
      <c r="D379" t="s">
        <v>3478</v>
      </c>
    </row>
    <row r="380" spans="1:4" x14ac:dyDescent="0.25">
      <c r="A380" t="s">
        <v>3843</v>
      </c>
      <c r="B380" t="s">
        <v>2836</v>
      </c>
      <c r="C380" t="s">
        <v>3456</v>
      </c>
      <c r="D380" t="s">
        <v>3457</v>
      </c>
    </row>
    <row r="381" spans="1:4" x14ac:dyDescent="0.25">
      <c r="A381" t="s">
        <v>3844</v>
      </c>
      <c r="B381" t="s">
        <v>2838</v>
      </c>
      <c r="C381" t="s">
        <v>3456</v>
      </c>
      <c r="D381" t="s">
        <v>3457</v>
      </c>
    </row>
    <row r="382" spans="1:4" x14ac:dyDescent="0.25">
      <c r="A382" t="s">
        <v>3845</v>
      </c>
      <c r="B382" t="s">
        <v>2839</v>
      </c>
      <c r="C382" t="s">
        <v>3477</v>
      </c>
      <c r="D382" t="s">
        <v>3478</v>
      </c>
    </row>
    <row r="383" spans="1:4" x14ac:dyDescent="0.25">
      <c r="A383" t="s">
        <v>3846</v>
      </c>
      <c r="B383" t="s">
        <v>2841</v>
      </c>
      <c r="C383" t="s">
        <v>3456</v>
      </c>
      <c r="D383" t="s">
        <v>3457</v>
      </c>
    </row>
    <row r="384" spans="1:4" x14ac:dyDescent="0.25">
      <c r="A384" t="s">
        <v>3847</v>
      </c>
      <c r="B384" t="s">
        <v>2843</v>
      </c>
      <c r="C384" t="s">
        <v>3456</v>
      </c>
      <c r="D384" t="s">
        <v>3457</v>
      </c>
    </row>
    <row r="385" spans="1:4" x14ac:dyDescent="0.25">
      <c r="A385" t="s">
        <v>3848</v>
      </c>
      <c r="B385" t="s">
        <v>2845</v>
      </c>
      <c r="C385" t="s">
        <v>3471</v>
      </c>
      <c r="D385" t="s">
        <v>3472</v>
      </c>
    </row>
    <row r="386" spans="1:4" x14ac:dyDescent="0.25">
      <c r="A386" t="s">
        <v>3849</v>
      </c>
      <c r="B386" t="s">
        <v>2847</v>
      </c>
      <c r="C386" t="s">
        <v>3463</v>
      </c>
      <c r="D386" t="s">
        <v>3464</v>
      </c>
    </row>
    <row r="387" spans="1:4" x14ac:dyDescent="0.25">
      <c r="A387" t="s">
        <v>3850</v>
      </c>
      <c r="B387" t="s">
        <v>2849</v>
      </c>
      <c r="C387" t="s">
        <v>3477</v>
      </c>
      <c r="D387" t="s">
        <v>3478</v>
      </c>
    </row>
    <row r="388" spans="1:4" x14ac:dyDescent="0.25">
      <c r="A388" t="s">
        <v>3851</v>
      </c>
      <c r="B388" t="s">
        <v>2851</v>
      </c>
      <c r="C388" t="s">
        <v>3471</v>
      </c>
      <c r="D388" t="s">
        <v>3472</v>
      </c>
    </row>
    <row r="389" spans="1:4" x14ac:dyDescent="0.25">
      <c r="A389" t="s">
        <v>3852</v>
      </c>
      <c r="B389" t="s">
        <v>2853</v>
      </c>
      <c r="C389" t="s">
        <v>3463</v>
      </c>
      <c r="D389" t="s">
        <v>3464</v>
      </c>
    </row>
    <row r="390" spans="1:4" x14ac:dyDescent="0.25">
      <c r="A390" t="s">
        <v>3853</v>
      </c>
      <c r="B390" t="s">
        <v>2855</v>
      </c>
      <c r="C390" t="s">
        <v>3459</v>
      </c>
      <c r="D390" t="s">
        <v>3460</v>
      </c>
    </row>
    <row r="391" spans="1:4" x14ac:dyDescent="0.25">
      <c r="A391" t="s">
        <v>3854</v>
      </c>
      <c r="B391" t="s">
        <v>2857</v>
      </c>
      <c r="C391" t="s">
        <v>3477</v>
      </c>
      <c r="D391" t="s">
        <v>3478</v>
      </c>
    </row>
    <row r="392" spans="1:4" x14ac:dyDescent="0.25">
      <c r="A392" t="s">
        <v>3855</v>
      </c>
      <c r="B392" t="s">
        <v>2858</v>
      </c>
      <c r="C392" t="s">
        <v>3477</v>
      </c>
      <c r="D392" t="s">
        <v>3478</v>
      </c>
    </row>
    <row r="393" spans="1:4" x14ac:dyDescent="0.25">
      <c r="A393" t="s">
        <v>3856</v>
      </c>
      <c r="B393" t="s">
        <v>2860</v>
      </c>
      <c r="C393" t="s">
        <v>3456</v>
      </c>
      <c r="D393" t="s">
        <v>3457</v>
      </c>
    </row>
    <row r="394" spans="1:4" x14ac:dyDescent="0.25">
      <c r="A394" t="s">
        <v>3857</v>
      </c>
      <c r="B394" t="s">
        <v>2862</v>
      </c>
      <c r="C394" t="s">
        <v>3477</v>
      </c>
      <c r="D394" t="s">
        <v>3478</v>
      </c>
    </row>
    <row r="395" spans="1:4" x14ac:dyDescent="0.25">
      <c r="A395" t="s">
        <v>3858</v>
      </c>
      <c r="B395" t="s">
        <v>2864</v>
      </c>
      <c r="C395" t="s">
        <v>3459</v>
      </c>
      <c r="D395" t="s">
        <v>3460</v>
      </c>
    </row>
    <row r="396" spans="1:4" x14ac:dyDescent="0.25">
      <c r="A396" t="s">
        <v>3859</v>
      </c>
      <c r="B396" t="s">
        <v>2866</v>
      </c>
      <c r="C396" t="s">
        <v>3463</v>
      </c>
      <c r="D396" t="s">
        <v>3464</v>
      </c>
    </row>
    <row r="397" spans="1:4" x14ac:dyDescent="0.25">
      <c r="A397" t="s">
        <v>3860</v>
      </c>
      <c r="B397" t="s">
        <v>2867</v>
      </c>
      <c r="C397" t="s">
        <v>3471</v>
      </c>
      <c r="D397" t="s">
        <v>3472</v>
      </c>
    </row>
    <row r="398" spans="1:4" x14ac:dyDescent="0.25">
      <c r="A398" t="s">
        <v>3861</v>
      </c>
      <c r="B398" t="s">
        <v>2869</v>
      </c>
      <c r="C398" t="s">
        <v>3477</v>
      </c>
      <c r="D398" t="s">
        <v>3478</v>
      </c>
    </row>
    <row r="399" spans="1:4" x14ac:dyDescent="0.25">
      <c r="A399" t="s">
        <v>3862</v>
      </c>
      <c r="B399" t="s">
        <v>2871</v>
      </c>
      <c r="C399" t="s">
        <v>3471</v>
      </c>
      <c r="D399" t="s">
        <v>3472</v>
      </c>
    </row>
    <row r="400" spans="1:4" x14ac:dyDescent="0.25">
      <c r="A400" t="s">
        <v>3863</v>
      </c>
      <c r="B400" t="s">
        <v>2873</v>
      </c>
      <c r="C400" t="s">
        <v>3477</v>
      </c>
      <c r="D400" t="s">
        <v>3478</v>
      </c>
    </row>
    <row r="401" spans="1:4" x14ac:dyDescent="0.25">
      <c r="A401" t="s">
        <v>3864</v>
      </c>
      <c r="B401" t="s">
        <v>2874</v>
      </c>
      <c r="C401" t="s">
        <v>3471</v>
      </c>
      <c r="D401" t="s">
        <v>3472</v>
      </c>
    </row>
    <row r="402" spans="1:4" x14ac:dyDescent="0.25">
      <c r="A402" t="s">
        <v>3865</v>
      </c>
      <c r="B402" t="s">
        <v>2876</v>
      </c>
      <c r="C402" t="s">
        <v>3477</v>
      </c>
      <c r="D402" t="s">
        <v>3478</v>
      </c>
    </row>
    <row r="403" spans="1:4" x14ac:dyDescent="0.25">
      <c r="A403" t="s">
        <v>3866</v>
      </c>
      <c r="B403" t="s">
        <v>2878</v>
      </c>
      <c r="C403" t="s">
        <v>3477</v>
      </c>
      <c r="D403" t="s">
        <v>3478</v>
      </c>
    </row>
    <row r="404" spans="1:4" x14ac:dyDescent="0.25">
      <c r="A404" t="s">
        <v>3867</v>
      </c>
      <c r="B404" t="s">
        <v>2880</v>
      </c>
      <c r="C404" t="s">
        <v>3477</v>
      </c>
      <c r="D404" t="s">
        <v>3478</v>
      </c>
    </row>
    <row r="405" spans="1:4" x14ac:dyDescent="0.25">
      <c r="A405" t="s">
        <v>3868</v>
      </c>
      <c r="B405" t="s">
        <v>2881</v>
      </c>
      <c r="C405" t="s">
        <v>3463</v>
      </c>
      <c r="D405" t="s">
        <v>3464</v>
      </c>
    </row>
    <row r="406" spans="1:4" x14ac:dyDescent="0.25">
      <c r="A406" t="s">
        <v>3869</v>
      </c>
      <c r="B406" t="s">
        <v>2882</v>
      </c>
      <c r="C406" t="s">
        <v>3456</v>
      </c>
      <c r="D406" t="s">
        <v>3457</v>
      </c>
    </row>
    <row r="407" spans="1:4" x14ac:dyDescent="0.25">
      <c r="A407" t="s">
        <v>3870</v>
      </c>
      <c r="B407" t="s">
        <v>2884</v>
      </c>
      <c r="C407" t="s">
        <v>3471</v>
      </c>
      <c r="D407" t="s">
        <v>3472</v>
      </c>
    </row>
    <row r="408" spans="1:4" x14ac:dyDescent="0.25">
      <c r="A408" t="s">
        <v>3871</v>
      </c>
      <c r="B408" t="s">
        <v>2885</v>
      </c>
      <c r="C408" t="s">
        <v>3459</v>
      </c>
      <c r="D408" t="s">
        <v>3460</v>
      </c>
    </row>
    <row r="409" spans="1:4" x14ac:dyDescent="0.25">
      <c r="A409" t="s">
        <v>3872</v>
      </c>
      <c r="B409" t="s">
        <v>2886</v>
      </c>
      <c r="C409" t="s">
        <v>3463</v>
      </c>
      <c r="D409" t="s">
        <v>3464</v>
      </c>
    </row>
    <row r="410" spans="1:4" x14ac:dyDescent="0.25">
      <c r="A410" t="s">
        <v>3873</v>
      </c>
      <c r="B410" t="s">
        <v>2888</v>
      </c>
      <c r="C410" t="s">
        <v>3463</v>
      </c>
      <c r="D410" t="s">
        <v>3464</v>
      </c>
    </row>
    <row r="411" spans="1:4" x14ac:dyDescent="0.25">
      <c r="A411" t="s">
        <v>3874</v>
      </c>
      <c r="B411" t="s">
        <v>2889</v>
      </c>
      <c r="C411" t="s">
        <v>3456</v>
      </c>
      <c r="D411" t="s">
        <v>3457</v>
      </c>
    </row>
    <row r="412" spans="1:4" x14ac:dyDescent="0.25">
      <c r="A412" t="s">
        <v>3875</v>
      </c>
      <c r="B412" t="s">
        <v>2890</v>
      </c>
      <c r="C412" t="s">
        <v>3456</v>
      </c>
      <c r="D412" t="s">
        <v>3457</v>
      </c>
    </row>
    <row r="413" spans="1:4" x14ac:dyDescent="0.25">
      <c r="A413" t="s">
        <v>3876</v>
      </c>
      <c r="B413" t="s">
        <v>2892</v>
      </c>
      <c r="C413" t="s">
        <v>3456</v>
      </c>
      <c r="D413" t="s">
        <v>3457</v>
      </c>
    </row>
    <row r="414" spans="1:4" x14ac:dyDescent="0.25">
      <c r="A414" t="s">
        <v>3877</v>
      </c>
      <c r="B414" t="s">
        <v>2893</v>
      </c>
      <c r="C414" t="s">
        <v>3456</v>
      </c>
      <c r="D414" t="s">
        <v>3457</v>
      </c>
    </row>
    <row r="415" spans="1:4" x14ac:dyDescent="0.25">
      <c r="A415" t="s">
        <v>3878</v>
      </c>
      <c r="B415" t="s">
        <v>2895</v>
      </c>
      <c r="C415" t="s">
        <v>3459</v>
      </c>
      <c r="D415" t="s">
        <v>3460</v>
      </c>
    </row>
    <row r="416" spans="1:4" x14ac:dyDescent="0.25">
      <c r="A416" t="s">
        <v>3879</v>
      </c>
      <c r="B416" t="s">
        <v>2897</v>
      </c>
      <c r="C416" t="s">
        <v>3456</v>
      </c>
      <c r="D416" t="s">
        <v>3457</v>
      </c>
    </row>
    <row r="417" spans="1:4" x14ac:dyDescent="0.25">
      <c r="A417" t="s">
        <v>3880</v>
      </c>
      <c r="B417" t="s">
        <v>2899</v>
      </c>
      <c r="C417" t="s">
        <v>3471</v>
      </c>
      <c r="D417" t="s">
        <v>3472</v>
      </c>
    </row>
    <row r="418" spans="1:4" x14ac:dyDescent="0.25">
      <c r="A418" t="s">
        <v>3881</v>
      </c>
      <c r="B418" t="s">
        <v>2901</v>
      </c>
      <c r="C418" t="s">
        <v>3463</v>
      </c>
      <c r="D418" t="s">
        <v>3464</v>
      </c>
    </row>
    <row r="419" spans="1:4" x14ac:dyDescent="0.25">
      <c r="A419" t="s">
        <v>3882</v>
      </c>
      <c r="B419" t="s">
        <v>2903</v>
      </c>
      <c r="C419" t="s">
        <v>3477</v>
      </c>
      <c r="D419" t="s">
        <v>3478</v>
      </c>
    </row>
    <row r="420" spans="1:4" x14ac:dyDescent="0.25">
      <c r="A420" t="s">
        <v>3883</v>
      </c>
      <c r="B420" t="s">
        <v>2905</v>
      </c>
      <c r="C420" t="s">
        <v>3459</v>
      </c>
      <c r="D420" t="s">
        <v>3460</v>
      </c>
    </row>
    <row r="421" spans="1:4" x14ac:dyDescent="0.25">
      <c r="A421" t="s">
        <v>3884</v>
      </c>
      <c r="B421" t="s">
        <v>2907</v>
      </c>
      <c r="C421" t="s">
        <v>3471</v>
      </c>
      <c r="D421" t="s">
        <v>3472</v>
      </c>
    </row>
    <row r="422" spans="1:4" x14ac:dyDescent="0.25">
      <c r="A422" t="s">
        <v>3885</v>
      </c>
      <c r="B422" t="s">
        <v>2909</v>
      </c>
      <c r="C422" t="s">
        <v>3463</v>
      </c>
      <c r="D422" t="s">
        <v>3464</v>
      </c>
    </row>
    <row r="423" spans="1:4" x14ac:dyDescent="0.25">
      <c r="A423" t="s">
        <v>3886</v>
      </c>
      <c r="B423" t="s">
        <v>2911</v>
      </c>
      <c r="C423" t="s">
        <v>3456</v>
      </c>
      <c r="D423" t="s">
        <v>3457</v>
      </c>
    </row>
    <row r="424" spans="1:4" x14ac:dyDescent="0.25">
      <c r="A424" t="s">
        <v>3887</v>
      </c>
      <c r="B424" t="s">
        <v>2912</v>
      </c>
      <c r="C424" t="s">
        <v>3463</v>
      </c>
      <c r="D424" t="s">
        <v>3464</v>
      </c>
    </row>
    <row r="425" spans="1:4" x14ac:dyDescent="0.25">
      <c r="A425" t="s">
        <v>3888</v>
      </c>
      <c r="B425" t="s">
        <v>2914</v>
      </c>
      <c r="C425" t="s">
        <v>3477</v>
      </c>
      <c r="D425" t="s">
        <v>3478</v>
      </c>
    </row>
    <row r="426" spans="1:4" x14ac:dyDescent="0.25">
      <c r="A426" t="s">
        <v>3889</v>
      </c>
      <c r="B426" t="s">
        <v>2916</v>
      </c>
      <c r="C426" t="s">
        <v>3459</v>
      </c>
      <c r="D426" t="s">
        <v>3460</v>
      </c>
    </row>
    <row r="427" spans="1:4" x14ac:dyDescent="0.25">
      <c r="A427" t="s">
        <v>3890</v>
      </c>
      <c r="B427" t="s">
        <v>2917</v>
      </c>
      <c r="C427" t="s">
        <v>3459</v>
      </c>
      <c r="D427" t="s">
        <v>3460</v>
      </c>
    </row>
    <row r="428" spans="1:4" x14ac:dyDescent="0.25">
      <c r="A428" t="s">
        <v>3891</v>
      </c>
      <c r="B428" t="s">
        <v>2919</v>
      </c>
      <c r="C428" t="s">
        <v>3477</v>
      </c>
      <c r="D428" t="s">
        <v>3478</v>
      </c>
    </row>
    <row r="429" spans="1:4" x14ac:dyDescent="0.25">
      <c r="A429" t="s">
        <v>3892</v>
      </c>
      <c r="B429" t="s">
        <v>2920</v>
      </c>
      <c r="C429" t="s">
        <v>3456</v>
      </c>
      <c r="D429" t="s">
        <v>3457</v>
      </c>
    </row>
    <row r="430" spans="1:4" x14ac:dyDescent="0.25">
      <c r="A430" t="s">
        <v>3893</v>
      </c>
      <c r="B430" t="s">
        <v>2922</v>
      </c>
      <c r="C430" t="s">
        <v>3463</v>
      </c>
      <c r="D430" t="s">
        <v>3464</v>
      </c>
    </row>
    <row r="431" spans="1:4" x14ac:dyDescent="0.25">
      <c r="A431" t="s">
        <v>3894</v>
      </c>
      <c r="B431" t="s">
        <v>2924</v>
      </c>
      <c r="C431" t="s">
        <v>3471</v>
      </c>
      <c r="D431" t="s">
        <v>3472</v>
      </c>
    </row>
    <row r="432" spans="1:4" x14ac:dyDescent="0.25">
      <c r="A432" t="s">
        <v>3895</v>
      </c>
      <c r="B432" t="s">
        <v>2925</v>
      </c>
      <c r="C432" t="s">
        <v>3463</v>
      </c>
      <c r="D432" t="s">
        <v>3464</v>
      </c>
    </row>
    <row r="433" spans="1:4" x14ac:dyDescent="0.25">
      <c r="A433" t="s">
        <v>3896</v>
      </c>
      <c r="B433" t="s">
        <v>2927</v>
      </c>
      <c r="C433" t="s">
        <v>3463</v>
      </c>
      <c r="D433" t="s">
        <v>3464</v>
      </c>
    </row>
    <row r="434" spans="1:4" x14ac:dyDescent="0.25">
      <c r="A434" t="s">
        <v>3897</v>
      </c>
      <c r="B434" t="s">
        <v>2929</v>
      </c>
      <c r="C434" t="s">
        <v>3456</v>
      </c>
      <c r="D434" t="s">
        <v>3457</v>
      </c>
    </row>
    <row r="435" spans="1:4" x14ac:dyDescent="0.25">
      <c r="A435" t="s">
        <v>3898</v>
      </c>
      <c r="B435" t="s">
        <v>2931</v>
      </c>
      <c r="C435" t="s">
        <v>3459</v>
      </c>
      <c r="D435" t="s">
        <v>3460</v>
      </c>
    </row>
    <row r="436" spans="1:4" x14ac:dyDescent="0.25">
      <c r="A436" t="s">
        <v>3899</v>
      </c>
      <c r="B436" t="s">
        <v>2933</v>
      </c>
      <c r="C436" t="s">
        <v>3456</v>
      </c>
      <c r="D436" t="s">
        <v>3457</v>
      </c>
    </row>
    <row r="437" spans="1:4" x14ac:dyDescent="0.25">
      <c r="A437" t="s">
        <v>3900</v>
      </c>
      <c r="B437" t="s">
        <v>2934</v>
      </c>
      <c r="C437" t="s">
        <v>3471</v>
      </c>
      <c r="D437" t="s">
        <v>3472</v>
      </c>
    </row>
    <row r="438" spans="1:4" x14ac:dyDescent="0.25">
      <c r="A438" t="s">
        <v>3901</v>
      </c>
      <c r="B438" t="s">
        <v>2935</v>
      </c>
      <c r="C438" t="s">
        <v>3456</v>
      </c>
      <c r="D438" t="s">
        <v>3457</v>
      </c>
    </row>
    <row r="439" spans="1:4" x14ac:dyDescent="0.25">
      <c r="A439" t="s">
        <v>3902</v>
      </c>
      <c r="B439" t="s">
        <v>2936</v>
      </c>
      <c r="C439" t="s">
        <v>3471</v>
      </c>
      <c r="D439" t="s">
        <v>3472</v>
      </c>
    </row>
    <row r="440" spans="1:4" x14ac:dyDescent="0.25">
      <c r="A440" t="s">
        <v>3903</v>
      </c>
      <c r="B440" t="s">
        <v>2937</v>
      </c>
      <c r="C440" t="s">
        <v>3471</v>
      </c>
      <c r="D440" t="s">
        <v>3472</v>
      </c>
    </row>
    <row r="441" spans="1:4" x14ac:dyDescent="0.25">
      <c r="A441" t="s">
        <v>3904</v>
      </c>
      <c r="B441" t="s">
        <v>2938</v>
      </c>
      <c r="C441" t="s">
        <v>3456</v>
      </c>
      <c r="D441" t="s">
        <v>3457</v>
      </c>
    </row>
    <row r="442" spans="1:4" x14ac:dyDescent="0.25">
      <c r="A442" t="s">
        <v>3905</v>
      </c>
      <c r="B442" t="s">
        <v>2940</v>
      </c>
      <c r="C442" t="s">
        <v>3471</v>
      </c>
      <c r="D442" t="s">
        <v>3472</v>
      </c>
    </row>
    <row r="443" spans="1:4" x14ac:dyDescent="0.25">
      <c r="A443" t="s">
        <v>3906</v>
      </c>
      <c r="B443" t="s">
        <v>2942</v>
      </c>
      <c r="C443" t="s">
        <v>3459</v>
      </c>
      <c r="D443" t="s">
        <v>3460</v>
      </c>
    </row>
    <row r="444" spans="1:4" x14ac:dyDescent="0.25">
      <c r="A444" t="s">
        <v>3907</v>
      </c>
      <c r="B444" t="s">
        <v>2944</v>
      </c>
      <c r="C444" t="s">
        <v>3459</v>
      </c>
      <c r="D444" t="s">
        <v>3460</v>
      </c>
    </row>
    <row r="445" spans="1:4" x14ac:dyDescent="0.25">
      <c r="A445" t="s">
        <v>3908</v>
      </c>
      <c r="B445" t="s">
        <v>2946</v>
      </c>
      <c r="C445" t="s">
        <v>3463</v>
      </c>
      <c r="D445" t="s">
        <v>3464</v>
      </c>
    </row>
    <row r="446" spans="1:4" x14ac:dyDescent="0.25">
      <c r="A446" t="s">
        <v>3909</v>
      </c>
      <c r="B446" t="s">
        <v>2948</v>
      </c>
      <c r="C446" t="s">
        <v>3459</v>
      </c>
      <c r="D446" t="s">
        <v>3460</v>
      </c>
    </row>
    <row r="447" spans="1:4" x14ac:dyDescent="0.25">
      <c r="A447" t="s">
        <v>3910</v>
      </c>
      <c r="B447" t="s">
        <v>2949</v>
      </c>
      <c r="C447" t="s">
        <v>3463</v>
      </c>
      <c r="D447" t="s">
        <v>3464</v>
      </c>
    </row>
    <row r="448" spans="1:4" x14ac:dyDescent="0.25">
      <c r="A448" t="s">
        <v>3911</v>
      </c>
      <c r="B448" t="s">
        <v>2951</v>
      </c>
      <c r="C448" t="s">
        <v>3477</v>
      </c>
      <c r="D448" t="s">
        <v>3478</v>
      </c>
    </row>
    <row r="449" spans="1:4" x14ac:dyDescent="0.25">
      <c r="A449" t="s">
        <v>3912</v>
      </c>
      <c r="B449" t="s">
        <v>2953</v>
      </c>
      <c r="C449" t="s">
        <v>3463</v>
      </c>
      <c r="D449" t="s">
        <v>3464</v>
      </c>
    </row>
    <row r="450" spans="1:4" x14ac:dyDescent="0.25">
      <c r="A450" t="s">
        <v>3913</v>
      </c>
      <c r="B450" t="s">
        <v>2954</v>
      </c>
      <c r="C450" t="s">
        <v>3477</v>
      </c>
      <c r="D450" t="s">
        <v>3478</v>
      </c>
    </row>
    <row r="451" spans="1:4" x14ac:dyDescent="0.25">
      <c r="A451" t="s">
        <v>3914</v>
      </c>
      <c r="B451" t="s">
        <v>2956</v>
      </c>
      <c r="C451" t="s">
        <v>3471</v>
      </c>
      <c r="D451" t="s">
        <v>3472</v>
      </c>
    </row>
    <row r="452" spans="1:4" x14ac:dyDescent="0.25">
      <c r="A452" t="s">
        <v>3915</v>
      </c>
      <c r="B452" t="s">
        <v>2957</v>
      </c>
      <c r="C452" t="s">
        <v>3463</v>
      </c>
      <c r="D452" t="s">
        <v>3464</v>
      </c>
    </row>
    <row r="453" spans="1:4" x14ac:dyDescent="0.25">
      <c r="A453" t="s">
        <v>3916</v>
      </c>
      <c r="B453" t="s">
        <v>2959</v>
      </c>
      <c r="C453" t="s">
        <v>3456</v>
      </c>
      <c r="D453" t="s">
        <v>3457</v>
      </c>
    </row>
    <row r="454" spans="1:4" x14ac:dyDescent="0.25">
      <c r="A454" t="s">
        <v>3917</v>
      </c>
      <c r="B454" t="s">
        <v>2961</v>
      </c>
      <c r="C454" t="s">
        <v>3459</v>
      </c>
      <c r="D454" t="s">
        <v>3460</v>
      </c>
    </row>
    <row r="455" spans="1:4" x14ac:dyDescent="0.25">
      <c r="A455" t="s">
        <v>3918</v>
      </c>
      <c r="B455" t="s">
        <v>2963</v>
      </c>
      <c r="C455" t="s">
        <v>3456</v>
      </c>
      <c r="D455" t="s">
        <v>3457</v>
      </c>
    </row>
    <row r="456" spans="1:4" x14ac:dyDescent="0.25">
      <c r="A456" t="s">
        <v>3919</v>
      </c>
      <c r="B456" t="s">
        <v>2965</v>
      </c>
      <c r="C456" t="s">
        <v>3459</v>
      </c>
      <c r="D456" t="s">
        <v>3460</v>
      </c>
    </row>
    <row r="457" spans="1:4" x14ac:dyDescent="0.25">
      <c r="A457" t="s">
        <v>3920</v>
      </c>
      <c r="B457" t="s">
        <v>2967</v>
      </c>
      <c r="C457" t="s">
        <v>3477</v>
      </c>
      <c r="D457" t="s">
        <v>3478</v>
      </c>
    </row>
    <row r="458" spans="1:4" x14ac:dyDescent="0.25">
      <c r="A458" t="s">
        <v>3921</v>
      </c>
      <c r="B458" t="s">
        <v>2969</v>
      </c>
      <c r="C458" t="s">
        <v>3456</v>
      </c>
      <c r="D458" t="s">
        <v>3457</v>
      </c>
    </row>
    <row r="459" spans="1:4" x14ac:dyDescent="0.25">
      <c r="A459" t="s">
        <v>3922</v>
      </c>
      <c r="B459" t="s">
        <v>2971</v>
      </c>
      <c r="C459" t="s">
        <v>3456</v>
      </c>
      <c r="D459" t="s">
        <v>3457</v>
      </c>
    </row>
    <row r="460" spans="1:4" x14ac:dyDescent="0.25">
      <c r="A460" t="s">
        <v>3923</v>
      </c>
      <c r="B460" t="s">
        <v>2973</v>
      </c>
      <c r="C460" t="s">
        <v>3463</v>
      </c>
      <c r="D460" t="s">
        <v>3464</v>
      </c>
    </row>
    <row r="461" spans="1:4" x14ac:dyDescent="0.25">
      <c r="A461" t="s">
        <v>3924</v>
      </c>
      <c r="B461" t="s">
        <v>2975</v>
      </c>
      <c r="C461" t="s">
        <v>3471</v>
      </c>
      <c r="D461" t="s">
        <v>3472</v>
      </c>
    </row>
    <row r="462" spans="1:4" x14ac:dyDescent="0.25">
      <c r="A462" t="s">
        <v>3925</v>
      </c>
      <c r="B462" t="s">
        <v>2977</v>
      </c>
      <c r="C462" t="s">
        <v>3459</v>
      </c>
      <c r="D462" t="s">
        <v>3460</v>
      </c>
    </row>
    <row r="463" spans="1:4" x14ac:dyDescent="0.25">
      <c r="A463" t="s">
        <v>3926</v>
      </c>
      <c r="B463" t="s">
        <v>2978</v>
      </c>
      <c r="C463" t="s">
        <v>3463</v>
      </c>
      <c r="D463" t="s">
        <v>3464</v>
      </c>
    </row>
    <row r="464" spans="1:4" x14ac:dyDescent="0.25">
      <c r="A464" t="s">
        <v>3927</v>
      </c>
      <c r="B464" t="s">
        <v>2980</v>
      </c>
      <c r="C464" t="s">
        <v>3456</v>
      </c>
      <c r="D464" t="s">
        <v>3457</v>
      </c>
    </row>
    <row r="465" spans="1:4" x14ac:dyDescent="0.25">
      <c r="A465" t="s">
        <v>3928</v>
      </c>
      <c r="B465" t="s">
        <v>2981</v>
      </c>
      <c r="C465" t="s">
        <v>3463</v>
      </c>
      <c r="D465" t="s">
        <v>3464</v>
      </c>
    </row>
    <row r="466" spans="1:4" x14ac:dyDescent="0.25">
      <c r="A466" t="s">
        <v>3929</v>
      </c>
      <c r="B466" t="s">
        <v>2983</v>
      </c>
      <c r="C466" t="s">
        <v>3477</v>
      </c>
      <c r="D466" t="s">
        <v>3478</v>
      </c>
    </row>
    <row r="467" spans="1:4" x14ac:dyDescent="0.25">
      <c r="A467" t="s">
        <v>3930</v>
      </c>
      <c r="B467" t="s">
        <v>2985</v>
      </c>
      <c r="C467" t="s">
        <v>3456</v>
      </c>
      <c r="D467" t="s">
        <v>3457</v>
      </c>
    </row>
    <row r="468" spans="1:4" x14ac:dyDescent="0.25">
      <c r="A468" t="s">
        <v>3931</v>
      </c>
      <c r="B468" t="s">
        <v>2986</v>
      </c>
      <c r="C468" t="s">
        <v>3463</v>
      </c>
      <c r="D468" t="s">
        <v>3464</v>
      </c>
    </row>
    <row r="469" spans="1:4" x14ac:dyDescent="0.25">
      <c r="A469" t="s">
        <v>3932</v>
      </c>
      <c r="B469" t="s">
        <v>2987</v>
      </c>
      <c r="C469" t="s">
        <v>3463</v>
      </c>
      <c r="D469" t="s">
        <v>3464</v>
      </c>
    </row>
    <row r="470" spans="1:4" x14ac:dyDescent="0.25">
      <c r="A470" t="s">
        <v>3933</v>
      </c>
      <c r="B470" t="s">
        <v>2989</v>
      </c>
      <c r="C470" t="s">
        <v>3477</v>
      </c>
      <c r="D470" t="s">
        <v>3478</v>
      </c>
    </row>
    <row r="471" spans="1:4" x14ac:dyDescent="0.25">
      <c r="A471" t="s">
        <v>3934</v>
      </c>
      <c r="B471" t="s">
        <v>2991</v>
      </c>
      <c r="C471" t="s">
        <v>3471</v>
      </c>
      <c r="D471" t="s">
        <v>3472</v>
      </c>
    </row>
    <row r="472" spans="1:4" x14ac:dyDescent="0.25">
      <c r="A472" t="s">
        <v>3935</v>
      </c>
      <c r="B472" t="s">
        <v>2992</v>
      </c>
      <c r="C472" t="s">
        <v>3456</v>
      </c>
      <c r="D472" t="s">
        <v>3457</v>
      </c>
    </row>
    <row r="473" spans="1:4" x14ac:dyDescent="0.25">
      <c r="A473" t="s">
        <v>3936</v>
      </c>
      <c r="B473" t="s">
        <v>2994</v>
      </c>
      <c r="C473" t="s">
        <v>3456</v>
      </c>
      <c r="D473" t="s">
        <v>3457</v>
      </c>
    </row>
    <row r="474" spans="1:4" x14ac:dyDescent="0.25">
      <c r="A474" t="s">
        <v>3937</v>
      </c>
      <c r="B474" t="s">
        <v>2996</v>
      </c>
      <c r="C474" t="s">
        <v>3456</v>
      </c>
      <c r="D474" t="s">
        <v>3457</v>
      </c>
    </row>
    <row r="475" spans="1:4" x14ac:dyDescent="0.25">
      <c r="A475" t="s">
        <v>3938</v>
      </c>
      <c r="B475" t="s">
        <v>2998</v>
      </c>
      <c r="C475" t="s">
        <v>3463</v>
      </c>
      <c r="D475" t="s">
        <v>3464</v>
      </c>
    </row>
    <row r="476" spans="1:4" x14ac:dyDescent="0.25">
      <c r="A476" t="s">
        <v>3939</v>
      </c>
      <c r="B476" t="s">
        <v>3000</v>
      </c>
      <c r="C476" t="s">
        <v>3471</v>
      </c>
      <c r="D476" t="s">
        <v>3472</v>
      </c>
    </row>
    <row r="477" spans="1:4" x14ac:dyDescent="0.25">
      <c r="A477" t="s">
        <v>3940</v>
      </c>
      <c r="B477" t="s">
        <v>3002</v>
      </c>
      <c r="C477" t="s">
        <v>3456</v>
      </c>
      <c r="D477" t="s">
        <v>3457</v>
      </c>
    </row>
    <row r="478" spans="1:4" x14ac:dyDescent="0.25">
      <c r="A478" t="s">
        <v>3941</v>
      </c>
      <c r="B478" t="s">
        <v>3004</v>
      </c>
      <c r="C478" t="s">
        <v>3477</v>
      </c>
      <c r="D478" t="s">
        <v>3478</v>
      </c>
    </row>
    <row r="479" spans="1:4" x14ac:dyDescent="0.25">
      <c r="A479" t="s">
        <v>3942</v>
      </c>
      <c r="B479" t="s">
        <v>3006</v>
      </c>
      <c r="C479" t="s">
        <v>3463</v>
      </c>
      <c r="D479" t="s">
        <v>3464</v>
      </c>
    </row>
    <row r="480" spans="1:4" x14ac:dyDescent="0.25">
      <c r="A480" t="s">
        <v>3943</v>
      </c>
      <c r="B480" t="s">
        <v>3007</v>
      </c>
      <c r="C480" t="s">
        <v>3459</v>
      </c>
      <c r="D480" t="s">
        <v>3460</v>
      </c>
    </row>
    <row r="481" spans="1:4" x14ac:dyDescent="0.25">
      <c r="A481" t="s">
        <v>3944</v>
      </c>
      <c r="B481" t="s">
        <v>3009</v>
      </c>
      <c r="C481" t="s">
        <v>3471</v>
      </c>
      <c r="D481" t="s">
        <v>3472</v>
      </c>
    </row>
    <row r="482" spans="1:4" x14ac:dyDescent="0.25">
      <c r="A482" t="s">
        <v>3945</v>
      </c>
      <c r="B482" t="s">
        <v>3011</v>
      </c>
      <c r="C482" t="s">
        <v>3459</v>
      </c>
      <c r="D482" t="s">
        <v>3460</v>
      </c>
    </row>
    <row r="483" spans="1:4" x14ac:dyDescent="0.25">
      <c r="A483" t="s">
        <v>3946</v>
      </c>
      <c r="B483" t="s">
        <v>3013</v>
      </c>
      <c r="C483" t="s">
        <v>3471</v>
      </c>
      <c r="D483" t="s">
        <v>3472</v>
      </c>
    </row>
    <row r="484" spans="1:4" x14ac:dyDescent="0.25">
      <c r="A484" t="s">
        <v>3947</v>
      </c>
      <c r="B484" t="s">
        <v>3014</v>
      </c>
      <c r="C484" t="s">
        <v>3477</v>
      </c>
      <c r="D484" t="s">
        <v>3478</v>
      </c>
    </row>
    <row r="485" spans="1:4" x14ac:dyDescent="0.25">
      <c r="A485" t="s">
        <v>3948</v>
      </c>
      <c r="B485" t="s">
        <v>3016</v>
      </c>
      <c r="C485" t="s">
        <v>3456</v>
      </c>
      <c r="D485" t="s">
        <v>3457</v>
      </c>
    </row>
    <row r="486" spans="1:4" x14ac:dyDescent="0.25">
      <c r="A486" t="s">
        <v>3949</v>
      </c>
      <c r="B486" t="s">
        <v>3018</v>
      </c>
      <c r="C486" t="s">
        <v>3456</v>
      </c>
      <c r="D486" t="s">
        <v>3457</v>
      </c>
    </row>
    <row r="487" spans="1:4" x14ac:dyDescent="0.25">
      <c r="A487" t="s">
        <v>3950</v>
      </c>
      <c r="B487" t="s">
        <v>3020</v>
      </c>
      <c r="C487" t="s">
        <v>3471</v>
      </c>
      <c r="D487" t="s">
        <v>3472</v>
      </c>
    </row>
    <row r="488" spans="1:4" x14ac:dyDescent="0.25">
      <c r="A488" t="s">
        <v>3951</v>
      </c>
      <c r="B488" t="s">
        <v>3022</v>
      </c>
      <c r="C488" t="s">
        <v>3456</v>
      </c>
      <c r="D488" t="s">
        <v>3457</v>
      </c>
    </row>
    <row r="489" spans="1:4" x14ac:dyDescent="0.25">
      <c r="A489" t="s">
        <v>3952</v>
      </c>
      <c r="B489" t="s">
        <v>3024</v>
      </c>
      <c r="C489" t="s">
        <v>3456</v>
      </c>
      <c r="D489" t="s">
        <v>3457</v>
      </c>
    </row>
    <row r="490" spans="1:4" x14ac:dyDescent="0.25">
      <c r="A490" t="s">
        <v>3953</v>
      </c>
      <c r="B490" t="s">
        <v>3026</v>
      </c>
      <c r="C490" t="s">
        <v>3456</v>
      </c>
      <c r="D490" t="s">
        <v>3457</v>
      </c>
    </row>
    <row r="491" spans="1:4" x14ac:dyDescent="0.25">
      <c r="A491" t="s">
        <v>3954</v>
      </c>
      <c r="B491" t="s">
        <v>3028</v>
      </c>
      <c r="C491" t="s">
        <v>3459</v>
      </c>
      <c r="D491" t="s">
        <v>3460</v>
      </c>
    </row>
    <row r="492" spans="1:4" x14ac:dyDescent="0.25">
      <c r="A492" t="s">
        <v>3955</v>
      </c>
      <c r="B492" t="s">
        <v>3030</v>
      </c>
      <c r="C492" t="s">
        <v>3459</v>
      </c>
      <c r="D492" t="s">
        <v>3460</v>
      </c>
    </row>
    <row r="493" spans="1:4" x14ac:dyDescent="0.25">
      <c r="A493" t="s">
        <v>3956</v>
      </c>
      <c r="B493" t="s">
        <v>3032</v>
      </c>
      <c r="C493" t="s">
        <v>3477</v>
      </c>
      <c r="D493" t="s">
        <v>3478</v>
      </c>
    </row>
    <row r="494" spans="1:4" x14ac:dyDescent="0.25">
      <c r="A494" t="s">
        <v>3957</v>
      </c>
      <c r="B494" t="s">
        <v>3034</v>
      </c>
      <c r="C494" t="s">
        <v>3471</v>
      </c>
      <c r="D494" t="s">
        <v>3472</v>
      </c>
    </row>
    <row r="495" spans="1:4" x14ac:dyDescent="0.25">
      <c r="A495" t="s">
        <v>3958</v>
      </c>
      <c r="B495" t="s">
        <v>3036</v>
      </c>
      <c r="C495" t="s">
        <v>3471</v>
      </c>
      <c r="D495" t="s">
        <v>3472</v>
      </c>
    </row>
    <row r="496" spans="1:4" x14ac:dyDescent="0.25">
      <c r="A496" t="s">
        <v>3959</v>
      </c>
      <c r="B496" t="s">
        <v>3038</v>
      </c>
      <c r="C496" t="s">
        <v>3456</v>
      </c>
      <c r="D496" t="s">
        <v>3457</v>
      </c>
    </row>
    <row r="497" spans="1:4" x14ac:dyDescent="0.25">
      <c r="A497" t="s">
        <v>3960</v>
      </c>
      <c r="B497" t="s">
        <v>3040</v>
      </c>
      <c r="C497" t="s">
        <v>3471</v>
      </c>
      <c r="D497" t="s">
        <v>3472</v>
      </c>
    </row>
    <row r="498" spans="1:4" x14ac:dyDescent="0.25">
      <c r="A498" t="s">
        <v>3961</v>
      </c>
      <c r="B498" t="s">
        <v>3042</v>
      </c>
      <c r="C498" t="s">
        <v>3477</v>
      </c>
      <c r="D498" t="s">
        <v>3478</v>
      </c>
    </row>
    <row r="499" spans="1:4" x14ac:dyDescent="0.25">
      <c r="A499" t="s">
        <v>3962</v>
      </c>
      <c r="B499" t="s">
        <v>3043</v>
      </c>
      <c r="C499" t="s">
        <v>3459</v>
      </c>
      <c r="D499" t="s">
        <v>3460</v>
      </c>
    </row>
    <row r="500" spans="1:4" x14ac:dyDescent="0.25">
      <c r="A500" t="s">
        <v>3963</v>
      </c>
      <c r="B500" t="s">
        <v>3045</v>
      </c>
      <c r="C500" t="s">
        <v>3456</v>
      </c>
      <c r="D500" t="s">
        <v>3457</v>
      </c>
    </row>
    <row r="501" spans="1:4" x14ac:dyDescent="0.25">
      <c r="A501" t="s">
        <v>3964</v>
      </c>
      <c r="B501" t="s">
        <v>3047</v>
      </c>
      <c r="C501" t="s">
        <v>3477</v>
      </c>
      <c r="D501" t="s">
        <v>3478</v>
      </c>
    </row>
  </sheetData>
  <pageMargins left="0.7" right="0.7" top="0.75" bottom="0.75" header="0.3" footer="0.3"/>
  <ignoredErrors>
    <ignoredError sqref="A1:D50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01"/>
  <sheetViews>
    <sheetView topLeftCell="A487" zoomScaleNormal="100" workbookViewId="0">
      <selection activeCell="G505" sqref="G505"/>
    </sheetView>
  </sheetViews>
  <sheetFormatPr defaultRowHeight="15.75" x14ac:dyDescent="0.25"/>
  <sheetData>
    <row r="1" spans="1:2" x14ac:dyDescent="0.25">
      <c r="A1" t="s">
        <v>3965</v>
      </c>
      <c r="B1" t="s">
        <v>3966</v>
      </c>
    </row>
    <row r="2" spans="1:2" x14ac:dyDescent="0.25">
      <c r="A2" t="s">
        <v>3967</v>
      </c>
      <c r="B2" t="s">
        <v>3968</v>
      </c>
    </row>
    <row r="3" spans="1:2" x14ac:dyDescent="0.25">
      <c r="A3" t="s">
        <v>3969</v>
      </c>
      <c r="B3" t="s">
        <v>3970</v>
      </c>
    </row>
    <row r="4" spans="1:2" x14ac:dyDescent="0.25">
      <c r="A4" t="s">
        <v>3967</v>
      </c>
      <c r="B4" t="s">
        <v>3968</v>
      </c>
    </row>
    <row r="5" spans="1:2" x14ac:dyDescent="0.25">
      <c r="A5" t="s">
        <v>3969</v>
      </c>
      <c r="B5" t="s">
        <v>3970</v>
      </c>
    </row>
    <row r="6" spans="1:2" x14ac:dyDescent="0.25">
      <c r="A6" t="s">
        <v>3971</v>
      </c>
      <c r="B6" t="s">
        <v>3972</v>
      </c>
    </row>
    <row r="7" spans="1:2" x14ac:dyDescent="0.25">
      <c r="A7" t="s">
        <v>3967</v>
      </c>
      <c r="B7" t="s">
        <v>3968</v>
      </c>
    </row>
    <row r="8" spans="1:2" x14ac:dyDescent="0.25">
      <c r="A8" t="s">
        <v>3967</v>
      </c>
      <c r="B8" t="s">
        <v>3968</v>
      </c>
    </row>
    <row r="9" spans="1:2" x14ac:dyDescent="0.25">
      <c r="A9" t="s">
        <v>3969</v>
      </c>
      <c r="B9" t="s">
        <v>3970</v>
      </c>
    </row>
    <row r="10" spans="1:2" x14ac:dyDescent="0.25">
      <c r="A10" t="s">
        <v>3973</v>
      </c>
      <c r="B10" t="s">
        <v>3974</v>
      </c>
    </row>
    <row r="11" spans="1:2" x14ac:dyDescent="0.25">
      <c r="A11" t="s">
        <v>3969</v>
      </c>
      <c r="B11" t="s">
        <v>3970</v>
      </c>
    </row>
    <row r="12" spans="1:2" x14ac:dyDescent="0.25">
      <c r="A12" t="s">
        <v>3971</v>
      </c>
      <c r="B12" t="s">
        <v>3972</v>
      </c>
    </row>
    <row r="13" spans="1:2" x14ac:dyDescent="0.25">
      <c r="A13" t="s">
        <v>3969</v>
      </c>
      <c r="B13" t="s">
        <v>3970</v>
      </c>
    </row>
    <row r="14" spans="1:2" x14ac:dyDescent="0.25">
      <c r="A14" t="s">
        <v>3967</v>
      </c>
      <c r="B14" t="s">
        <v>3968</v>
      </c>
    </row>
    <row r="15" spans="1:2" x14ac:dyDescent="0.25">
      <c r="A15" t="s">
        <v>3967</v>
      </c>
      <c r="B15" t="s">
        <v>3968</v>
      </c>
    </row>
    <row r="16" spans="1:2" x14ac:dyDescent="0.25">
      <c r="A16" t="s">
        <v>3973</v>
      </c>
      <c r="B16" t="s">
        <v>3974</v>
      </c>
    </row>
    <row r="17" spans="1:2" x14ac:dyDescent="0.25">
      <c r="A17" t="s">
        <v>3973</v>
      </c>
      <c r="B17" t="s">
        <v>3974</v>
      </c>
    </row>
    <row r="18" spans="1:2" x14ac:dyDescent="0.25">
      <c r="A18" t="s">
        <v>3971</v>
      </c>
      <c r="B18" t="s">
        <v>3972</v>
      </c>
    </row>
    <row r="19" spans="1:2" x14ac:dyDescent="0.25">
      <c r="A19" t="s">
        <v>3971</v>
      </c>
      <c r="B19" t="s">
        <v>3972</v>
      </c>
    </row>
    <row r="20" spans="1:2" x14ac:dyDescent="0.25">
      <c r="A20" t="s">
        <v>3971</v>
      </c>
      <c r="B20" t="s">
        <v>3972</v>
      </c>
    </row>
    <row r="21" spans="1:2" x14ac:dyDescent="0.25">
      <c r="A21" t="s">
        <v>3967</v>
      </c>
      <c r="B21" t="s">
        <v>3968</v>
      </c>
    </row>
    <row r="22" spans="1:2" x14ac:dyDescent="0.25">
      <c r="A22" t="s">
        <v>3969</v>
      </c>
      <c r="B22" t="s">
        <v>3970</v>
      </c>
    </row>
    <row r="23" spans="1:2" x14ac:dyDescent="0.25">
      <c r="A23" t="s">
        <v>3969</v>
      </c>
      <c r="B23" t="s">
        <v>3970</v>
      </c>
    </row>
    <row r="24" spans="1:2" x14ac:dyDescent="0.25">
      <c r="A24" t="s">
        <v>3967</v>
      </c>
      <c r="B24" t="s">
        <v>3968</v>
      </c>
    </row>
    <row r="25" spans="1:2" x14ac:dyDescent="0.25">
      <c r="A25" t="s">
        <v>3969</v>
      </c>
      <c r="B25" t="s">
        <v>3970</v>
      </c>
    </row>
    <row r="26" spans="1:2" x14ac:dyDescent="0.25">
      <c r="A26" t="s">
        <v>3967</v>
      </c>
      <c r="B26" t="s">
        <v>3968</v>
      </c>
    </row>
    <row r="27" spans="1:2" x14ac:dyDescent="0.25">
      <c r="A27" t="s">
        <v>3973</v>
      </c>
      <c r="B27" t="s">
        <v>3974</v>
      </c>
    </row>
    <row r="28" spans="1:2" x14ac:dyDescent="0.25">
      <c r="A28" t="s">
        <v>3969</v>
      </c>
      <c r="B28" t="s">
        <v>3970</v>
      </c>
    </row>
    <row r="29" spans="1:2" x14ac:dyDescent="0.25">
      <c r="A29" t="s">
        <v>3967</v>
      </c>
      <c r="B29" t="s">
        <v>3968</v>
      </c>
    </row>
    <row r="30" spans="1:2" x14ac:dyDescent="0.25">
      <c r="A30" t="s">
        <v>3969</v>
      </c>
      <c r="B30" t="s">
        <v>3970</v>
      </c>
    </row>
    <row r="31" spans="1:2" x14ac:dyDescent="0.25">
      <c r="A31" t="s">
        <v>3973</v>
      </c>
      <c r="B31" t="s">
        <v>3974</v>
      </c>
    </row>
    <row r="32" spans="1:2" x14ac:dyDescent="0.25">
      <c r="A32" t="s">
        <v>3973</v>
      </c>
      <c r="B32" t="s">
        <v>3974</v>
      </c>
    </row>
    <row r="33" spans="1:2" x14ac:dyDescent="0.25">
      <c r="A33" t="s">
        <v>3967</v>
      </c>
      <c r="B33" t="s">
        <v>3968</v>
      </c>
    </row>
    <row r="34" spans="1:2" x14ac:dyDescent="0.25">
      <c r="A34" t="s">
        <v>3969</v>
      </c>
      <c r="B34" t="s">
        <v>3970</v>
      </c>
    </row>
    <row r="35" spans="1:2" x14ac:dyDescent="0.25">
      <c r="A35" t="s">
        <v>3967</v>
      </c>
      <c r="B35" t="s">
        <v>3968</v>
      </c>
    </row>
    <row r="36" spans="1:2" x14ac:dyDescent="0.25">
      <c r="A36" t="s">
        <v>3969</v>
      </c>
      <c r="B36" t="s">
        <v>3970</v>
      </c>
    </row>
    <row r="37" spans="1:2" x14ac:dyDescent="0.25">
      <c r="A37" t="s">
        <v>3969</v>
      </c>
      <c r="B37" t="s">
        <v>3970</v>
      </c>
    </row>
    <row r="38" spans="1:2" x14ac:dyDescent="0.25">
      <c r="A38" t="s">
        <v>3967</v>
      </c>
      <c r="B38" t="s">
        <v>3968</v>
      </c>
    </row>
    <row r="39" spans="1:2" x14ac:dyDescent="0.25">
      <c r="A39" t="s">
        <v>3971</v>
      </c>
      <c r="B39" t="s">
        <v>3972</v>
      </c>
    </row>
    <row r="40" spans="1:2" x14ac:dyDescent="0.25">
      <c r="A40" t="s">
        <v>3967</v>
      </c>
      <c r="B40" t="s">
        <v>3968</v>
      </c>
    </row>
    <row r="41" spans="1:2" x14ac:dyDescent="0.25">
      <c r="A41" t="s">
        <v>3973</v>
      </c>
      <c r="B41" t="s">
        <v>3974</v>
      </c>
    </row>
    <row r="42" spans="1:2" x14ac:dyDescent="0.25">
      <c r="A42" t="s">
        <v>3969</v>
      </c>
      <c r="B42" t="s">
        <v>3970</v>
      </c>
    </row>
    <row r="43" spans="1:2" x14ac:dyDescent="0.25">
      <c r="A43" t="s">
        <v>3967</v>
      </c>
      <c r="B43" t="s">
        <v>3968</v>
      </c>
    </row>
    <row r="44" spans="1:2" x14ac:dyDescent="0.25">
      <c r="A44" t="s">
        <v>3969</v>
      </c>
      <c r="B44" t="s">
        <v>3970</v>
      </c>
    </row>
    <row r="45" spans="1:2" x14ac:dyDescent="0.25">
      <c r="A45" t="s">
        <v>3973</v>
      </c>
      <c r="B45" t="s">
        <v>3974</v>
      </c>
    </row>
    <row r="46" spans="1:2" x14ac:dyDescent="0.25">
      <c r="A46" t="s">
        <v>3967</v>
      </c>
      <c r="B46" t="s">
        <v>3968</v>
      </c>
    </row>
    <row r="47" spans="1:2" x14ac:dyDescent="0.25">
      <c r="A47" t="s">
        <v>3971</v>
      </c>
      <c r="B47" t="s">
        <v>3972</v>
      </c>
    </row>
    <row r="48" spans="1:2" x14ac:dyDescent="0.25">
      <c r="A48" t="s">
        <v>3973</v>
      </c>
      <c r="B48" t="s">
        <v>3974</v>
      </c>
    </row>
    <row r="49" spans="1:2" x14ac:dyDescent="0.25">
      <c r="A49" t="s">
        <v>3969</v>
      </c>
      <c r="B49" t="s">
        <v>3970</v>
      </c>
    </row>
    <row r="50" spans="1:2" x14ac:dyDescent="0.25">
      <c r="A50" t="s">
        <v>3967</v>
      </c>
      <c r="B50" t="s">
        <v>3968</v>
      </c>
    </row>
    <row r="51" spans="1:2" x14ac:dyDescent="0.25">
      <c r="A51" t="s">
        <v>3967</v>
      </c>
      <c r="B51" t="s">
        <v>3968</v>
      </c>
    </row>
    <row r="52" spans="1:2" x14ac:dyDescent="0.25">
      <c r="A52" t="s">
        <v>3969</v>
      </c>
      <c r="B52" t="s">
        <v>3970</v>
      </c>
    </row>
    <row r="53" spans="1:2" x14ac:dyDescent="0.25">
      <c r="A53" t="s">
        <v>3969</v>
      </c>
      <c r="B53" t="s">
        <v>3970</v>
      </c>
    </row>
    <row r="54" spans="1:2" x14ac:dyDescent="0.25">
      <c r="A54" t="s">
        <v>3967</v>
      </c>
      <c r="B54" t="s">
        <v>3968</v>
      </c>
    </row>
    <row r="55" spans="1:2" x14ac:dyDescent="0.25">
      <c r="A55" t="s">
        <v>3969</v>
      </c>
      <c r="B55" t="s">
        <v>3970</v>
      </c>
    </row>
    <row r="56" spans="1:2" x14ac:dyDescent="0.25">
      <c r="A56" t="s">
        <v>3969</v>
      </c>
      <c r="B56" t="s">
        <v>3970</v>
      </c>
    </row>
    <row r="57" spans="1:2" x14ac:dyDescent="0.25">
      <c r="A57" t="s">
        <v>3973</v>
      </c>
      <c r="B57" t="s">
        <v>3974</v>
      </c>
    </row>
    <row r="58" spans="1:2" x14ac:dyDescent="0.25">
      <c r="A58" t="s">
        <v>3969</v>
      </c>
      <c r="B58" t="s">
        <v>3970</v>
      </c>
    </row>
    <row r="59" spans="1:2" x14ac:dyDescent="0.25">
      <c r="A59" t="s">
        <v>3967</v>
      </c>
      <c r="B59" t="s">
        <v>3968</v>
      </c>
    </row>
    <row r="60" spans="1:2" x14ac:dyDescent="0.25">
      <c r="A60" t="s">
        <v>3969</v>
      </c>
      <c r="B60" t="s">
        <v>3970</v>
      </c>
    </row>
    <row r="61" spans="1:2" x14ac:dyDescent="0.25">
      <c r="A61" t="s">
        <v>3973</v>
      </c>
      <c r="B61" t="s">
        <v>3974</v>
      </c>
    </row>
    <row r="62" spans="1:2" x14ac:dyDescent="0.25">
      <c r="A62" t="s">
        <v>3967</v>
      </c>
      <c r="B62" t="s">
        <v>3968</v>
      </c>
    </row>
    <row r="63" spans="1:2" x14ac:dyDescent="0.25">
      <c r="A63" t="s">
        <v>3967</v>
      </c>
      <c r="B63" t="s">
        <v>3968</v>
      </c>
    </row>
    <row r="64" spans="1:2" x14ac:dyDescent="0.25">
      <c r="A64" t="s">
        <v>3969</v>
      </c>
      <c r="B64" t="s">
        <v>3970</v>
      </c>
    </row>
    <row r="65" spans="1:2" x14ac:dyDescent="0.25">
      <c r="A65" t="s">
        <v>3969</v>
      </c>
      <c r="B65" t="s">
        <v>3970</v>
      </c>
    </row>
    <row r="66" spans="1:2" x14ac:dyDescent="0.25">
      <c r="A66" t="s">
        <v>3973</v>
      </c>
      <c r="B66" t="s">
        <v>3974</v>
      </c>
    </row>
    <row r="67" spans="1:2" x14ac:dyDescent="0.25">
      <c r="A67" t="s">
        <v>3967</v>
      </c>
      <c r="B67" t="s">
        <v>3968</v>
      </c>
    </row>
    <row r="68" spans="1:2" x14ac:dyDescent="0.25">
      <c r="A68" t="s">
        <v>3971</v>
      </c>
      <c r="B68" t="s">
        <v>3972</v>
      </c>
    </row>
    <row r="69" spans="1:2" x14ac:dyDescent="0.25">
      <c r="A69" t="s">
        <v>3967</v>
      </c>
      <c r="B69" t="s">
        <v>3968</v>
      </c>
    </row>
    <row r="70" spans="1:2" x14ac:dyDescent="0.25">
      <c r="A70" t="s">
        <v>3971</v>
      </c>
      <c r="B70" t="s">
        <v>3972</v>
      </c>
    </row>
    <row r="71" spans="1:2" x14ac:dyDescent="0.25">
      <c r="A71" t="s">
        <v>3973</v>
      </c>
      <c r="B71" t="s">
        <v>3974</v>
      </c>
    </row>
    <row r="72" spans="1:2" x14ac:dyDescent="0.25">
      <c r="A72" t="s">
        <v>3971</v>
      </c>
      <c r="B72" t="s">
        <v>3972</v>
      </c>
    </row>
    <row r="73" spans="1:2" x14ac:dyDescent="0.25">
      <c r="A73" t="s">
        <v>3967</v>
      </c>
      <c r="B73" t="s">
        <v>3968</v>
      </c>
    </row>
    <row r="74" spans="1:2" x14ac:dyDescent="0.25">
      <c r="A74" t="s">
        <v>3967</v>
      </c>
      <c r="B74" t="s">
        <v>3968</v>
      </c>
    </row>
    <row r="75" spans="1:2" x14ac:dyDescent="0.25">
      <c r="A75" t="s">
        <v>3969</v>
      </c>
      <c r="B75" t="s">
        <v>3970</v>
      </c>
    </row>
    <row r="76" spans="1:2" x14ac:dyDescent="0.25">
      <c r="A76" t="s">
        <v>3967</v>
      </c>
      <c r="B76" t="s">
        <v>3968</v>
      </c>
    </row>
    <row r="77" spans="1:2" x14ac:dyDescent="0.25">
      <c r="A77" t="s">
        <v>3971</v>
      </c>
      <c r="B77" t="s">
        <v>3972</v>
      </c>
    </row>
    <row r="78" spans="1:2" x14ac:dyDescent="0.25">
      <c r="A78" t="s">
        <v>3969</v>
      </c>
      <c r="B78" t="s">
        <v>3970</v>
      </c>
    </row>
    <row r="79" spans="1:2" x14ac:dyDescent="0.25">
      <c r="A79" t="s">
        <v>3973</v>
      </c>
      <c r="B79" t="s">
        <v>3974</v>
      </c>
    </row>
    <row r="80" spans="1:2" x14ac:dyDescent="0.25">
      <c r="A80" t="s">
        <v>3969</v>
      </c>
      <c r="B80" t="s">
        <v>3970</v>
      </c>
    </row>
    <row r="81" spans="1:2" x14ac:dyDescent="0.25">
      <c r="A81" t="s">
        <v>3973</v>
      </c>
      <c r="B81" t="s">
        <v>3974</v>
      </c>
    </row>
    <row r="82" spans="1:2" x14ac:dyDescent="0.25">
      <c r="A82" t="s">
        <v>3973</v>
      </c>
      <c r="B82" t="s">
        <v>3974</v>
      </c>
    </row>
    <row r="83" spans="1:2" x14ac:dyDescent="0.25">
      <c r="A83" t="s">
        <v>3971</v>
      </c>
      <c r="B83" t="s">
        <v>3972</v>
      </c>
    </row>
    <row r="84" spans="1:2" x14ac:dyDescent="0.25">
      <c r="A84" t="s">
        <v>3969</v>
      </c>
      <c r="B84" t="s">
        <v>3970</v>
      </c>
    </row>
    <row r="85" spans="1:2" x14ac:dyDescent="0.25">
      <c r="A85" t="s">
        <v>3969</v>
      </c>
      <c r="B85" t="s">
        <v>3970</v>
      </c>
    </row>
    <row r="86" spans="1:2" x14ac:dyDescent="0.25">
      <c r="A86" t="s">
        <v>3967</v>
      </c>
      <c r="B86" t="s">
        <v>3968</v>
      </c>
    </row>
    <row r="87" spans="1:2" x14ac:dyDescent="0.25">
      <c r="A87" t="s">
        <v>3967</v>
      </c>
      <c r="B87" t="s">
        <v>3968</v>
      </c>
    </row>
    <row r="88" spans="1:2" x14ac:dyDescent="0.25">
      <c r="A88" t="s">
        <v>3967</v>
      </c>
      <c r="B88" t="s">
        <v>3968</v>
      </c>
    </row>
    <row r="89" spans="1:2" x14ac:dyDescent="0.25">
      <c r="A89" t="s">
        <v>3967</v>
      </c>
      <c r="B89" t="s">
        <v>3968</v>
      </c>
    </row>
    <row r="90" spans="1:2" x14ac:dyDescent="0.25">
      <c r="A90" t="s">
        <v>3969</v>
      </c>
      <c r="B90" t="s">
        <v>3970</v>
      </c>
    </row>
    <row r="91" spans="1:2" x14ac:dyDescent="0.25">
      <c r="A91" t="s">
        <v>3973</v>
      </c>
      <c r="B91" t="s">
        <v>3974</v>
      </c>
    </row>
    <row r="92" spans="1:2" x14ac:dyDescent="0.25">
      <c r="A92" t="s">
        <v>3969</v>
      </c>
      <c r="B92" t="s">
        <v>3970</v>
      </c>
    </row>
    <row r="93" spans="1:2" x14ac:dyDescent="0.25">
      <c r="A93" t="s">
        <v>3973</v>
      </c>
      <c r="B93" t="s">
        <v>3974</v>
      </c>
    </row>
    <row r="94" spans="1:2" x14ac:dyDescent="0.25">
      <c r="A94" t="s">
        <v>3973</v>
      </c>
      <c r="B94" t="s">
        <v>3974</v>
      </c>
    </row>
    <row r="95" spans="1:2" x14ac:dyDescent="0.25">
      <c r="A95" t="s">
        <v>3973</v>
      </c>
      <c r="B95" t="s">
        <v>3974</v>
      </c>
    </row>
    <row r="96" spans="1:2" x14ac:dyDescent="0.25">
      <c r="A96" t="s">
        <v>3969</v>
      </c>
      <c r="B96" t="s">
        <v>3970</v>
      </c>
    </row>
    <row r="97" spans="1:2" x14ac:dyDescent="0.25">
      <c r="A97" t="s">
        <v>3971</v>
      </c>
      <c r="B97" t="s">
        <v>3972</v>
      </c>
    </row>
    <row r="98" spans="1:2" x14ac:dyDescent="0.25">
      <c r="A98" t="s">
        <v>3967</v>
      </c>
      <c r="B98" t="s">
        <v>3968</v>
      </c>
    </row>
    <row r="99" spans="1:2" x14ac:dyDescent="0.25">
      <c r="A99" t="s">
        <v>3967</v>
      </c>
      <c r="B99" t="s">
        <v>3968</v>
      </c>
    </row>
    <row r="100" spans="1:2" x14ac:dyDescent="0.25">
      <c r="A100" t="s">
        <v>3967</v>
      </c>
      <c r="B100" t="s">
        <v>3968</v>
      </c>
    </row>
    <row r="101" spans="1:2" x14ac:dyDescent="0.25">
      <c r="A101" t="s">
        <v>3967</v>
      </c>
      <c r="B101" t="s">
        <v>3968</v>
      </c>
    </row>
    <row r="102" spans="1:2" x14ac:dyDescent="0.25">
      <c r="A102" t="s">
        <v>3969</v>
      </c>
      <c r="B102" t="s">
        <v>3970</v>
      </c>
    </row>
    <row r="103" spans="1:2" x14ac:dyDescent="0.25">
      <c r="A103" t="s">
        <v>3967</v>
      </c>
      <c r="B103" t="s">
        <v>3968</v>
      </c>
    </row>
    <row r="104" spans="1:2" x14ac:dyDescent="0.25">
      <c r="A104" t="s">
        <v>3967</v>
      </c>
      <c r="B104" t="s">
        <v>3968</v>
      </c>
    </row>
    <row r="105" spans="1:2" x14ac:dyDescent="0.25">
      <c r="A105" t="s">
        <v>3971</v>
      </c>
      <c r="B105" t="s">
        <v>3972</v>
      </c>
    </row>
    <row r="106" spans="1:2" x14ac:dyDescent="0.25">
      <c r="A106" t="s">
        <v>3967</v>
      </c>
      <c r="B106" t="s">
        <v>3968</v>
      </c>
    </row>
    <row r="107" spans="1:2" x14ac:dyDescent="0.25">
      <c r="A107" t="s">
        <v>3971</v>
      </c>
      <c r="B107" t="s">
        <v>3972</v>
      </c>
    </row>
    <row r="108" spans="1:2" x14ac:dyDescent="0.25">
      <c r="A108" t="s">
        <v>3971</v>
      </c>
      <c r="B108" t="s">
        <v>3972</v>
      </c>
    </row>
    <row r="109" spans="1:2" x14ac:dyDescent="0.25">
      <c r="A109" t="s">
        <v>3971</v>
      </c>
      <c r="B109" t="s">
        <v>3972</v>
      </c>
    </row>
    <row r="110" spans="1:2" x14ac:dyDescent="0.25">
      <c r="A110" t="s">
        <v>3969</v>
      </c>
      <c r="B110" t="s">
        <v>3970</v>
      </c>
    </row>
    <row r="111" spans="1:2" x14ac:dyDescent="0.25">
      <c r="A111" t="s">
        <v>3971</v>
      </c>
      <c r="B111" t="s">
        <v>3972</v>
      </c>
    </row>
    <row r="112" spans="1:2" x14ac:dyDescent="0.25">
      <c r="A112" t="s">
        <v>3969</v>
      </c>
      <c r="B112" t="s">
        <v>3970</v>
      </c>
    </row>
    <row r="113" spans="1:2" x14ac:dyDescent="0.25">
      <c r="A113" t="s">
        <v>3971</v>
      </c>
      <c r="B113" t="s">
        <v>3972</v>
      </c>
    </row>
    <row r="114" spans="1:2" x14ac:dyDescent="0.25">
      <c r="A114" t="s">
        <v>3971</v>
      </c>
      <c r="B114" t="s">
        <v>3972</v>
      </c>
    </row>
    <row r="115" spans="1:2" x14ac:dyDescent="0.25">
      <c r="A115" t="s">
        <v>3971</v>
      </c>
      <c r="B115" t="s">
        <v>3972</v>
      </c>
    </row>
    <row r="116" spans="1:2" x14ac:dyDescent="0.25">
      <c r="A116" t="s">
        <v>3969</v>
      </c>
      <c r="B116" t="s">
        <v>3970</v>
      </c>
    </row>
    <row r="117" spans="1:2" x14ac:dyDescent="0.25">
      <c r="A117" t="s">
        <v>3967</v>
      </c>
      <c r="B117" t="s">
        <v>3968</v>
      </c>
    </row>
    <row r="118" spans="1:2" x14ac:dyDescent="0.25">
      <c r="A118" t="s">
        <v>3967</v>
      </c>
      <c r="B118" t="s">
        <v>3968</v>
      </c>
    </row>
    <row r="119" spans="1:2" x14ac:dyDescent="0.25">
      <c r="A119" t="s">
        <v>3973</v>
      </c>
      <c r="B119" t="s">
        <v>3974</v>
      </c>
    </row>
    <row r="120" spans="1:2" x14ac:dyDescent="0.25">
      <c r="A120" t="s">
        <v>3973</v>
      </c>
      <c r="B120" t="s">
        <v>3974</v>
      </c>
    </row>
    <row r="121" spans="1:2" x14ac:dyDescent="0.25">
      <c r="A121" t="s">
        <v>3971</v>
      </c>
      <c r="B121" t="s">
        <v>3972</v>
      </c>
    </row>
    <row r="122" spans="1:2" x14ac:dyDescent="0.25">
      <c r="A122" t="s">
        <v>3967</v>
      </c>
      <c r="B122" t="s">
        <v>3968</v>
      </c>
    </row>
    <row r="123" spans="1:2" x14ac:dyDescent="0.25">
      <c r="A123" t="s">
        <v>3971</v>
      </c>
      <c r="B123" t="s">
        <v>3972</v>
      </c>
    </row>
    <row r="124" spans="1:2" x14ac:dyDescent="0.25">
      <c r="A124" t="s">
        <v>3967</v>
      </c>
      <c r="B124" t="s">
        <v>3968</v>
      </c>
    </row>
    <row r="125" spans="1:2" x14ac:dyDescent="0.25">
      <c r="A125" t="s">
        <v>3973</v>
      </c>
      <c r="B125" t="s">
        <v>3974</v>
      </c>
    </row>
    <row r="126" spans="1:2" x14ac:dyDescent="0.25">
      <c r="A126" t="s">
        <v>3967</v>
      </c>
      <c r="B126" t="s">
        <v>3968</v>
      </c>
    </row>
    <row r="127" spans="1:2" x14ac:dyDescent="0.25">
      <c r="A127" t="s">
        <v>3973</v>
      </c>
      <c r="B127" t="s">
        <v>3974</v>
      </c>
    </row>
    <row r="128" spans="1:2" x14ac:dyDescent="0.25">
      <c r="A128" t="s">
        <v>3973</v>
      </c>
      <c r="B128" t="s">
        <v>3974</v>
      </c>
    </row>
    <row r="129" spans="1:2" x14ac:dyDescent="0.25">
      <c r="A129" t="s">
        <v>3967</v>
      </c>
      <c r="B129" t="s">
        <v>3968</v>
      </c>
    </row>
    <row r="130" spans="1:2" x14ac:dyDescent="0.25">
      <c r="A130" t="s">
        <v>3971</v>
      </c>
      <c r="B130" t="s">
        <v>3972</v>
      </c>
    </row>
    <row r="131" spans="1:2" x14ac:dyDescent="0.25">
      <c r="A131" t="s">
        <v>3971</v>
      </c>
      <c r="B131" t="s">
        <v>3972</v>
      </c>
    </row>
    <row r="132" spans="1:2" x14ac:dyDescent="0.25">
      <c r="A132" t="s">
        <v>3967</v>
      </c>
      <c r="B132" t="s">
        <v>3968</v>
      </c>
    </row>
    <row r="133" spans="1:2" x14ac:dyDescent="0.25">
      <c r="A133" t="s">
        <v>3967</v>
      </c>
      <c r="B133" t="s">
        <v>3968</v>
      </c>
    </row>
    <row r="134" spans="1:2" x14ac:dyDescent="0.25">
      <c r="A134" t="s">
        <v>3967</v>
      </c>
      <c r="B134" t="s">
        <v>3968</v>
      </c>
    </row>
    <row r="135" spans="1:2" x14ac:dyDescent="0.25">
      <c r="A135" t="s">
        <v>3971</v>
      </c>
      <c r="B135" t="s">
        <v>3972</v>
      </c>
    </row>
    <row r="136" spans="1:2" x14ac:dyDescent="0.25">
      <c r="A136" t="s">
        <v>3971</v>
      </c>
      <c r="B136" t="s">
        <v>3972</v>
      </c>
    </row>
    <row r="137" spans="1:2" x14ac:dyDescent="0.25">
      <c r="A137" t="s">
        <v>3973</v>
      </c>
      <c r="B137" t="s">
        <v>3974</v>
      </c>
    </row>
    <row r="138" spans="1:2" x14ac:dyDescent="0.25">
      <c r="A138" t="s">
        <v>3969</v>
      </c>
      <c r="B138" t="s">
        <v>3970</v>
      </c>
    </row>
    <row r="139" spans="1:2" x14ac:dyDescent="0.25">
      <c r="A139" t="s">
        <v>3967</v>
      </c>
      <c r="B139" t="s">
        <v>3968</v>
      </c>
    </row>
    <row r="140" spans="1:2" x14ac:dyDescent="0.25">
      <c r="A140" t="s">
        <v>3967</v>
      </c>
      <c r="B140" t="s">
        <v>3968</v>
      </c>
    </row>
    <row r="141" spans="1:2" x14ac:dyDescent="0.25">
      <c r="A141" t="s">
        <v>3971</v>
      </c>
      <c r="B141" t="s">
        <v>3972</v>
      </c>
    </row>
    <row r="142" spans="1:2" x14ac:dyDescent="0.25">
      <c r="A142" t="s">
        <v>3967</v>
      </c>
      <c r="B142" t="s">
        <v>3968</v>
      </c>
    </row>
    <row r="143" spans="1:2" x14ac:dyDescent="0.25">
      <c r="A143" t="s">
        <v>3971</v>
      </c>
      <c r="B143" t="s">
        <v>3972</v>
      </c>
    </row>
    <row r="144" spans="1:2" x14ac:dyDescent="0.25">
      <c r="A144" t="s">
        <v>3967</v>
      </c>
      <c r="B144" t="s">
        <v>3968</v>
      </c>
    </row>
    <row r="145" spans="1:2" x14ac:dyDescent="0.25">
      <c r="A145" t="s">
        <v>3967</v>
      </c>
      <c r="B145" t="s">
        <v>3968</v>
      </c>
    </row>
    <row r="146" spans="1:2" x14ac:dyDescent="0.25">
      <c r="A146" t="s">
        <v>3967</v>
      </c>
      <c r="B146" t="s">
        <v>3968</v>
      </c>
    </row>
    <row r="147" spans="1:2" x14ac:dyDescent="0.25">
      <c r="A147" t="s">
        <v>3967</v>
      </c>
      <c r="B147" t="s">
        <v>3968</v>
      </c>
    </row>
    <row r="148" spans="1:2" x14ac:dyDescent="0.25">
      <c r="A148" t="s">
        <v>3969</v>
      </c>
      <c r="B148" t="s">
        <v>3970</v>
      </c>
    </row>
    <row r="149" spans="1:2" x14ac:dyDescent="0.25">
      <c r="A149" t="s">
        <v>3969</v>
      </c>
      <c r="B149" t="s">
        <v>3970</v>
      </c>
    </row>
    <row r="150" spans="1:2" x14ac:dyDescent="0.25">
      <c r="A150" t="s">
        <v>3969</v>
      </c>
      <c r="B150" t="s">
        <v>3970</v>
      </c>
    </row>
    <row r="151" spans="1:2" x14ac:dyDescent="0.25">
      <c r="A151" t="s">
        <v>3969</v>
      </c>
      <c r="B151" t="s">
        <v>3970</v>
      </c>
    </row>
    <row r="152" spans="1:2" x14ac:dyDescent="0.25">
      <c r="A152" t="s">
        <v>3971</v>
      </c>
      <c r="B152" t="s">
        <v>3972</v>
      </c>
    </row>
    <row r="153" spans="1:2" x14ac:dyDescent="0.25">
      <c r="A153" t="s">
        <v>3967</v>
      </c>
      <c r="B153" t="s">
        <v>3968</v>
      </c>
    </row>
    <row r="154" spans="1:2" x14ac:dyDescent="0.25">
      <c r="A154" t="s">
        <v>3967</v>
      </c>
      <c r="B154" t="s">
        <v>3968</v>
      </c>
    </row>
    <row r="155" spans="1:2" x14ac:dyDescent="0.25">
      <c r="A155" t="s">
        <v>3971</v>
      </c>
      <c r="B155" t="s">
        <v>3972</v>
      </c>
    </row>
    <row r="156" spans="1:2" x14ac:dyDescent="0.25">
      <c r="A156" t="s">
        <v>3973</v>
      </c>
      <c r="B156" t="s">
        <v>3974</v>
      </c>
    </row>
    <row r="157" spans="1:2" x14ac:dyDescent="0.25">
      <c r="A157" t="s">
        <v>3967</v>
      </c>
      <c r="B157" t="s">
        <v>3968</v>
      </c>
    </row>
    <row r="158" spans="1:2" x14ac:dyDescent="0.25">
      <c r="A158" t="s">
        <v>3967</v>
      </c>
      <c r="B158" t="s">
        <v>3968</v>
      </c>
    </row>
    <row r="159" spans="1:2" x14ac:dyDescent="0.25">
      <c r="A159" t="s">
        <v>3971</v>
      </c>
      <c r="B159" t="s">
        <v>3972</v>
      </c>
    </row>
    <row r="160" spans="1:2" x14ac:dyDescent="0.25">
      <c r="A160" t="s">
        <v>3973</v>
      </c>
      <c r="B160" t="s">
        <v>3974</v>
      </c>
    </row>
    <row r="161" spans="1:2" x14ac:dyDescent="0.25">
      <c r="A161" t="s">
        <v>3973</v>
      </c>
      <c r="B161" t="s">
        <v>3974</v>
      </c>
    </row>
    <row r="162" spans="1:2" x14ac:dyDescent="0.25">
      <c r="A162" t="s">
        <v>3969</v>
      </c>
      <c r="B162" t="s">
        <v>3970</v>
      </c>
    </row>
    <row r="163" spans="1:2" x14ac:dyDescent="0.25">
      <c r="A163" t="s">
        <v>3971</v>
      </c>
      <c r="B163" t="s">
        <v>3972</v>
      </c>
    </row>
    <row r="164" spans="1:2" x14ac:dyDescent="0.25">
      <c r="A164" t="s">
        <v>3967</v>
      </c>
      <c r="B164" t="s">
        <v>3968</v>
      </c>
    </row>
    <row r="165" spans="1:2" x14ac:dyDescent="0.25">
      <c r="A165" t="s">
        <v>3973</v>
      </c>
      <c r="B165" t="s">
        <v>3974</v>
      </c>
    </row>
    <row r="166" spans="1:2" x14ac:dyDescent="0.25">
      <c r="A166" t="s">
        <v>3973</v>
      </c>
      <c r="B166" t="s">
        <v>3974</v>
      </c>
    </row>
    <row r="167" spans="1:2" x14ac:dyDescent="0.25">
      <c r="A167" t="s">
        <v>3969</v>
      </c>
      <c r="B167" t="s">
        <v>3970</v>
      </c>
    </row>
    <row r="168" spans="1:2" x14ac:dyDescent="0.25">
      <c r="A168" t="s">
        <v>3969</v>
      </c>
      <c r="B168" t="s">
        <v>3970</v>
      </c>
    </row>
    <row r="169" spans="1:2" x14ac:dyDescent="0.25">
      <c r="A169" t="s">
        <v>3969</v>
      </c>
      <c r="B169" t="s">
        <v>3970</v>
      </c>
    </row>
    <row r="170" spans="1:2" x14ac:dyDescent="0.25">
      <c r="A170" t="s">
        <v>3971</v>
      </c>
      <c r="B170" t="s">
        <v>3972</v>
      </c>
    </row>
    <row r="171" spans="1:2" x14ac:dyDescent="0.25">
      <c r="A171" t="s">
        <v>3967</v>
      </c>
      <c r="B171" t="s">
        <v>3968</v>
      </c>
    </row>
    <row r="172" spans="1:2" x14ac:dyDescent="0.25">
      <c r="A172" t="s">
        <v>3973</v>
      </c>
      <c r="B172" t="s">
        <v>3974</v>
      </c>
    </row>
    <row r="173" spans="1:2" x14ac:dyDescent="0.25">
      <c r="A173" t="s">
        <v>3971</v>
      </c>
      <c r="B173" t="s">
        <v>3972</v>
      </c>
    </row>
    <row r="174" spans="1:2" x14ac:dyDescent="0.25">
      <c r="A174" t="s">
        <v>3971</v>
      </c>
      <c r="B174" t="s">
        <v>3972</v>
      </c>
    </row>
    <row r="175" spans="1:2" x14ac:dyDescent="0.25">
      <c r="A175" t="s">
        <v>3971</v>
      </c>
      <c r="B175" t="s">
        <v>3972</v>
      </c>
    </row>
    <row r="176" spans="1:2" x14ac:dyDescent="0.25">
      <c r="A176" t="s">
        <v>3971</v>
      </c>
      <c r="B176" t="s">
        <v>3972</v>
      </c>
    </row>
    <row r="177" spans="1:2" x14ac:dyDescent="0.25">
      <c r="A177" t="s">
        <v>3969</v>
      </c>
      <c r="B177" t="s">
        <v>3970</v>
      </c>
    </row>
    <row r="178" spans="1:2" x14ac:dyDescent="0.25">
      <c r="A178" t="s">
        <v>3973</v>
      </c>
      <c r="B178" t="s">
        <v>3974</v>
      </c>
    </row>
    <row r="179" spans="1:2" x14ac:dyDescent="0.25">
      <c r="A179" t="s">
        <v>3967</v>
      </c>
      <c r="B179" t="s">
        <v>3968</v>
      </c>
    </row>
    <row r="180" spans="1:2" x14ac:dyDescent="0.25">
      <c r="A180" t="s">
        <v>3967</v>
      </c>
      <c r="B180" t="s">
        <v>3968</v>
      </c>
    </row>
    <row r="181" spans="1:2" x14ac:dyDescent="0.25">
      <c r="A181" t="s">
        <v>3969</v>
      </c>
      <c r="B181" t="s">
        <v>3970</v>
      </c>
    </row>
    <row r="182" spans="1:2" x14ac:dyDescent="0.25">
      <c r="A182" t="s">
        <v>3973</v>
      </c>
      <c r="B182" t="s">
        <v>3974</v>
      </c>
    </row>
    <row r="183" spans="1:2" x14ac:dyDescent="0.25">
      <c r="A183" t="s">
        <v>3967</v>
      </c>
      <c r="B183" t="s">
        <v>3968</v>
      </c>
    </row>
    <row r="184" spans="1:2" x14ac:dyDescent="0.25">
      <c r="A184" t="s">
        <v>3967</v>
      </c>
      <c r="B184" t="s">
        <v>3968</v>
      </c>
    </row>
    <row r="185" spans="1:2" x14ac:dyDescent="0.25">
      <c r="A185" t="s">
        <v>3973</v>
      </c>
      <c r="B185" t="s">
        <v>3974</v>
      </c>
    </row>
    <row r="186" spans="1:2" x14ac:dyDescent="0.25">
      <c r="A186" t="s">
        <v>3967</v>
      </c>
      <c r="B186" t="s">
        <v>3968</v>
      </c>
    </row>
    <row r="187" spans="1:2" x14ac:dyDescent="0.25">
      <c r="A187" t="s">
        <v>3969</v>
      </c>
      <c r="B187" t="s">
        <v>3970</v>
      </c>
    </row>
    <row r="188" spans="1:2" x14ac:dyDescent="0.25">
      <c r="A188" t="s">
        <v>3973</v>
      </c>
      <c r="B188" t="s">
        <v>3974</v>
      </c>
    </row>
    <row r="189" spans="1:2" x14ac:dyDescent="0.25">
      <c r="A189" t="s">
        <v>3971</v>
      </c>
      <c r="B189" t="s">
        <v>3972</v>
      </c>
    </row>
    <row r="190" spans="1:2" x14ac:dyDescent="0.25">
      <c r="A190" t="s">
        <v>3969</v>
      </c>
      <c r="B190" t="s">
        <v>3970</v>
      </c>
    </row>
    <row r="191" spans="1:2" x14ac:dyDescent="0.25">
      <c r="A191" t="s">
        <v>3973</v>
      </c>
      <c r="B191" t="s">
        <v>3974</v>
      </c>
    </row>
    <row r="192" spans="1:2" x14ac:dyDescent="0.25">
      <c r="A192" t="s">
        <v>3967</v>
      </c>
      <c r="B192" t="s">
        <v>3968</v>
      </c>
    </row>
    <row r="193" spans="1:2" x14ac:dyDescent="0.25">
      <c r="A193" t="s">
        <v>3973</v>
      </c>
      <c r="B193" t="s">
        <v>3974</v>
      </c>
    </row>
    <row r="194" spans="1:2" x14ac:dyDescent="0.25">
      <c r="A194" t="s">
        <v>3969</v>
      </c>
      <c r="B194" t="s">
        <v>3970</v>
      </c>
    </row>
    <row r="195" spans="1:2" x14ac:dyDescent="0.25">
      <c r="A195" t="s">
        <v>3973</v>
      </c>
      <c r="B195" t="s">
        <v>3974</v>
      </c>
    </row>
    <row r="196" spans="1:2" x14ac:dyDescent="0.25">
      <c r="A196" t="s">
        <v>3969</v>
      </c>
      <c r="B196" t="s">
        <v>3970</v>
      </c>
    </row>
    <row r="197" spans="1:2" x14ac:dyDescent="0.25">
      <c r="A197" t="s">
        <v>3973</v>
      </c>
      <c r="B197" t="s">
        <v>3974</v>
      </c>
    </row>
    <row r="198" spans="1:2" x14ac:dyDescent="0.25">
      <c r="A198" t="s">
        <v>3971</v>
      </c>
      <c r="B198" t="s">
        <v>3972</v>
      </c>
    </row>
    <row r="199" spans="1:2" x14ac:dyDescent="0.25">
      <c r="A199" t="s">
        <v>3967</v>
      </c>
      <c r="B199" t="s">
        <v>3968</v>
      </c>
    </row>
    <row r="200" spans="1:2" x14ac:dyDescent="0.25">
      <c r="A200" t="s">
        <v>3971</v>
      </c>
      <c r="B200" t="s">
        <v>3972</v>
      </c>
    </row>
    <row r="201" spans="1:2" x14ac:dyDescent="0.25">
      <c r="A201" t="s">
        <v>3973</v>
      </c>
      <c r="B201" t="s">
        <v>3974</v>
      </c>
    </row>
    <row r="202" spans="1:2" x14ac:dyDescent="0.25">
      <c r="A202" t="s">
        <v>3967</v>
      </c>
      <c r="B202" t="s">
        <v>3968</v>
      </c>
    </row>
    <row r="203" spans="1:2" x14ac:dyDescent="0.25">
      <c r="A203" t="s">
        <v>3967</v>
      </c>
      <c r="B203" t="s">
        <v>3968</v>
      </c>
    </row>
    <row r="204" spans="1:2" x14ac:dyDescent="0.25">
      <c r="A204" t="s">
        <v>3971</v>
      </c>
      <c r="B204" t="s">
        <v>3972</v>
      </c>
    </row>
    <row r="205" spans="1:2" x14ac:dyDescent="0.25">
      <c r="A205" t="s">
        <v>3973</v>
      </c>
      <c r="B205" t="s">
        <v>3974</v>
      </c>
    </row>
    <row r="206" spans="1:2" x14ac:dyDescent="0.25">
      <c r="A206" t="s">
        <v>3973</v>
      </c>
      <c r="B206" t="s">
        <v>3974</v>
      </c>
    </row>
    <row r="207" spans="1:2" x14ac:dyDescent="0.25">
      <c r="A207" t="s">
        <v>3971</v>
      </c>
      <c r="B207" t="s">
        <v>3972</v>
      </c>
    </row>
    <row r="208" spans="1:2" x14ac:dyDescent="0.25">
      <c r="A208" t="s">
        <v>3967</v>
      </c>
      <c r="B208" t="s">
        <v>3968</v>
      </c>
    </row>
    <row r="209" spans="1:2" x14ac:dyDescent="0.25">
      <c r="A209" t="s">
        <v>3969</v>
      </c>
      <c r="B209" t="s">
        <v>3970</v>
      </c>
    </row>
    <row r="210" spans="1:2" x14ac:dyDescent="0.25">
      <c r="A210" t="s">
        <v>3971</v>
      </c>
      <c r="B210" t="s">
        <v>3972</v>
      </c>
    </row>
    <row r="211" spans="1:2" x14ac:dyDescent="0.25">
      <c r="A211" t="s">
        <v>3967</v>
      </c>
      <c r="B211" t="s">
        <v>3968</v>
      </c>
    </row>
    <row r="212" spans="1:2" x14ac:dyDescent="0.25">
      <c r="A212" t="s">
        <v>3969</v>
      </c>
      <c r="B212" t="s">
        <v>3970</v>
      </c>
    </row>
    <row r="213" spans="1:2" x14ac:dyDescent="0.25">
      <c r="A213" t="s">
        <v>3971</v>
      </c>
      <c r="B213" t="s">
        <v>3972</v>
      </c>
    </row>
    <row r="214" spans="1:2" x14ac:dyDescent="0.25">
      <c r="A214" t="s">
        <v>3969</v>
      </c>
      <c r="B214" t="s">
        <v>3970</v>
      </c>
    </row>
    <row r="215" spans="1:2" x14ac:dyDescent="0.25">
      <c r="A215" t="s">
        <v>3969</v>
      </c>
      <c r="B215" t="s">
        <v>3970</v>
      </c>
    </row>
    <row r="216" spans="1:2" x14ac:dyDescent="0.25">
      <c r="A216" t="s">
        <v>3967</v>
      </c>
      <c r="B216" t="s">
        <v>3968</v>
      </c>
    </row>
    <row r="217" spans="1:2" x14ac:dyDescent="0.25">
      <c r="A217" t="s">
        <v>3971</v>
      </c>
      <c r="B217" t="s">
        <v>3972</v>
      </c>
    </row>
    <row r="218" spans="1:2" x14ac:dyDescent="0.25">
      <c r="A218" t="s">
        <v>3973</v>
      </c>
      <c r="B218" t="s">
        <v>3974</v>
      </c>
    </row>
    <row r="219" spans="1:2" x14ac:dyDescent="0.25">
      <c r="A219" t="s">
        <v>3973</v>
      </c>
      <c r="B219" t="s">
        <v>3974</v>
      </c>
    </row>
    <row r="220" spans="1:2" x14ac:dyDescent="0.25">
      <c r="A220" t="s">
        <v>3967</v>
      </c>
      <c r="B220" t="s">
        <v>3968</v>
      </c>
    </row>
    <row r="221" spans="1:2" x14ac:dyDescent="0.25">
      <c r="A221" t="s">
        <v>3967</v>
      </c>
      <c r="B221" t="s">
        <v>3968</v>
      </c>
    </row>
    <row r="222" spans="1:2" x14ac:dyDescent="0.25">
      <c r="A222" t="s">
        <v>3971</v>
      </c>
      <c r="B222" t="s">
        <v>3972</v>
      </c>
    </row>
    <row r="223" spans="1:2" x14ac:dyDescent="0.25">
      <c r="A223" t="s">
        <v>3973</v>
      </c>
      <c r="B223" t="s">
        <v>3974</v>
      </c>
    </row>
    <row r="224" spans="1:2" x14ac:dyDescent="0.25">
      <c r="A224" t="s">
        <v>3971</v>
      </c>
      <c r="B224" t="s">
        <v>3972</v>
      </c>
    </row>
    <row r="225" spans="1:2" x14ac:dyDescent="0.25">
      <c r="A225" t="s">
        <v>3971</v>
      </c>
      <c r="B225" t="s">
        <v>3972</v>
      </c>
    </row>
    <row r="226" spans="1:2" x14ac:dyDescent="0.25">
      <c r="A226" t="s">
        <v>3967</v>
      </c>
      <c r="B226" t="s">
        <v>3968</v>
      </c>
    </row>
    <row r="227" spans="1:2" x14ac:dyDescent="0.25">
      <c r="A227" t="s">
        <v>3971</v>
      </c>
      <c r="B227" t="s">
        <v>3972</v>
      </c>
    </row>
    <row r="228" spans="1:2" x14ac:dyDescent="0.25">
      <c r="A228" t="s">
        <v>3973</v>
      </c>
      <c r="B228" t="s">
        <v>3974</v>
      </c>
    </row>
    <row r="229" spans="1:2" x14ac:dyDescent="0.25">
      <c r="A229" t="s">
        <v>3973</v>
      </c>
      <c r="B229" t="s">
        <v>3974</v>
      </c>
    </row>
    <row r="230" spans="1:2" x14ac:dyDescent="0.25">
      <c r="A230" t="s">
        <v>3967</v>
      </c>
      <c r="B230" t="s">
        <v>3968</v>
      </c>
    </row>
    <row r="231" spans="1:2" x14ac:dyDescent="0.25">
      <c r="A231" t="s">
        <v>3971</v>
      </c>
      <c r="B231" t="s">
        <v>3972</v>
      </c>
    </row>
    <row r="232" spans="1:2" x14ac:dyDescent="0.25">
      <c r="A232" t="s">
        <v>3967</v>
      </c>
      <c r="B232" t="s">
        <v>3968</v>
      </c>
    </row>
    <row r="233" spans="1:2" x14ac:dyDescent="0.25">
      <c r="A233" t="s">
        <v>3973</v>
      </c>
      <c r="B233" t="s">
        <v>3974</v>
      </c>
    </row>
    <row r="234" spans="1:2" x14ac:dyDescent="0.25">
      <c r="A234" t="s">
        <v>3969</v>
      </c>
      <c r="B234" t="s">
        <v>3970</v>
      </c>
    </row>
    <row r="235" spans="1:2" x14ac:dyDescent="0.25">
      <c r="A235" t="s">
        <v>3973</v>
      </c>
      <c r="B235" t="s">
        <v>3974</v>
      </c>
    </row>
    <row r="236" spans="1:2" x14ac:dyDescent="0.25">
      <c r="A236" t="s">
        <v>3971</v>
      </c>
      <c r="B236" t="s">
        <v>3972</v>
      </c>
    </row>
    <row r="237" spans="1:2" x14ac:dyDescent="0.25">
      <c r="A237" t="s">
        <v>3973</v>
      </c>
      <c r="B237" t="s">
        <v>3974</v>
      </c>
    </row>
    <row r="238" spans="1:2" x14ac:dyDescent="0.25">
      <c r="A238" t="s">
        <v>3967</v>
      </c>
      <c r="B238" t="s">
        <v>3968</v>
      </c>
    </row>
    <row r="239" spans="1:2" x14ac:dyDescent="0.25">
      <c r="A239" t="s">
        <v>3969</v>
      </c>
      <c r="B239" t="s">
        <v>3970</v>
      </c>
    </row>
    <row r="240" spans="1:2" x14ac:dyDescent="0.25">
      <c r="A240" t="s">
        <v>3971</v>
      </c>
      <c r="B240" t="s">
        <v>3972</v>
      </c>
    </row>
    <row r="241" spans="1:2" x14ac:dyDescent="0.25">
      <c r="A241" t="s">
        <v>3967</v>
      </c>
      <c r="B241" t="s">
        <v>3968</v>
      </c>
    </row>
    <row r="242" spans="1:2" x14ac:dyDescent="0.25">
      <c r="A242" t="s">
        <v>3967</v>
      </c>
      <c r="B242" t="s">
        <v>3968</v>
      </c>
    </row>
    <row r="243" spans="1:2" x14ac:dyDescent="0.25">
      <c r="A243" t="s">
        <v>3973</v>
      </c>
      <c r="B243" t="s">
        <v>3974</v>
      </c>
    </row>
    <row r="244" spans="1:2" x14ac:dyDescent="0.25">
      <c r="A244" t="s">
        <v>3969</v>
      </c>
      <c r="B244" t="s">
        <v>3970</v>
      </c>
    </row>
    <row r="245" spans="1:2" x14ac:dyDescent="0.25">
      <c r="A245" t="s">
        <v>3973</v>
      </c>
      <c r="B245" t="s">
        <v>3974</v>
      </c>
    </row>
    <row r="246" spans="1:2" x14ac:dyDescent="0.25">
      <c r="A246" t="s">
        <v>3967</v>
      </c>
      <c r="B246" t="s">
        <v>3968</v>
      </c>
    </row>
    <row r="247" spans="1:2" x14ac:dyDescent="0.25">
      <c r="A247" t="s">
        <v>3967</v>
      </c>
      <c r="B247" t="s">
        <v>3968</v>
      </c>
    </row>
    <row r="248" spans="1:2" x14ac:dyDescent="0.25">
      <c r="A248" t="s">
        <v>3969</v>
      </c>
      <c r="B248" t="s">
        <v>3970</v>
      </c>
    </row>
    <row r="249" spans="1:2" x14ac:dyDescent="0.25">
      <c r="A249" t="s">
        <v>3967</v>
      </c>
      <c r="B249" t="s">
        <v>3968</v>
      </c>
    </row>
    <row r="250" spans="1:2" x14ac:dyDescent="0.25">
      <c r="A250" t="s">
        <v>3969</v>
      </c>
      <c r="B250" t="s">
        <v>3970</v>
      </c>
    </row>
    <row r="251" spans="1:2" x14ac:dyDescent="0.25">
      <c r="A251" t="s">
        <v>3971</v>
      </c>
      <c r="B251" t="s">
        <v>3972</v>
      </c>
    </row>
    <row r="252" spans="1:2" x14ac:dyDescent="0.25">
      <c r="A252" t="s">
        <v>3973</v>
      </c>
      <c r="B252" t="s">
        <v>3974</v>
      </c>
    </row>
    <row r="253" spans="1:2" x14ac:dyDescent="0.25">
      <c r="A253" t="s">
        <v>3971</v>
      </c>
      <c r="B253" t="s">
        <v>3972</v>
      </c>
    </row>
    <row r="254" spans="1:2" x14ac:dyDescent="0.25">
      <c r="A254" t="s">
        <v>3969</v>
      </c>
      <c r="B254" t="s">
        <v>3970</v>
      </c>
    </row>
    <row r="255" spans="1:2" x14ac:dyDescent="0.25">
      <c r="A255" t="s">
        <v>3973</v>
      </c>
      <c r="B255" t="s">
        <v>3974</v>
      </c>
    </row>
    <row r="256" spans="1:2" x14ac:dyDescent="0.25">
      <c r="A256" t="s">
        <v>3973</v>
      </c>
      <c r="B256" t="s">
        <v>3974</v>
      </c>
    </row>
    <row r="257" spans="1:2" x14ac:dyDescent="0.25">
      <c r="A257" t="s">
        <v>3967</v>
      </c>
      <c r="B257" t="s">
        <v>3968</v>
      </c>
    </row>
    <row r="258" spans="1:2" x14ac:dyDescent="0.25">
      <c r="A258" t="s">
        <v>3971</v>
      </c>
      <c r="B258" t="s">
        <v>3972</v>
      </c>
    </row>
    <row r="259" spans="1:2" x14ac:dyDescent="0.25">
      <c r="A259" t="s">
        <v>3967</v>
      </c>
      <c r="B259" t="s">
        <v>3968</v>
      </c>
    </row>
    <row r="260" spans="1:2" x14ac:dyDescent="0.25">
      <c r="A260" t="s">
        <v>3973</v>
      </c>
      <c r="B260" t="s">
        <v>3974</v>
      </c>
    </row>
    <row r="261" spans="1:2" x14ac:dyDescent="0.25">
      <c r="A261" t="s">
        <v>3973</v>
      </c>
      <c r="B261" t="s">
        <v>3974</v>
      </c>
    </row>
    <row r="262" spans="1:2" x14ac:dyDescent="0.25">
      <c r="A262" t="s">
        <v>3971</v>
      </c>
      <c r="B262" t="s">
        <v>3972</v>
      </c>
    </row>
    <row r="263" spans="1:2" x14ac:dyDescent="0.25">
      <c r="A263" t="s">
        <v>3967</v>
      </c>
      <c r="B263" t="s">
        <v>3968</v>
      </c>
    </row>
    <row r="264" spans="1:2" x14ac:dyDescent="0.25">
      <c r="A264" t="s">
        <v>3973</v>
      </c>
      <c r="B264" t="s">
        <v>3974</v>
      </c>
    </row>
    <row r="265" spans="1:2" x14ac:dyDescent="0.25">
      <c r="A265" t="s">
        <v>3971</v>
      </c>
      <c r="B265" t="s">
        <v>3972</v>
      </c>
    </row>
    <row r="266" spans="1:2" x14ac:dyDescent="0.25">
      <c r="A266" t="s">
        <v>3967</v>
      </c>
      <c r="B266" t="s">
        <v>3968</v>
      </c>
    </row>
    <row r="267" spans="1:2" x14ac:dyDescent="0.25">
      <c r="A267" t="s">
        <v>3969</v>
      </c>
      <c r="B267" t="s">
        <v>3970</v>
      </c>
    </row>
    <row r="268" spans="1:2" x14ac:dyDescent="0.25">
      <c r="A268" t="s">
        <v>3973</v>
      </c>
      <c r="B268" t="s">
        <v>3974</v>
      </c>
    </row>
    <row r="269" spans="1:2" x14ac:dyDescent="0.25">
      <c r="A269" t="s">
        <v>3967</v>
      </c>
      <c r="B269" t="s">
        <v>3968</v>
      </c>
    </row>
    <row r="270" spans="1:2" x14ac:dyDescent="0.25">
      <c r="A270" t="s">
        <v>3971</v>
      </c>
      <c r="B270" t="s">
        <v>3972</v>
      </c>
    </row>
    <row r="271" spans="1:2" x14ac:dyDescent="0.25">
      <c r="A271" t="s">
        <v>3967</v>
      </c>
      <c r="B271" t="s">
        <v>3968</v>
      </c>
    </row>
    <row r="272" spans="1:2" x14ac:dyDescent="0.25">
      <c r="A272" t="s">
        <v>3971</v>
      </c>
      <c r="B272" t="s">
        <v>3972</v>
      </c>
    </row>
    <row r="273" spans="1:2" x14ac:dyDescent="0.25">
      <c r="A273" t="s">
        <v>3973</v>
      </c>
      <c r="B273" t="s">
        <v>3974</v>
      </c>
    </row>
    <row r="274" spans="1:2" x14ac:dyDescent="0.25">
      <c r="A274" t="s">
        <v>3971</v>
      </c>
      <c r="B274" t="s">
        <v>3972</v>
      </c>
    </row>
    <row r="275" spans="1:2" x14ac:dyDescent="0.25">
      <c r="A275" t="s">
        <v>3969</v>
      </c>
      <c r="B275" t="s">
        <v>3970</v>
      </c>
    </row>
    <row r="276" spans="1:2" x14ac:dyDescent="0.25">
      <c r="A276" t="s">
        <v>3971</v>
      </c>
      <c r="B276" t="s">
        <v>3972</v>
      </c>
    </row>
    <row r="277" spans="1:2" x14ac:dyDescent="0.25">
      <c r="A277" t="s">
        <v>3973</v>
      </c>
      <c r="B277" t="s">
        <v>3974</v>
      </c>
    </row>
    <row r="278" spans="1:2" x14ac:dyDescent="0.25">
      <c r="A278" t="s">
        <v>3973</v>
      </c>
      <c r="B278" t="s">
        <v>3974</v>
      </c>
    </row>
    <row r="279" spans="1:2" x14ac:dyDescent="0.25">
      <c r="A279" t="s">
        <v>3969</v>
      </c>
      <c r="B279" t="s">
        <v>3970</v>
      </c>
    </row>
    <row r="280" spans="1:2" x14ac:dyDescent="0.25">
      <c r="A280" t="s">
        <v>3971</v>
      </c>
      <c r="B280" t="s">
        <v>3972</v>
      </c>
    </row>
    <row r="281" spans="1:2" x14ac:dyDescent="0.25">
      <c r="A281" t="s">
        <v>3969</v>
      </c>
      <c r="B281" t="s">
        <v>3970</v>
      </c>
    </row>
    <row r="282" spans="1:2" x14ac:dyDescent="0.25">
      <c r="A282" t="s">
        <v>3969</v>
      </c>
      <c r="B282" t="s">
        <v>3970</v>
      </c>
    </row>
    <row r="283" spans="1:2" x14ac:dyDescent="0.25">
      <c r="A283" t="s">
        <v>3969</v>
      </c>
      <c r="B283" t="s">
        <v>3970</v>
      </c>
    </row>
    <row r="284" spans="1:2" x14ac:dyDescent="0.25">
      <c r="A284" t="s">
        <v>3971</v>
      </c>
      <c r="B284" t="s">
        <v>3972</v>
      </c>
    </row>
    <row r="285" spans="1:2" x14ac:dyDescent="0.25">
      <c r="A285" t="s">
        <v>3973</v>
      </c>
      <c r="B285" t="s">
        <v>3974</v>
      </c>
    </row>
    <row r="286" spans="1:2" x14ac:dyDescent="0.25">
      <c r="A286" t="s">
        <v>3969</v>
      </c>
      <c r="B286" t="s">
        <v>3970</v>
      </c>
    </row>
    <row r="287" spans="1:2" x14ac:dyDescent="0.25">
      <c r="A287" t="s">
        <v>3973</v>
      </c>
      <c r="B287" t="s">
        <v>3974</v>
      </c>
    </row>
    <row r="288" spans="1:2" x14ac:dyDescent="0.25">
      <c r="A288" t="s">
        <v>3969</v>
      </c>
      <c r="B288" t="s">
        <v>3970</v>
      </c>
    </row>
    <row r="289" spans="1:2" x14ac:dyDescent="0.25">
      <c r="A289" t="s">
        <v>3967</v>
      </c>
      <c r="B289" t="s">
        <v>3968</v>
      </c>
    </row>
    <row r="290" spans="1:2" x14ac:dyDescent="0.25">
      <c r="A290" t="s">
        <v>3973</v>
      </c>
      <c r="B290" t="s">
        <v>3974</v>
      </c>
    </row>
    <row r="291" spans="1:2" x14ac:dyDescent="0.25">
      <c r="A291" t="s">
        <v>3971</v>
      </c>
      <c r="B291" t="s">
        <v>3972</v>
      </c>
    </row>
    <row r="292" spans="1:2" x14ac:dyDescent="0.25">
      <c r="A292" t="s">
        <v>3967</v>
      </c>
      <c r="B292" t="s">
        <v>3968</v>
      </c>
    </row>
    <row r="293" spans="1:2" x14ac:dyDescent="0.25">
      <c r="A293" t="s">
        <v>3969</v>
      </c>
      <c r="B293" t="s">
        <v>3970</v>
      </c>
    </row>
    <row r="294" spans="1:2" x14ac:dyDescent="0.25">
      <c r="A294" t="s">
        <v>3973</v>
      </c>
      <c r="B294" t="s">
        <v>3974</v>
      </c>
    </row>
    <row r="295" spans="1:2" x14ac:dyDescent="0.25">
      <c r="A295" t="s">
        <v>3971</v>
      </c>
      <c r="B295" t="s">
        <v>3972</v>
      </c>
    </row>
    <row r="296" spans="1:2" x14ac:dyDescent="0.25">
      <c r="A296" t="s">
        <v>3967</v>
      </c>
      <c r="B296" t="s">
        <v>3968</v>
      </c>
    </row>
    <row r="297" spans="1:2" x14ac:dyDescent="0.25">
      <c r="A297" t="s">
        <v>3967</v>
      </c>
      <c r="B297" t="s">
        <v>3968</v>
      </c>
    </row>
    <row r="298" spans="1:2" x14ac:dyDescent="0.25">
      <c r="A298" t="s">
        <v>3969</v>
      </c>
      <c r="B298" t="s">
        <v>3970</v>
      </c>
    </row>
    <row r="299" spans="1:2" x14ac:dyDescent="0.25">
      <c r="A299" t="s">
        <v>3967</v>
      </c>
      <c r="B299" t="s">
        <v>3968</v>
      </c>
    </row>
    <row r="300" spans="1:2" x14ac:dyDescent="0.25">
      <c r="A300" t="s">
        <v>3973</v>
      </c>
      <c r="B300" t="s">
        <v>3974</v>
      </c>
    </row>
    <row r="301" spans="1:2" x14ac:dyDescent="0.25">
      <c r="A301" t="s">
        <v>3967</v>
      </c>
      <c r="B301" t="s">
        <v>3968</v>
      </c>
    </row>
    <row r="302" spans="1:2" x14ac:dyDescent="0.25">
      <c r="A302" t="s">
        <v>3973</v>
      </c>
      <c r="B302" t="s">
        <v>3974</v>
      </c>
    </row>
    <row r="303" spans="1:2" x14ac:dyDescent="0.25">
      <c r="A303" t="s">
        <v>3971</v>
      </c>
      <c r="B303" t="s">
        <v>3972</v>
      </c>
    </row>
    <row r="304" spans="1:2" x14ac:dyDescent="0.25">
      <c r="A304" t="s">
        <v>3969</v>
      </c>
      <c r="B304" t="s">
        <v>3970</v>
      </c>
    </row>
    <row r="305" spans="1:2" x14ac:dyDescent="0.25">
      <c r="A305" t="s">
        <v>3969</v>
      </c>
      <c r="B305" t="s">
        <v>3970</v>
      </c>
    </row>
    <row r="306" spans="1:2" x14ac:dyDescent="0.25">
      <c r="A306" t="s">
        <v>3967</v>
      </c>
      <c r="B306" t="s">
        <v>3968</v>
      </c>
    </row>
    <row r="307" spans="1:2" x14ac:dyDescent="0.25">
      <c r="A307" t="s">
        <v>3973</v>
      </c>
      <c r="B307" t="s">
        <v>3974</v>
      </c>
    </row>
    <row r="308" spans="1:2" x14ac:dyDescent="0.25">
      <c r="A308" t="s">
        <v>3969</v>
      </c>
      <c r="B308" t="s">
        <v>3970</v>
      </c>
    </row>
    <row r="309" spans="1:2" x14ac:dyDescent="0.25">
      <c r="A309" t="s">
        <v>3969</v>
      </c>
      <c r="B309" t="s">
        <v>3970</v>
      </c>
    </row>
    <row r="310" spans="1:2" x14ac:dyDescent="0.25">
      <c r="A310" t="s">
        <v>3969</v>
      </c>
      <c r="B310" t="s">
        <v>3970</v>
      </c>
    </row>
    <row r="311" spans="1:2" x14ac:dyDescent="0.25">
      <c r="A311" t="s">
        <v>3967</v>
      </c>
      <c r="B311" t="s">
        <v>3968</v>
      </c>
    </row>
    <row r="312" spans="1:2" x14ac:dyDescent="0.25">
      <c r="A312" t="s">
        <v>3969</v>
      </c>
      <c r="B312" t="s">
        <v>3970</v>
      </c>
    </row>
    <row r="313" spans="1:2" x14ac:dyDescent="0.25">
      <c r="A313" t="s">
        <v>3969</v>
      </c>
      <c r="B313" t="s">
        <v>3970</v>
      </c>
    </row>
    <row r="314" spans="1:2" x14ac:dyDescent="0.25">
      <c r="A314" t="s">
        <v>3969</v>
      </c>
      <c r="B314" t="s">
        <v>3970</v>
      </c>
    </row>
    <row r="315" spans="1:2" x14ac:dyDescent="0.25">
      <c r="A315" t="s">
        <v>3967</v>
      </c>
      <c r="B315" t="s">
        <v>3968</v>
      </c>
    </row>
    <row r="316" spans="1:2" x14ac:dyDescent="0.25">
      <c r="A316" t="s">
        <v>3969</v>
      </c>
      <c r="B316" t="s">
        <v>3970</v>
      </c>
    </row>
    <row r="317" spans="1:2" x14ac:dyDescent="0.25">
      <c r="A317" t="s">
        <v>3971</v>
      </c>
      <c r="B317" t="s">
        <v>3972</v>
      </c>
    </row>
    <row r="318" spans="1:2" x14ac:dyDescent="0.25">
      <c r="A318" t="s">
        <v>3973</v>
      </c>
      <c r="B318" t="s">
        <v>3974</v>
      </c>
    </row>
    <row r="319" spans="1:2" x14ac:dyDescent="0.25">
      <c r="A319" t="s">
        <v>3967</v>
      </c>
      <c r="B319" t="s">
        <v>3968</v>
      </c>
    </row>
    <row r="320" spans="1:2" x14ac:dyDescent="0.25">
      <c r="A320" t="s">
        <v>3967</v>
      </c>
      <c r="B320" t="s">
        <v>3968</v>
      </c>
    </row>
    <row r="321" spans="1:2" x14ac:dyDescent="0.25">
      <c r="A321" t="s">
        <v>3969</v>
      </c>
      <c r="B321" t="s">
        <v>3970</v>
      </c>
    </row>
    <row r="322" spans="1:2" x14ac:dyDescent="0.25">
      <c r="A322" t="s">
        <v>3967</v>
      </c>
      <c r="B322" t="s">
        <v>3968</v>
      </c>
    </row>
    <row r="323" spans="1:2" x14ac:dyDescent="0.25">
      <c r="A323" t="s">
        <v>3969</v>
      </c>
      <c r="B323" t="s">
        <v>3970</v>
      </c>
    </row>
    <row r="324" spans="1:2" x14ac:dyDescent="0.25">
      <c r="A324" t="s">
        <v>3971</v>
      </c>
      <c r="B324" t="s">
        <v>3972</v>
      </c>
    </row>
    <row r="325" spans="1:2" x14ac:dyDescent="0.25">
      <c r="A325" t="s">
        <v>3967</v>
      </c>
      <c r="B325" t="s">
        <v>3968</v>
      </c>
    </row>
    <row r="326" spans="1:2" x14ac:dyDescent="0.25">
      <c r="A326" t="s">
        <v>3973</v>
      </c>
      <c r="B326" t="s">
        <v>3974</v>
      </c>
    </row>
    <row r="327" spans="1:2" x14ac:dyDescent="0.25">
      <c r="A327" t="s">
        <v>3967</v>
      </c>
      <c r="B327" t="s">
        <v>3968</v>
      </c>
    </row>
    <row r="328" spans="1:2" x14ac:dyDescent="0.25">
      <c r="A328" t="s">
        <v>3971</v>
      </c>
      <c r="B328" t="s">
        <v>3972</v>
      </c>
    </row>
    <row r="329" spans="1:2" x14ac:dyDescent="0.25">
      <c r="A329" t="s">
        <v>3969</v>
      </c>
      <c r="B329" t="s">
        <v>3970</v>
      </c>
    </row>
    <row r="330" spans="1:2" x14ac:dyDescent="0.25">
      <c r="A330" t="s">
        <v>3973</v>
      </c>
      <c r="B330" t="s">
        <v>3974</v>
      </c>
    </row>
    <row r="331" spans="1:2" x14ac:dyDescent="0.25">
      <c r="A331" t="s">
        <v>3973</v>
      </c>
      <c r="B331" t="s">
        <v>3974</v>
      </c>
    </row>
    <row r="332" spans="1:2" x14ac:dyDescent="0.25">
      <c r="A332" t="s">
        <v>3971</v>
      </c>
      <c r="B332" t="s">
        <v>3972</v>
      </c>
    </row>
    <row r="333" spans="1:2" x14ac:dyDescent="0.25">
      <c r="A333" t="s">
        <v>3971</v>
      </c>
      <c r="B333" t="s">
        <v>3972</v>
      </c>
    </row>
    <row r="334" spans="1:2" x14ac:dyDescent="0.25">
      <c r="A334" t="s">
        <v>3973</v>
      </c>
      <c r="B334" t="s">
        <v>3974</v>
      </c>
    </row>
    <row r="335" spans="1:2" x14ac:dyDescent="0.25">
      <c r="A335" t="s">
        <v>3967</v>
      </c>
      <c r="B335" t="s">
        <v>3968</v>
      </c>
    </row>
    <row r="336" spans="1:2" x14ac:dyDescent="0.25">
      <c r="A336" t="s">
        <v>3969</v>
      </c>
      <c r="B336" t="s">
        <v>3970</v>
      </c>
    </row>
    <row r="337" spans="1:2" x14ac:dyDescent="0.25">
      <c r="A337" t="s">
        <v>3967</v>
      </c>
      <c r="B337" t="s">
        <v>3968</v>
      </c>
    </row>
    <row r="338" spans="1:2" x14ac:dyDescent="0.25">
      <c r="A338" t="s">
        <v>3971</v>
      </c>
      <c r="B338" t="s">
        <v>3972</v>
      </c>
    </row>
    <row r="339" spans="1:2" x14ac:dyDescent="0.25">
      <c r="A339" t="s">
        <v>3973</v>
      </c>
      <c r="B339" t="s">
        <v>3974</v>
      </c>
    </row>
    <row r="340" spans="1:2" x14ac:dyDescent="0.25">
      <c r="A340" t="s">
        <v>3971</v>
      </c>
      <c r="B340" t="s">
        <v>3972</v>
      </c>
    </row>
    <row r="341" spans="1:2" x14ac:dyDescent="0.25">
      <c r="A341" t="s">
        <v>3973</v>
      </c>
      <c r="B341" t="s">
        <v>3974</v>
      </c>
    </row>
    <row r="342" spans="1:2" x14ac:dyDescent="0.25">
      <c r="A342" t="s">
        <v>3969</v>
      </c>
      <c r="B342" t="s">
        <v>3970</v>
      </c>
    </row>
    <row r="343" spans="1:2" x14ac:dyDescent="0.25">
      <c r="A343" t="s">
        <v>3971</v>
      </c>
      <c r="B343" t="s">
        <v>3972</v>
      </c>
    </row>
    <row r="344" spans="1:2" x14ac:dyDescent="0.25">
      <c r="A344" t="s">
        <v>3969</v>
      </c>
      <c r="B344" t="s">
        <v>3970</v>
      </c>
    </row>
    <row r="345" spans="1:2" x14ac:dyDescent="0.25">
      <c r="A345" t="s">
        <v>3973</v>
      </c>
      <c r="B345" t="s">
        <v>3974</v>
      </c>
    </row>
    <row r="346" spans="1:2" x14ac:dyDescent="0.25">
      <c r="A346" t="s">
        <v>3973</v>
      </c>
      <c r="B346" t="s">
        <v>3974</v>
      </c>
    </row>
    <row r="347" spans="1:2" x14ac:dyDescent="0.25">
      <c r="A347" t="s">
        <v>3969</v>
      </c>
      <c r="B347" t="s">
        <v>3970</v>
      </c>
    </row>
    <row r="348" spans="1:2" x14ac:dyDescent="0.25">
      <c r="A348" t="s">
        <v>3973</v>
      </c>
      <c r="B348" t="s">
        <v>3974</v>
      </c>
    </row>
    <row r="349" spans="1:2" x14ac:dyDescent="0.25">
      <c r="A349" t="s">
        <v>3971</v>
      </c>
      <c r="B349" t="s">
        <v>3972</v>
      </c>
    </row>
    <row r="350" spans="1:2" x14ac:dyDescent="0.25">
      <c r="A350" t="s">
        <v>3969</v>
      </c>
      <c r="B350" t="s">
        <v>3970</v>
      </c>
    </row>
    <row r="351" spans="1:2" x14ac:dyDescent="0.25">
      <c r="A351" t="s">
        <v>3971</v>
      </c>
      <c r="B351" t="s">
        <v>3972</v>
      </c>
    </row>
    <row r="352" spans="1:2" x14ac:dyDescent="0.25">
      <c r="A352" t="s">
        <v>3969</v>
      </c>
      <c r="B352" t="s">
        <v>3970</v>
      </c>
    </row>
    <row r="353" spans="1:2" x14ac:dyDescent="0.25">
      <c r="A353" t="s">
        <v>3969</v>
      </c>
      <c r="B353" t="s">
        <v>3970</v>
      </c>
    </row>
    <row r="354" spans="1:2" x14ac:dyDescent="0.25">
      <c r="A354" t="s">
        <v>3971</v>
      </c>
      <c r="B354" t="s">
        <v>3972</v>
      </c>
    </row>
    <row r="355" spans="1:2" x14ac:dyDescent="0.25">
      <c r="A355" t="s">
        <v>3971</v>
      </c>
      <c r="B355" t="s">
        <v>3972</v>
      </c>
    </row>
    <row r="356" spans="1:2" x14ac:dyDescent="0.25">
      <c r="A356" t="s">
        <v>3969</v>
      </c>
      <c r="B356" t="s">
        <v>3970</v>
      </c>
    </row>
    <row r="357" spans="1:2" x14ac:dyDescent="0.25">
      <c r="A357" t="s">
        <v>3967</v>
      </c>
      <c r="B357" t="s">
        <v>3968</v>
      </c>
    </row>
    <row r="358" spans="1:2" x14ac:dyDescent="0.25">
      <c r="A358" t="s">
        <v>3969</v>
      </c>
      <c r="B358" t="s">
        <v>3970</v>
      </c>
    </row>
    <row r="359" spans="1:2" x14ac:dyDescent="0.25">
      <c r="A359" t="s">
        <v>3967</v>
      </c>
      <c r="B359" t="s">
        <v>3968</v>
      </c>
    </row>
    <row r="360" spans="1:2" x14ac:dyDescent="0.25">
      <c r="A360" t="s">
        <v>3973</v>
      </c>
      <c r="B360" t="s">
        <v>3974</v>
      </c>
    </row>
    <row r="361" spans="1:2" x14ac:dyDescent="0.25">
      <c r="A361" t="s">
        <v>3969</v>
      </c>
      <c r="B361" t="s">
        <v>3970</v>
      </c>
    </row>
    <row r="362" spans="1:2" x14ac:dyDescent="0.25">
      <c r="A362" t="s">
        <v>3971</v>
      </c>
      <c r="B362" t="s">
        <v>3972</v>
      </c>
    </row>
    <row r="363" spans="1:2" x14ac:dyDescent="0.25">
      <c r="A363" t="s">
        <v>3971</v>
      </c>
      <c r="B363" t="s">
        <v>3972</v>
      </c>
    </row>
    <row r="364" spans="1:2" x14ac:dyDescent="0.25">
      <c r="A364" t="s">
        <v>3969</v>
      </c>
      <c r="B364" t="s">
        <v>3970</v>
      </c>
    </row>
    <row r="365" spans="1:2" x14ac:dyDescent="0.25">
      <c r="A365" t="s">
        <v>3967</v>
      </c>
      <c r="B365" t="s">
        <v>3968</v>
      </c>
    </row>
    <row r="366" spans="1:2" x14ac:dyDescent="0.25">
      <c r="A366" t="s">
        <v>3971</v>
      </c>
      <c r="B366" t="s">
        <v>3972</v>
      </c>
    </row>
    <row r="367" spans="1:2" x14ac:dyDescent="0.25">
      <c r="A367" t="s">
        <v>3967</v>
      </c>
      <c r="B367" t="s">
        <v>3968</v>
      </c>
    </row>
    <row r="368" spans="1:2" x14ac:dyDescent="0.25">
      <c r="A368" t="s">
        <v>3971</v>
      </c>
      <c r="B368" t="s">
        <v>3972</v>
      </c>
    </row>
    <row r="369" spans="1:2" x14ac:dyDescent="0.25">
      <c r="A369" t="s">
        <v>3969</v>
      </c>
      <c r="B369" t="s">
        <v>3970</v>
      </c>
    </row>
    <row r="370" spans="1:2" x14ac:dyDescent="0.25">
      <c r="A370" t="s">
        <v>3971</v>
      </c>
      <c r="B370" t="s">
        <v>3972</v>
      </c>
    </row>
    <row r="371" spans="1:2" x14ac:dyDescent="0.25">
      <c r="A371" t="s">
        <v>3971</v>
      </c>
      <c r="B371" t="s">
        <v>3972</v>
      </c>
    </row>
    <row r="372" spans="1:2" x14ac:dyDescent="0.25">
      <c r="A372" t="s">
        <v>3973</v>
      </c>
      <c r="B372" t="s">
        <v>3974</v>
      </c>
    </row>
    <row r="373" spans="1:2" x14ac:dyDescent="0.25">
      <c r="A373" t="s">
        <v>3971</v>
      </c>
      <c r="B373" t="s">
        <v>3972</v>
      </c>
    </row>
    <row r="374" spans="1:2" x14ac:dyDescent="0.25">
      <c r="A374" t="s">
        <v>3971</v>
      </c>
      <c r="B374" t="s">
        <v>3972</v>
      </c>
    </row>
    <row r="375" spans="1:2" x14ac:dyDescent="0.25">
      <c r="A375" t="s">
        <v>3971</v>
      </c>
      <c r="B375" t="s">
        <v>3972</v>
      </c>
    </row>
    <row r="376" spans="1:2" x14ac:dyDescent="0.25">
      <c r="A376" t="s">
        <v>3971</v>
      </c>
      <c r="B376" t="s">
        <v>3972</v>
      </c>
    </row>
    <row r="377" spans="1:2" x14ac:dyDescent="0.25">
      <c r="A377" t="s">
        <v>3967</v>
      </c>
      <c r="B377" t="s">
        <v>3968</v>
      </c>
    </row>
    <row r="378" spans="1:2" x14ac:dyDescent="0.25">
      <c r="A378" t="s">
        <v>3973</v>
      </c>
      <c r="B378" t="s">
        <v>3974</v>
      </c>
    </row>
    <row r="379" spans="1:2" x14ac:dyDescent="0.25">
      <c r="A379" t="s">
        <v>3973</v>
      </c>
      <c r="B379" t="s">
        <v>3974</v>
      </c>
    </row>
    <row r="380" spans="1:2" x14ac:dyDescent="0.25">
      <c r="A380" t="s">
        <v>3967</v>
      </c>
      <c r="B380" t="s">
        <v>3968</v>
      </c>
    </row>
    <row r="381" spans="1:2" x14ac:dyDescent="0.25">
      <c r="A381" t="s">
        <v>3967</v>
      </c>
      <c r="B381" t="s">
        <v>3968</v>
      </c>
    </row>
    <row r="382" spans="1:2" x14ac:dyDescent="0.25">
      <c r="A382" t="s">
        <v>3973</v>
      </c>
      <c r="B382" t="s">
        <v>3974</v>
      </c>
    </row>
    <row r="383" spans="1:2" x14ac:dyDescent="0.25">
      <c r="A383" t="s">
        <v>3971</v>
      </c>
      <c r="B383" t="s">
        <v>3972</v>
      </c>
    </row>
    <row r="384" spans="1:2" x14ac:dyDescent="0.25">
      <c r="A384" t="s">
        <v>3973</v>
      </c>
      <c r="B384" t="s">
        <v>3974</v>
      </c>
    </row>
    <row r="385" spans="1:2" x14ac:dyDescent="0.25">
      <c r="A385" t="s">
        <v>3969</v>
      </c>
      <c r="B385" t="s">
        <v>3970</v>
      </c>
    </row>
    <row r="386" spans="1:2" x14ac:dyDescent="0.25">
      <c r="A386" t="s">
        <v>3971</v>
      </c>
      <c r="B386" t="s">
        <v>3972</v>
      </c>
    </row>
    <row r="387" spans="1:2" x14ac:dyDescent="0.25">
      <c r="A387" t="s">
        <v>3973</v>
      </c>
      <c r="B387" t="s">
        <v>3974</v>
      </c>
    </row>
    <row r="388" spans="1:2" x14ac:dyDescent="0.25">
      <c r="A388" t="s">
        <v>3969</v>
      </c>
      <c r="B388" t="s">
        <v>3970</v>
      </c>
    </row>
    <row r="389" spans="1:2" x14ac:dyDescent="0.25">
      <c r="A389" t="s">
        <v>3973</v>
      </c>
      <c r="B389" t="s">
        <v>3974</v>
      </c>
    </row>
    <row r="390" spans="1:2" x14ac:dyDescent="0.25">
      <c r="A390" t="s">
        <v>3969</v>
      </c>
      <c r="B390" t="s">
        <v>3970</v>
      </c>
    </row>
    <row r="391" spans="1:2" x14ac:dyDescent="0.25">
      <c r="A391" t="s">
        <v>3967</v>
      </c>
      <c r="B391" t="s">
        <v>3968</v>
      </c>
    </row>
    <row r="392" spans="1:2" x14ac:dyDescent="0.25">
      <c r="A392" t="s">
        <v>3967</v>
      </c>
      <c r="B392" t="s">
        <v>3968</v>
      </c>
    </row>
    <row r="393" spans="1:2" x14ac:dyDescent="0.25">
      <c r="A393" t="s">
        <v>3971</v>
      </c>
      <c r="B393" t="s">
        <v>3972</v>
      </c>
    </row>
    <row r="394" spans="1:2" x14ac:dyDescent="0.25">
      <c r="A394" t="s">
        <v>3971</v>
      </c>
      <c r="B394" t="s">
        <v>3972</v>
      </c>
    </row>
    <row r="395" spans="1:2" x14ac:dyDescent="0.25">
      <c r="A395" t="s">
        <v>3971</v>
      </c>
      <c r="B395" t="s">
        <v>3972</v>
      </c>
    </row>
    <row r="396" spans="1:2" x14ac:dyDescent="0.25">
      <c r="A396" t="s">
        <v>3973</v>
      </c>
      <c r="B396" t="s">
        <v>3974</v>
      </c>
    </row>
    <row r="397" spans="1:2" x14ac:dyDescent="0.25">
      <c r="A397" t="s">
        <v>3967</v>
      </c>
      <c r="B397" t="s">
        <v>3968</v>
      </c>
    </row>
    <row r="398" spans="1:2" x14ac:dyDescent="0.25">
      <c r="A398" t="s">
        <v>3971</v>
      </c>
      <c r="B398" t="s">
        <v>3972</v>
      </c>
    </row>
    <row r="399" spans="1:2" x14ac:dyDescent="0.25">
      <c r="A399" t="s">
        <v>3973</v>
      </c>
      <c r="B399" t="s">
        <v>3974</v>
      </c>
    </row>
    <row r="400" spans="1:2" x14ac:dyDescent="0.25">
      <c r="A400" t="s">
        <v>3967</v>
      </c>
      <c r="B400" t="s">
        <v>3968</v>
      </c>
    </row>
    <row r="401" spans="1:2" x14ac:dyDescent="0.25">
      <c r="A401" t="s">
        <v>3967</v>
      </c>
      <c r="B401" t="s">
        <v>3968</v>
      </c>
    </row>
    <row r="402" spans="1:2" x14ac:dyDescent="0.25">
      <c r="A402" t="s">
        <v>3967</v>
      </c>
      <c r="B402" t="s">
        <v>3968</v>
      </c>
    </row>
    <row r="403" spans="1:2" x14ac:dyDescent="0.25">
      <c r="A403" t="s">
        <v>3973</v>
      </c>
      <c r="B403" t="s">
        <v>3974</v>
      </c>
    </row>
    <row r="404" spans="1:2" x14ac:dyDescent="0.25">
      <c r="A404" t="s">
        <v>3967</v>
      </c>
      <c r="B404" t="s">
        <v>3968</v>
      </c>
    </row>
    <row r="405" spans="1:2" x14ac:dyDescent="0.25">
      <c r="A405" t="s">
        <v>3973</v>
      </c>
      <c r="B405" t="s">
        <v>3974</v>
      </c>
    </row>
    <row r="406" spans="1:2" x14ac:dyDescent="0.25">
      <c r="A406" t="s">
        <v>3969</v>
      </c>
      <c r="B406" t="s">
        <v>3970</v>
      </c>
    </row>
    <row r="407" spans="1:2" x14ac:dyDescent="0.25">
      <c r="A407" t="s">
        <v>3969</v>
      </c>
      <c r="B407" t="s">
        <v>3970</v>
      </c>
    </row>
    <row r="408" spans="1:2" x14ac:dyDescent="0.25">
      <c r="A408" t="s">
        <v>3971</v>
      </c>
      <c r="B408" t="s">
        <v>3972</v>
      </c>
    </row>
    <row r="409" spans="1:2" x14ac:dyDescent="0.25">
      <c r="A409" t="s">
        <v>3969</v>
      </c>
      <c r="B409" t="s">
        <v>3970</v>
      </c>
    </row>
    <row r="410" spans="1:2" x14ac:dyDescent="0.25">
      <c r="A410" t="s">
        <v>3967</v>
      </c>
      <c r="B410" t="s">
        <v>3968</v>
      </c>
    </row>
    <row r="411" spans="1:2" x14ac:dyDescent="0.25">
      <c r="A411" t="s">
        <v>3967</v>
      </c>
      <c r="B411" t="s">
        <v>3968</v>
      </c>
    </row>
    <row r="412" spans="1:2" x14ac:dyDescent="0.25">
      <c r="A412" t="s">
        <v>3973</v>
      </c>
      <c r="B412" t="s">
        <v>3974</v>
      </c>
    </row>
    <row r="413" spans="1:2" x14ac:dyDescent="0.25">
      <c r="A413" t="s">
        <v>3973</v>
      </c>
      <c r="B413" t="s">
        <v>3974</v>
      </c>
    </row>
    <row r="414" spans="1:2" x14ac:dyDescent="0.25">
      <c r="A414" t="s">
        <v>3973</v>
      </c>
      <c r="B414" t="s">
        <v>3974</v>
      </c>
    </row>
    <row r="415" spans="1:2" x14ac:dyDescent="0.25">
      <c r="A415" t="s">
        <v>3969</v>
      </c>
      <c r="B415" t="s">
        <v>3970</v>
      </c>
    </row>
    <row r="416" spans="1:2" x14ac:dyDescent="0.25">
      <c r="A416" t="s">
        <v>3967</v>
      </c>
      <c r="B416" t="s">
        <v>3968</v>
      </c>
    </row>
    <row r="417" spans="1:2" x14ac:dyDescent="0.25">
      <c r="A417" t="s">
        <v>3973</v>
      </c>
      <c r="B417" t="s">
        <v>3974</v>
      </c>
    </row>
    <row r="418" spans="1:2" x14ac:dyDescent="0.25">
      <c r="A418" t="s">
        <v>3971</v>
      </c>
      <c r="B418" t="s">
        <v>3972</v>
      </c>
    </row>
    <row r="419" spans="1:2" x14ac:dyDescent="0.25">
      <c r="A419" t="s">
        <v>3967</v>
      </c>
      <c r="B419" t="s">
        <v>3968</v>
      </c>
    </row>
    <row r="420" spans="1:2" x14ac:dyDescent="0.25">
      <c r="A420" t="s">
        <v>3967</v>
      </c>
      <c r="B420" t="s">
        <v>3968</v>
      </c>
    </row>
    <row r="421" spans="1:2" x14ac:dyDescent="0.25">
      <c r="A421" t="s">
        <v>3967</v>
      </c>
      <c r="B421" t="s">
        <v>3968</v>
      </c>
    </row>
    <row r="422" spans="1:2" x14ac:dyDescent="0.25">
      <c r="A422" t="s">
        <v>3967</v>
      </c>
      <c r="B422" t="s">
        <v>3968</v>
      </c>
    </row>
    <row r="423" spans="1:2" x14ac:dyDescent="0.25">
      <c r="A423" t="s">
        <v>3973</v>
      </c>
      <c r="B423" t="s">
        <v>3974</v>
      </c>
    </row>
    <row r="424" spans="1:2" x14ac:dyDescent="0.25">
      <c r="A424" t="s">
        <v>3967</v>
      </c>
      <c r="B424" t="s">
        <v>3968</v>
      </c>
    </row>
    <row r="425" spans="1:2" x14ac:dyDescent="0.25">
      <c r="A425" t="s">
        <v>3973</v>
      </c>
      <c r="B425" t="s">
        <v>3974</v>
      </c>
    </row>
    <row r="426" spans="1:2" x14ac:dyDescent="0.25">
      <c r="A426" t="s">
        <v>3969</v>
      </c>
      <c r="B426" t="s">
        <v>3970</v>
      </c>
    </row>
    <row r="427" spans="1:2" x14ac:dyDescent="0.25">
      <c r="A427" t="s">
        <v>3969</v>
      </c>
      <c r="B427" t="s">
        <v>3970</v>
      </c>
    </row>
    <row r="428" spans="1:2" x14ac:dyDescent="0.25">
      <c r="A428" t="s">
        <v>3969</v>
      </c>
      <c r="B428" t="s">
        <v>3970</v>
      </c>
    </row>
    <row r="429" spans="1:2" x14ac:dyDescent="0.25">
      <c r="A429" t="s">
        <v>3971</v>
      </c>
      <c r="B429" t="s">
        <v>3972</v>
      </c>
    </row>
    <row r="430" spans="1:2" x14ac:dyDescent="0.25">
      <c r="A430" t="s">
        <v>3973</v>
      </c>
      <c r="B430" t="s">
        <v>3974</v>
      </c>
    </row>
    <row r="431" spans="1:2" x14ac:dyDescent="0.25">
      <c r="A431" t="s">
        <v>3969</v>
      </c>
      <c r="B431" t="s">
        <v>3970</v>
      </c>
    </row>
    <row r="432" spans="1:2" x14ac:dyDescent="0.25">
      <c r="A432" t="s">
        <v>3971</v>
      </c>
      <c r="B432" t="s">
        <v>3972</v>
      </c>
    </row>
    <row r="433" spans="1:2" x14ac:dyDescent="0.25">
      <c r="A433" t="s">
        <v>3967</v>
      </c>
      <c r="B433" t="s">
        <v>3968</v>
      </c>
    </row>
    <row r="434" spans="1:2" x14ac:dyDescent="0.25">
      <c r="A434" t="s">
        <v>3971</v>
      </c>
      <c r="B434" t="s">
        <v>3972</v>
      </c>
    </row>
    <row r="435" spans="1:2" x14ac:dyDescent="0.25">
      <c r="A435" t="s">
        <v>3967</v>
      </c>
      <c r="B435" t="s">
        <v>3968</v>
      </c>
    </row>
    <row r="436" spans="1:2" x14ac:dyDescent="0.25">
      <c r="A436" t="s">
        <v>3967</v>
      </c>
      <c r="B436" t="s">
        <v>3968</v>
      </c>
    </row>
    <row r="437" spans="1:2" x14ac:dyDescent="0.25">
      <c r="A437" t="s">
        <v>3969</v>
      </c>
      <c r="B437" t="s">
        <v>3970</v>
      </c>
    </row>
    <row r="438" spans="1:2" x14ac:dyDescent="0.25">
      <c r="A438" t="s">
        <v>3967</v>
      </c>
      <c r="B438" t="s">
        <v>3968</v>
      </c>
    </row>
    <row r="439" spans="1:2" x14ac:dyDescent="0.25">
      <c r="A439" t="s">
        <v>3967</v>
      </c>
      <c r="B439" t="s">
        <v>3968</v>
      </c>
    </row>
    <row r="440" spans="1:2" x14ac:dyDescent="0.25">
      <c r="A440" t="s">
        <v>3971</v>
      </c>
      <c r="B440" t="s">
        <v>3972</v>
      </c>
    </row>
    <row r="441" spans="1:2" x14ac:dyDescent="0.25">
      <c r="A441" t="s">
        <v>3973</v>
      </c>
      <c r="B441" t="s">
        <v>3974</v>
      </c>
    </row>
    <row r="442" spans="1:2" x14ac:dyDescent="0.25">
      <c r="A442" t="s">
        <v>3973</v>
      </c>
      <c r="B442" t="s">
        <v>3974</v>
      </c>
    </row>
    <row r="443" spans="1:2" x14ac:dyDescent="0.25">
      <c r="A443" t="s">
        <v>3967</v>
      </c>
      <c r="B443" t="s">
        <v>3968</v>
      </c>
    </row>
    <row r="444" spans="1:2" x14ac:dyDescent="0.25">
      <c r="A444" t="s">
        <v>3969</v>
      </c>
      <c r="B444" t="s">
        <v>3970</v>
      </c>
    </row>
    <row r="445" spans="1:2" x14ac:dyDescent="0.25">
      <c r="A445" t="s">
        <v>3969</v>
      </c>
      <c r="B445" t="s">
        <v>3970</v>
      </c>
    </row>
    <row r="446" spans="1:2" x14ac:dyDescent="0.25">
      <c r="A446" t="s">
        <v>3971</v>
      </c>
      <c r="B446" t="s">
        <v>3972</v>
      </c>
    </row>
    <row r="447" spans="1:2" x14ac:dyDescent="0.25">
      <c r="A447" t="s">
        <v>3973</v>
      </c>
      <c r="B447" t="s">
        <v>3974</v>
      </c>
    </row>
    <row r="448" spans="1:2" x14ac:dyDescent="0.25">
      <c r="A448" t="s">
        <v>3967</v>
      </c>
      <c r="B448" t="s">
        <v>3968</v>
      </c>
    </row>
    <row r="449" spans="1:2" x14ac:dyDescent="0.25">
      <c r="A449" t="s">
        <v>3971</v>
      </c>
      <c r="B449" t="s">
        <v>3972</v>
      </c>
    </row>
    <row r="450" spans="1:2" x14ac:dyDescent="0.25">
      <c r="A450" t="s">
        <v>3967</v>
      </c>
      <c r="B450" t="s">
        <v>3968</v>
      </c>
    </row>
    <row r="451" spans="1:2" x14ac:dyDescent="0.25">
      <c r="A451" t="s">
        <v>3973</v>
      </c>
      <c r="B451" t="s">
        <v>3974</v>
      </c>
    </row>
    <row r="452" spans="1:2" x14ac:dyDescent="0.25">
      <c r="A452" t="s">
        <v>3973</v>
      </c>
      <c r="B452" t="s">
        <v>3974</v>
      </c>
    </row>
    <row r="453" spans="1:2" x14ac:dyDescent="0.25">
      <c r="A453" t="s">
        <v>3971</v>
      </c>
      <c r="B453" t="s">
        <v>3972</v>
      </c>
    </row>
    <row r="454" spans="1:2" x14ac:dyDescent="0.25">
      <c r="A454" t="s">
        <v>3973</v>
      </c>
      <c r="B454" t="s">
        <v>3974</v>
      </c>
    </row>
    <row r="455" spans="1:2" x14ac:dyDescent="0.25">
      <c r="A455" t="s">
        <v>3969</v>
      </c>
      <c r="B455" t="s">
        <v>3970</v>
      </c>
    </row>
    <row r="456" spans="1:2" x14ac:dyDescent="0.25">
      <c r="A456" t="s">
        <v>3973</v>
      </c>
      <c r="B456" t="s">
        <v>3974</v>
      </c>
    </row>
    <row r="457" spans="1:2" x14ac:dyDescent="0.25">
      <c r="A457" t="s">
        <v>3967</v>
      </c>
      <c r="B457" t="s">
        <v>3968</v>
      </c>
    </row>
    <row r="458" spans="1:2" x14ac:dyDescent="0.25">
      <c r="A458" t="s">
        <v>3969</v>
      </c>
      <c r="B458" t="s">
        <v>3970</v>
      </c>
    </row>
    <row r="459" spans="1:2" x14ac:dyDescent="0.25">
      <c r="A459" t="s">
        <v>3971</v>
      </c>
      <c r="B459" t="s">
        <v>3972</v>
      </c>
    </row>
    <row r="460" spans="1:2" x14ac:dyDescent="0.25">
      <c r="A460" t="s">
        <v>3969</v>
      </c>
      <c r="B460" t="s">
        <v>3970</v>
      </c>
    </row>
    <row r="461" spans="1:2" x14ac:dyDescent="0.25">
      <c r="A461" t="s">
        <v>3969</v>
      </c>
      <c r="B461" t="s">
        <v>3970</v>
      </c>
    </row>
    <row r="462" spans="1:2" x14ac:dyDescent="0.25">
      <c r="A462" t="s">
        <v>3967</v>
      </c>
      <c r="B462" t="s">
        <v>3968</v>
      </c>
    </row>
    <row r="463" spans="1:2" x14ac:dyDescent="0.25">
      <c r="A463" t="s">
        <v>3971</v>
      </c>
      <c r="B463" t="s">
        <v>3972</v>
      </c>
    </row>
    <row r="464" spans="1:2" x14ac:dyDescent="0.25">
      <c r="A464" t="s">
        <v>3971</v>
      </c>
      <c r="B464" t="s">
        <v>3972</v>
      </c>
    </row>
    <row r="465" spans="1:2" x14ac:dyDescent="0.25">
      <c r="A465" t="s">
        <v>3967</v>
      </c>
      <c r="B465" t="s">
        <v>3968</v>
      </c>
    </row>
    <row r="466" spans="1:2" x14ac:dyDescent="0.25">
      <c r="A466" t="s">
        <v>3969</v>
      </c>
      <c r="B466" t="s">
        <v>3970</v>
      </c>
    </row>
    <row r="467" spans="1:2" x14ac:dyDescent="0.25">
      <c r="A467" t="s">
        <v>3969</v>
      </c>
      <c r="B467" t="s">
        <v>3970</v>
      </c>
    </row>
    <row r="468" spans="1:2" x14ac:dyDescent="0.25">
      <c r="A468" t="s">
        <v>3971</v>
      </c>
      <c r="B468" t="s">
        <v>3972</v>
      </c>
    </row>
    <row r="469" spans="1:2" x14ac:dyDescent="0.25">
      <c r="A469" t="s">
        <v>3969</v>
      </c>
      <c r="B469" t="s">
        <v>3970</v>
      </c>
    </row>
    <row r="470" spans="1:2" x14ac:dyDescent="0.25">
      <c r="A470" t="s">
        <v>3969</v>
      </c>
      <c r="B470" t="s">
        <v>3970</v>
      </c>
    </row>
    <row r="471" spans="1:2" x14ac:dyDescent="0.25">
      <c r="A471" t="s">
        <v>3973</v>
      </c>
      <c r="B471" t="s">
        <v>3974</v>
      </c>
    </row>
    <row r="472" spans="1:2" x14ac:dyDescent="0.25">
      <c r="A472" t="s">
        <v>3967</v>
      </c>
      <c r="B472" t="s">
        <v>3968</v>
      </c>
    </row>
    <row r="473" spans="1:2" x14ac:dyDescent="0.25">
      <c r="A473" t="s">
        <v>3967</v>
      </c>
      <c r="B473" t="s">
        <v>3968</v>
      </c>
    </row>
    <row r="474" spans="1:2" x14ac:dyDescent="0.25">
      <c r="A474" t="s">
        <v>3969</v>
      </c>
      <c r="B474" t="s">
        <v>3970</v>
      </c>
    </row>
    <row r="475" spans="1:2" x14ac:dyDescent="0.25">
      <c r="A475" t="s">
        <v>3971</v>
      </c>
      <c r="B475" t="s">
        <v>3972</v>
      </c>
    </row>
    <row r="476" spans="1:2" x14ac:dyDescent="0.25">
      <c r="A476" t="s">
        <v>3971</v>
      </c>
      <c r="B476" t="s">
        <v>3972</v>
      </c>
    </row>
    <row r="477" spans="1:2" x14ac:dyDescent="0.25">
      <c r="A477" t="s">
        <v>3971</v>
      </c>
      <c r="B477" t="s">
        <v>3972</v>
      </c>
    </row>
    <row r="478" spans="1:2" x14ac:dyDescent="0.25">
      <c r="A478" t="s">
        <v>3969</v>
      </c>
      <c r="B478" t="s">
        <v>3970</v>
      </c>
    </row>
    <row r="479" spans="1:2" x14ac:dyDescent="0.25">
      <c r="A479" t="s">
        <v>3967</v>
      </c>
      <c r="B479" t="s">
        <v>3968</v>
      </c>
    </row>
    <row r="480" spans="1:2" x14ac:dyDescent="0.25">
      <c r="A480" t="s">
        <v>3969</v>
      </c>
      <c r="B480" t="s">
        <v>3970</v>
      </c>
    </row>
    <row r="481" spans="1:2" x14ac:dyDescent="0.25">
      <c r="A481" t="s">
        <v>3973</v>
      </c>
      <c r="B481" t="s">
        <v>3974</v>
      </c>
    </row>
    <row r="482" spans="1:2" x14ac:dyDescent="0.25">
      <c r="A482" t="s">
        <v>3969</v>
      </c>
      <c r="B482" t="s">
        <v>3970</v>
      </c>
    </row>
    <row r="483" spans="1:2" x14ac:dyDescent="0.25">
      <c r="A483" t="s">
        <v>3973</v>
      </c>
      <c r="B483" t="s">
        <v>3974</v>
      </c>
    </row>
    <row r="484" spans="1:2" x14ac:dyDescent="0.25">
      <c r="A484" t="s">
        <v>3967</v>
      </c>
      <c r="B484" t="s">
        <v>3968</v>
      </c>
    </row>
    <row r="485" spans="1:2" x14ac:dyDescent="0.25">
      <c r="A485" t="s">
        <v>3973</v>
      </c>
      <c r="B485" t="s">
        <v>3974</v>
      </c>
    </row>
    <row r="486" spans="1:2" x14ac:dyDescent="0.25">
      <c r="A486" t="s">
        <v>3973</v>
      </c>
      <c r="B486" t="s">
        <v>3974</v>
      </c>
    </row>
    <row r="487" spans="1:2" x14ac:dyDescent="0.25">
      <c r="A487" t="s">
        <v>3967</v>
      </c>
      <c r="B487" t="s">
        <v>3968</v>
      </c>
    </row>
    <row r="488" spans="1:2" x14ac:dyDescent="0.25">
      <c r="A488" t="s">
        <v>3971</v>
      </c>
      <c r="B488" t="s">
        <v>3972</v>
      </c>
    </row>
    <row r="489" spans="1:2" x14ac:dyDescent="0.25">
      <c r="A489" t="s">
        <v>3973</v>
      </c>
      <c r="B489" t="s">
        <v>3974</v>
      </c>
    </row>
    <row r="490" spans="1:2" x14ac:dyDescent="0.25">
      <c r="A490" t="s">
        <v>3969</v>
      </c>
      <c r="B490" t="s">
        <v>3970</v>
      </c>
    </row>
    <row r="491" spans="1:2" x14ac:dyDescent="0.25">
      <c r="A491" t="s">
        <v>3971</v>
      </c>
      <c r="B491" t="s">
        <v>3972</v>
      </c>
    </row>
    <row r="492" spans="1:2" x14ac:dyDescent="0.25">
      <c r="A492" t="s">
        <v>3973</v>
      </c>
      <c r="B492" t="s">
        <v>3974</v>
      </c>
    </row>
    <row r="493" spans="1:2" x14ac:dyDescent="0.25">
      <c r="A493" t="s">
        <v>3971</v>
      </c>
      <c r="B493" t="s">
        <v>3972</v>
      </c>
    </row>
    <row r="494" spans="1:2" x14ac:dyDescent="0.25">
      <c r="A494" t="s">
        <v>3971</v>
      </c>
      <c r="B494" t="s">
        <v>3972</v>
      </c>
    </row>
    <row r="495" spans="1:2" x14ac:dyDescent="0.25">
      <c r="A495" t="s">
        <v>3967</v>
      </c>
      <c r="B495" t="s">
        <v>3968</v>
      </c>
    </row>
    <row r="496" spans="1:2" x14ac:dyDescent="0.25">
      <c r="A496" t="s">
        <v>3971</v>
      </c>
      <c r="B496" t="s">
        <v>3972</v>
      </c>
    </row>
    <row r="497" spans="1:2" x14ac:dyDescent="0.25">
      <c r="A497" t="s">
        <v>3973</v>
      </c>
      <c r="B497" t="s">
        <v>3974</v>
      </c>
    </row>
    <row r="498" spans="1:2" x14ac:dyDescent="0.25">
      <c r="A498" t="s">
        <v>3969</v>
      </c>
      <c r="B498" t="s">
        <v>3970</v>
      </c>
    </row>
    <row r="499" spans="1:2" x14ac:dyDescent="0.25">
      <c r="A499" t="s">
        <v>3969</v>
      </c>
      <c r="B499" t="s">
        <v>3970</v>
      </c>
    </row>
    <row r="500" spans="1:2" x14ac:dyDescent="0.25">
      <c r="A500" t="s">
        <v>3973</v>
      </c>
      <c r="B500" t="s">
        <v>3974</v>
      </c>
    </row>
    <row r="501" spans="1:2" x14ac:dyDescent="0.25">
      <c r="A501" t="s">
        <v>3973</v>
      </c>
      <c r="B501" t="s">
        <v>3974</v>
      </c>
    </row>
  </sheetData>
  <pageMargins left="0.7" right="0.7" top="0.75" bottom="0.75" header="0.3" footer="0.3"/>
  <ignoredErrors>
    <ignoredError sqref="A1:B50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01"/>
  <sheetViews>
    <sheetView topLeftCell="A487" workbookViewId="0">
      <selection activeCell="F510" sqref="F510"/>
    </sheetView>
  </sheetViews>
  <sheetFormatPr defaultRowHeight="15.75" x14ac:dyDescent="0.25"/>
  <sheetData>
    <row r="1" spans="1:6" x14ac:dyDescent="0.25">
      <c r="A1" t="s">
        <v>3975</v>
      </c>
      <c r="B1" t="s">
        <v>2080</v>
      </c>
      <c r="C1" t="s">
        <v>3976</v>
      </c>
      <c r="D1" t="s">
        <v>3977</v>
      </c>
      <c r="E1" t="s">
        <v>3978</v>
      </c>
      <c r="F1" t="s">
        <v>3979</v>
      </c>
    </row>
    <row r="2" spans="1:6" x14ac:dyDescent="0.25">
      <c r="A2" t="s">
        <v>3980</v>
      </c>
      <c r="B2" t="s">
        <v>2085</v>
      </c>
      <c r="C2">
        <v>139</v>
      </c>
      <c r="D2">
        <v>84</v>
      </c>
      <c r="E2">
        <v>89</v>
      </c>
      <c r="F2">
        <v>98.3</v>
      </c>
    </row>
    <row r="3" spans="1:6" x14ac:dyDescent="0.25">
      <c r="A3" t="s">
        <v>3981</v>
      </c>
      <c r="B3" t="s">
        <v>2090</v>
      </c>
      <c r="C3">
        <v>131</v>
      </c>
      <c r="D3">
        <v>70</v>
      </c>
      <c r="E3">
        <v>68</v>
      </c>
      <c r="F3">
        <v>98.9</v>
      </c>
    </row>
    <row r="4" spans="1:6" x14ac:dyDescent="0.25">
      <c r="A4" t="s">
        <v>3982</v>
      </c>
      <c r="B4" t="s">
        <v>2094</v>
      </c>
      <c r="C4">
        <v>130</v>
      </c>
      <c r="D4">
        <v>77</v>
      </c>
      <c r="E4">
        <v>64</v>
      </c>
      <c r="F4">
        <v>99</v>
      </c>
    </row>
    <row r="5" spans="1:6" x14ac:dyDescent="0.25">
      <c r="A5" t="s">
        <v>3983</v>
      </c>
      <c r="B5" t="s">
        <v>2098</v>
      </c>
      <c r="C5">
        <v>125</v>
      </c>
      <c r="D5">
        <v>73</v>
      </c>
      <c r="E5">
        <v>99</v>
      </c>
      <c r="F5">
        <v>98.6</v>
      </c>
    </row>
    <row r="6" spans="1:6" x14ac:dyDescent="0.25">
      <c r="A6" t="s">
        <v>3984</v>
      </c>
      <c r="B6" t="s">
        <v>2101</v>
      </c>
      <c r="C6">
        <v>123</v>
      </c>
      <c r="D6">
        <v>74</v>
      </c>
      <c r="E6">
        <v>64</v>
      </c>
      <c r="F6">
        <v>98.9</v>
      </c>
    </row>
    <row r="7" spans="1:6" x14ac:dyDescent="0.25">
      <c r="A7" t="s">
        <v>3985</v>
      </c>
      <c r="B7" t="s">
        <v>2105</v>
      </c>
      <c r="C7">
        <v>120</v>
      </c>
      <c r="D7">
        <v>71</v>
      </c>
      <c r="E7">
        <v>98</v>
      </c>
      <c r="F7">
        <v>98.3</v>
      </c>
    </row>
    <row r="8" spans="1:6" x14ac:dyDescent="0.25">
      <c r="A8" t="s">
        <v>3986</v>
      </c>
      <c r="B8" t="s">
        <v>2109</v>
      </c>
      <c r="C8">
        <v>116</v>
      </c>
      <c r="D8">
        <v>77</v>
      </c>
      <c r="E8">
        <v>94</v>
      </c>
      <c r="F8">
        <v>97.8</v>
      </c>
    </row>
    <row r="9" spans="1:6" x14ac:dyDescent="0.25">
      <c r="A9" t="s">
        <v>3987</v>
      </c>
      <c r="B9" t="s">
        <v>2112</v>
      </c>
      <c r="C9">
        <v>124</v>
      </c>
      <c r="D9">
        <v>79</v>
      </c>
      <c r="E9">
        <v>79</v>
      </c>
      <c r="F9">
        <v>99.2</v>
      </c>
    </row>
    <row r="10" spans="1:6" x14ac:dyDescent="0.25">
      <c r="A10" t="s">
        <v>3988</v>
      </c>
      <c r="B10" t="s">
        <v>2115</v>
      </c>
      <c r="C10">
        <v>125</v>
      </c>
      <c r="D10">
        <v>74</v>
      </c>
      <c r="E10">
        <v>94</v>
      </c>
      <c r="F10">
        <v>98.2</v>
      </c>
    </row>
    <row r="11" spans="1:6" x14ac:dyDescent="0.25">
      <c r="A11" t="s">
        <v>3989</v>
      </c>
      <c r="B11" t="s">
        <v>2118</v>
      </c>
      <c r="C11">
        <v>116</v>
      </c>
      <c r="D11">
        <v>82</v>
      </c>
      <c r="E11">
        <v>83</v>
      </c>
      <c r="F11">
        <v>98.7</v>
      </c>
    </row>
    <row r="12" spans="1:6" x14ac:dyDescent="0.25">
      <c r="A12" t="s">
        <v>3990</v>
      </c>
      <c r="B12" t="s">
        <v>2120</v>
      </c>
      <c r="C12">
        <v>115</v>
      </c>
      <c r="D12">
        <v>85</v>
      </c>
      <c r="E12">
        <v>93</v>
      </c>
      <c r="F12">
        <v>97.8</v>
      </c>
    </row>
    <row r="13" spans="1:6" x14ac:dyDescent="0.25">
      <c r="A13" t="s">
        <v>3991</v>
      </c>
      <c r="B13" t="s">
        <v>2122</v>
      </c>
      <c r="C13">
        <v>132</v>
      </c>
      <c r="D13">
        <v>71</v>
      </c>
      <c r="E13">
        <v>97</v>
      </c>
      <c r="F13">
        <v>98</v>
      </c>
    </row>
    <row r="14" spans="1:6" x14ac:dyDescent="0.25">
      <c r="A14" t="s">
        <v>3992</v>
      </c>
      <c r="B14" t="s">
        <v>2125</v>
      </c>
      <c r="C14">
        <v>133</v>
      </c>
      <c r="D14">
        <v>71</v>
      </c>
      <c r="E14">
        <v>81</v>
      </c>
      <c r="F14">
        <v>98.5</v>
      </c>
    </row>
    <row r="15" spans="1:6" x14ac:dyDescent="0.25">
      <c r="A15" t="s">
        <v>3993</v>
      </c>
      <c r="B15" t="s">
        <v>2128</v>
      </c>
      <c r="C15">
        <v>111</v>
      </c>
      <c r="D15">
        <v>84</v>
      </c>
      <c r="E15">
        <v>72</v>
      </c>
      <c r="F15">
        <v>98.9</v>
      </c>
    </row>
    <row r="16" spans="1:6" x14ac:dyDescent="0.25">
      <c r="A16" t="s">
        <v>3994</v>
      </c>
      <c r="B16" t="s">
        <v>2131</v>
      </c>
      <c r="C16">
        <v>110</v>
      </c>
      <c r="D16">
        <v>73</v>
      </c>
      <c r="E16">
        <v>98</v>
      </c>
      <c r="F16">
        <v>98.4</v>
      </c>
    </row>
    <row r="17" spans="1:6" x14ac:dyDescent="0.25">
      <c r="A17" t="s">
        <v>3995</v>
      </c>
      <c r="B17" t="s">
        <v>2134</v>
      </c>
      <c r="C17">
        <v>124</v>
      </c>
      <c r="D17">
        <v>89</v>
      </c>
      <c r="E17">
        <v>60</v>
      </c>
      <c r="F17">
        <v>99</v>
      </c>
    </row>
    <row r="18" spans="1:6" x14ac:dyDescent="0.25">
      <c r="A18" t="s">
        <v>3996</v>
      </c>
      <c r="B18" t="s">
        <v>2137</v>
      </c>
      <c r="C18">
        <v>115</v>
      </c>
      <c r="D18">
        <v>74</v>
      </c>
      <c r="E18">
        <v>89</v>
      </c>
      <c r="F18">
        <v>98.6</v>
      </c>
    </row>
    <row r="19" spans="1:6" x14ac:dyDescent="0.25">
      <c r="A19" t="s">
        <v>3997</v>
      </c>
      <c r="B19" t="s">
        <v>2140</v>
      </c>
      <c r="C19">
        <v>136</v>
      </c>
      <c r="D19">
        <v>72</v>
      </c>
      <c r="E19">
        <v>100</v>
      </c>
      <c r="F19">
        <v>97.9</v>
      </c>
    </row>
    <row r="20" spans="1:6" x14ac:dyDescent="0.25">
      <c r="A20" t="s">
        <v>3998</v>
      </c>
      <c r="B20" t="s">
        <v>2142</v>
      </c>
      <c r="C20">
        <v>129</v>
      </c>
      <c r="D20">
        <v>79</v>
      </c>
      <c r="E20">
        <v>69</v>
      </c>
      <c r="F20">
        <v>98.5</v>
      </c>
    </row>
    <row r="21" spans="1:6" x14ac:dyDescent="0.25">
      <c r="A21" t="s">
        <v>3999</v>
      </c>
      <c r="B21" t="s">
        <v>2144</v>
      </c>
      <c r="C21">
        <v>116</v>
      </c>
      <c r="D21">
        <v>74</v>
      </c>
      <c r="E21">
        <v>96</v>
      </c>
      <c r="F21">
        <v>97.7</v>
      </c>
    </row>
    <row r="22" spans="1:6" x14ac:dyDescent="0.25">
      <c r="A22" t="s">
        <v>4000</v>
      </c>
      <c r="B22" t="s">
        <v>2146</v>
      </c>
      <c r="C22">
        <v>137</v>
      </c>
      <c r="D22">
        <v>88</v>
      </c>
      <c r="E22">
        <v>75</v>
      </c>
      <c r="F22">
        <v>99.3</v>
      </c>
    </row>
    <row r="23" spans="1:6" x14ac:dyDescent="0.25">
      <c r="A23" t="s">
        <v>4001</v>
      </c>
      <c r="B23" t="s">
        <v>2149</v>
      </c>
      <c r="C23">
        <v>122</v>
      </c>
      <c r="D23">
        <v>81</v>
      </c>
      <c r="E23">
        <v>60</v>
      </c>
      <c r="F23">
        <v>98.7</v>
      </c>
    </row>
    <row r="24" spans="1:6" x14ac:dyDescent="0.25">
      <c r="A24" t="s">
        <v>4002</v>
      </c>
      <c r="B24" t="s">
        <v>2151</v>
      </c>
      <c r="C24">
        <v>134</v>
      </c>
      <c r="D24">
        <v>90</v>
      </c>
      <c r="E24">
        <v>77</v>
      </c>
      <c r="F24">
        <v>99.1</v>
      </c>
    </row>
    <row r="25" spans="1:6" x14ac:dyDescent="0.25">
      <c r="A25" t="s">
        <v>4003</v>
      </c>
      <c r="B25" t="s">
        <v>2154</v>
      </c>
      <c r="C25">
        <v>110</v>
      </c>
      <c r="D25">
        <v>83</v>
      </c>
      <c r="E25">
        <v>66</v>
      </c>
      <c r="F25">
        <v>99.2</v>
      </c>
    </row>
    <row r="26" spans="1:6" x14ac:dyDescent="0.25">
      <c r="A26" t="s">
        <v>4004</v>
      </c>
      <c r="B26" t="s">
        <v>2156</v>
      </c>
      <c r="C26">
        <v>124</v>
      </c>
      <c r="D26">
        <v>83</v>
      </c>
      <c r="E26">
        <v>78</v>
      </c>
      <c r="F26">
        <v>98.4</v>
      </c>
    </row>
    <row r="27" spans="1:6" x14ac:dyDescent="0.25">
      <c r="A27" t="s">
        <v>4005</v>
      </c>
      <c r="B27" t="s">
        <v>2159</v>
      </c>
      <c r="C27">
        <v>140</v>
      </c>
      <c r="D27">
        <v>75</v>
      </c>
      <c r="E27">
        <v>69</v>
      </c>
      <c r="F27">
        <v>99.4</v>
      </c>
    </row>
    <row r="28" spans="1:6" x14ac:dyDescent="0.25">
      <c r="A28" t="s">
        <v>4006</v>
      </c>
      <c r="B28" t="s">
        <v>2161</v>
      </c>
      <c r="C28">
        <v>139</v>
      </c>
      <c r="D28">
        <v>85</v>
      </c>
      <c r="E28">
        <v>69</v>
      </c>
      <c r="F28">
        <v>97.9</v>
      </c>
    </row>
    <row r="29" spans="1:6" x14ac:dyDescent="0.25">
      <c r="A29" t="s">
        <v>4007</v>
      </c>
      <c r="B29" t="s">
        <v>2164</v>
      </c>
      <c r="C29">
        <v>132</v>
      </c>
      <c r="D29">
        <v>81</v>
      </c>
      <c r="E29">
        <v>68</v>
      </c>
      <c r="F29">
        <v>97.9</v>
      </c>
    </row>
    <row r="30" spans="1:6" x14ac:dyDescent="0.25">
      <c r="A30" t="s">
        <v>4008</v>
      </c>
      <c r="B30" t="s">
        <v>2166</v>
      </c>
      <c r="C30">
        <v>118</v>
      </c>
      <c r="D30">
        <v>70</v>
      </c>
      <c r="E30">
        <v>74</v>
      </c>
      <c r="F30">
        <v>99.3</v>
      </c>
    </row>
    <row r="31" spans="1:6" x14ac:dyDescent="0.25">
      <c r="A31" t="s">
        <v>4009</v>
      </c>
      <c r="B31" t="s">
        <v>2168</v>
      </c>
      <c r="C31">
        <v>135</v>
      </c>
      <c r="D31">
        <v>75</v>
      </c>
      <c r="E31">
        <v>63</v>
      </c>
      <c r="F31">
        <v>97.8</v>
      </c>
    </row>
    <row r="32" spans="1:6" x14ac:dyDescent="0.25">
      <c r="A32" t="s">
        <v>4010</v>
      </c>
      <c r="B32" t="s">
        <v>2171</v>
      </c>
      <c r="C32">
        <v>124</v>
      </c>
      <c r="D32">
        <v>70</v>
      </c>
      <c r="E32">
        <v>63</v>
      </c>
      <c r="F32">
        <v>99.5</v>
      </c>
    </row>
    <row r="33" spans="1:6" x14ac:dyDescent="0.25">
      <c r="A33" t="s">
        <v>4011</v>
      </c>
      <c r="B33" t="s">
        <v>2173</v>
      </c>
      <c r="C33">
        <v>117</v>
      </c>
      <c r="D33">
        <v>77</v>
      </c>
      <c r="E33">
        <v>79</v>
      </c>
      <c r="F33">
        <v>98.1</v>
      </c>
    </row>
    <row r="34" spans="1:6" x14ac:dyDescent="0.25">
      <c r="A34" t="s">
        <v>4012</v>
      </c>
      <c r="B34" t="s">
        <v>2175</v>
      </c>
      <c r="C34">
        <v>120</v>
      </c>
      <c r="D34">
        <v>72</v>
      </c>
      <c r="E34">
        <v>93</v>
      </c>
      <c r="F34">
        <v>98.4</v>
      </c>
    </row>
    <row r="35" spans="1:6" x14ac:dyDescent="0.25">
      <c r="A35" t="s">
        <v>4013</v>
      </c>
      <c r="B35" t="s">
        <v>2177</v>
      </c>
      <c r="C35">
        <v>124</v>
      </c>
      <c r="D35">
        <v>77</v>
      </c>
      <c r="E35">
        <v>63</v>
      </c>
      <c r="F35">
        <v>99.2</v>
      </c>
    </row>
    <row r="36" spans="1:6" x14ac:dyDescent="0.25">
      <c r="A36" t="s">
        <v>4014</v>
      </c>
      <c r="B36" t="s">
        <v>2179</v>
      </c>
      <c r="C36">
        <v>125</v>
      </c>
      <c r="D36">
        <v>84</v>
      </c>
      <c r="E36">
        <v>69</v>
      </c>
      <c r="F36">
        <v>99.1</v>
      </c>
    </row>
    <row r="37" spans="1:6" x14ac:dyDescent="0.25">
      <c r="A37" t="s">
        <v>4015</v>
      </c>
      <c r="B37" t="s">
        <v>2182</v>
      </c>
      <c r="C37">
        <v>112</v>
      </c>
      <c r="D37">
        <v>70</v>
      </c>
      <c r="E37">
        <v>62</v>
      </c>
      <c r="F37">
        <v>99.3</v>
      </c>
    </row>
    <row r="38" spans="1:6" x14ac:dyDescent="0.25">
      <c r="A38" t="s">
        <v>4016</v>
      </c>
      <c r="B38" t="s">
        <v>2184</v>
      </c>
      <c r="C38">
        <v>113</v>
      </c>
      <c r="D38">
        <v>84</v>
      </c>
      <c r="E38">
        <v>66</v>
      </c>
      <c r="F38">
        <v>97.9</v>
      </c>
    </row>
    <row r="39" spans="1:6" x14ac:dyDescent="0.25">
      <c r="A39" t="s">
        <v>4017</v>
      </c>
      <c r="B39" t="s">
        <v>2187</v>
      </c>
      <c r="C39">
        <v>131</v>
      </c>
      <c r="D39">
        <v>90</v>
      </c>
      <c r="E39">
        <v>94</v>
      </c>
      <c r="F39">
        <v>99</v>
      </c>
    </row>
    <row r="40" spans="1:6" x14ac:dyDescent="0.25">
      <c r="A40" t="s">
        <v>4018</v>
      </c>
      <c r="B40" t="s">
        <v>2189</v>
      </c>
      <c r="C40">
        <v>129</v>
      </c>
      <c r="D40">
        <v>76</v>
      </c>
      <c r="E40">
        <v>92</v>
      </c>
      <c r="F40">
        <v>97.9</v>
      </c>
    </row>
    <row r="41" spans="1:6" x14ac:dyDescent="0.25">
      <c r="A41" t="s">
        <v>4019</v>
      </c>
      <c r="B41" t="s">
        <v>2191</v>
      </c>
      <c r="C41">
        <v>138</v>
      </c>
      <c r="D41">
        <v>72</v>
      </c>
      <c r="E41">
        <v>84</v>
      </c>
      <c r="F41">
        <v>99.4</v>
      </c>
    </row>
    <row r="42" spans="1:6" x14ac:dyDescent="0.25">
      <c r="A42" t="s">
        <v>4020</v>
      </c>
      <c r="B42" t="s">
        <v>2193</v>
      </c>
      <c r="C42">
        <v>112</v>
      </c>
      <c r="D42">
        <v>81</v>
      </c>
      <c r="E42">
        <v>70</v>
      </c>
      <c r="F42">
        <v>97.9</v>
      </c>
    </row>
    <row r="43" spans="1:6" x14ac:dyDescent="0.25">
      <c r="A43" t="s">
        <v>4021</v>
      </c>
      <c r="B43" t="s">
        <v>2195</v>
      </c>
      <c r="C43">
        <v>117</v>
      </c>
      <c r="D43">
        <v>83</v>
      </c>
      <c r="E43">
        <v>91</v>
      </c>
      <c r="F43">
        <v>98.6</v>
      </c>
    </row>
    <row r="44" spans="1:6" x14ac:dyDescent="0.25">
      <c r="A44" t="s">
        <v>4022</v>
      </c>
      <c r="B44" t="s">
        <v>2198</v>
      </c>
      <c r="C44">
        <v>117</v>
      </c>
      <c r="D44">
        <v>85</v>
      </c>
      <c r="E44">
        <v>94</v>
      </c>
      <c r="F44">
        <v>98</v>
      </c>
    </row>
    <row r="45" spans="1:6" x14ac:dyDescent="0.25">
      <c r="A45" t="s">
        <v>4023</v>
      </c>
      <c r="B45" t="s">
        <v>2200</v>
      </c>
      <c r="C45">
        <v>110</v>
      </c>
      <c r="D45">
        <v>86</v>
      </c>
      <c r="E45">
        <v>96</v>
      </c>
      <c r="F45">
        <v>99.2</v>
      </c>
    </row>
    <row r="46" spans="1:6" x14ac:dyDescent="0.25">
      <c r="A46" t="s">
        <v>4024</v>
      </c>
      <c r="B46" t="s">
        <v>2203</v>
      </c>
      <c r="C46">
        <v>126</v>
      </c>
      <c r="D46">
        <v>71</v>
      </c>
      <c r="E46">
        <v>86</v>
      </c>
      <c r="F46">
        <v>98.4</v>
      </c>
    </row>
    <row r="47" spans="1:6" x14ac:dyDescent="0.25">
      <c r="A47" t="s">
        <v>4025</v>
      </c>
      <c r="B47" t="s">
        <v>2204</v>
      </c>
      <c r="C47">
        <v>130</v>
      </c>
      <c r="D47">
        <v>88</v>
      </c>
      <c r="E47">
        <v>97</v>
      </c>
      <c r="F47">
        <v>99.3</v>
      </c>
    </row>
    <row r="48" spans="1:6" x14ac:dyDescent="0.25">
      <c r="A48" t="s">
        <v>4026</v>
      </c>
      <c r="B48" t="s">
        <v>2205</v>
      </c>
      <c r="C48">
        <v>139</v>
      </c>
      <c r="D48">
        <v>75</v>
      </c>
      <c r="E48">
        <v>70</v>
      </c>
      <c r="F48">
        <v>99.2</v>
      </c>
    </row>
    <row r="49" spans="1:6" x14ac:dyDescent="0.25">
      <c r="A49" t="s">
        <v>4027</v>
      </c>
      <c r="B49" t="s">
        <v>2207</v>
      </c>
      <c r="C49">
        <v>130</v>
      </c>
      <c r="D49">
        <v>77</v>
      </c>
      <c r="E49">
        <v>95</v>
      </c>
      <c r="F49">
        <v>98.9</v>
      </c>
    </row>
    <row r="50" spans="1:6" x14ac:dyDescent="0.25">
      <c r="A50" t="s">
        <v>4028</v>
      </c>
      <c r="B50" t="s">
        <v>2209</v>
      </c>
      <c r="C50">
        <v>124</v>
      </c>
      <c r="D50">
        <v>75</v>
      </c>
      <c r="E50">
        <v>97</v>
      </c>
      <c r="F50">
        <v>98.6</v>
      </c>
    </row>
    <row r="51" spans="1:6" x14ac:dyDescent="0.25">
      <c r="A51" t="s">
        <v>4029</v>
      </c>
      <c r="B51" t="s">
        <v>2211</v>
      </c>
      <c r="C51">
        <v>139</v>
      </c>
      <c r="D51">
        <v>71</v>
      </c>
      <c r="E51">
        <v>85</v>
      </c>
      <c r="F51">
        <v>98.2</v>
      </c>
    </row>
    <row r="52" spans="1:6" x14ac:dyDescent="0.25">
      <c r="A52" t="s">
        <v>4030</v>
      </c>
      <c r="B52" t="s">
        <v>2213</v>
      </c>
      <c r="C52">
        <v>132</v>
      </c>
      <c r="D52">
        <v>83</v>
      </c>
      <c r="E52">
        <v>81</v>
      </c>
      <c r="F52">
        <v>98.5</v>
      </c>
    </row>
    <row r="53" spans="1:6" x14ac:dyDescent="0.25">
      <c r="A53" t="s">
        <v>4031</v>
      </c>
      <c r="B53" t="s">
        <v>2215</v>
      </c>
      <c r="C53">
        <v>134</v>
      </c>
      <c r="D53">
        <v>72</v>
      </c>
      <c r="E53">
        <v>65</v>
      </c>
      <c r="F53">
        <v>98.6</v>
      </c>
    </row>
    <row r="54" spans="1:6" x14ac:dyDescent="0.25">
      <c r="A54" t="s">
        <v>4032</v>
      </c>
      <c r="B54" t="s">
        <v>2218</v>
      </c>
      <c r="C54">
        <v>122</v>
      </c>
      <c r="D54">
        <v>83</v>
      </c>
      <c r="E54">
        <v>77</v>
      </c>
      <c r="F54">
        <v>98.5</v>
      </c>
    </row>
    <row r="55" spans="1:6" x14ac:dyDescent="0.25">
      <c r="A55" t="s">
        <v>4033</v>
      </c>
      <c r="B55" t="s">
        <v>2220</v>
      </c>
      <c r="C55">
        <v>133</v>
      </c>
      <c r="D55">
        <v>80</v>
      </c>
      <c r="E55">
        <v>71</v>
      </c>
      <c r="F55">
        <v>99</v>
      </c>
    </row>
    <row r="56" spans="1:6" x14ac:dyDescent="0.25">
      <c r="A56" t="s">
        <v>4034</v>
      </c>
      <c r="B56" t="s">
        <v>2222</v>
      </c>
      <c r="C56">
        <v>127</v>
      </c>
      <c r="D56">
        <v>90</v>
      </c>
      <c r="E56">
        <v>62</v>
      </c>
      <c r="F56">
        <v>99.1</v>
      </c>
    </row>
    <row r="57" spans="1:6" x14ac:dyDescent="0.25">
      <c r="A57" t="s">
        <v>4035</v>
      </c>
      <c r="B57" t="s">
        <v>2224</v>
      </c>
      <c r="C57">
        <v>128</v>
      </c>
      <c r="D57">
        <v>80</v>
      </c>
      <c r="E57">
        <v>84</v>
      </c>
      <c r="F57">
        <v>97.8</v>
      </c>
    </row>
    <row r="58" spans="1:6" x14ac:dyDescent="0.25">
      <c r="A58" t="s">
        <v>4036</v>
      </c>
      <c r="B58" t="s">
        <v>2226</v>
      </c>
      <c r="C58">
        <v>118</v>
      </c>
      <c r="D58">
        <v>89</v>
      </c>
      <c r="E58">
        <v>91</v>
      </c>
      <c r="F58">
        <v>99</v>
      </c>
    </row>
    <row r="59" spans="1:6" x14ac:dyDescent="0.25">
      <c r="A59" t="s">
        <v>4037</v>
      </c>
      <c r="B59" t="s">
        <v>2229</v>
      </c>
      <c r="C59">
        <v>132</v>
      </c>
      <c r="D59">
        <v>84</v>
      </c>
      <c r="E59">
        <v>71</v>
      </c>
      <c r="F59">
        <v>98.7</v>
      </c>
    </row>
    <row r="60" spans="1:6" x14ac:dyDescent="0.25">
      <c r="A60" t="s">
        <v>4038</v>
      </c>
      <c r="B60" t="s">
        <v>2231</v>
      </c>
      <c r="C60">
        <v>128</v>
      </c>
      <c r="D60">
        <v>90</v>
      </c>
      <c r="E60">
        <v>86</v>
      </c>
      <c r="F60">
        <v>98.1</v>
      </c>
    </row>
    <row r="61" spans="1:6" x14ac:dyDescent="0.25">
      <c r="A61" t="s">
        <v>4039</v>
      </c>
      <c r="B61" t="s">
        <v>2233</v>
      </c>
      <c r="C61">
        <v>140</v>
      </c>
      <c r="D61">
        <v>77</v>
      </c>
      <c r="E61">
        <v>60</v>
      </c>
      <c r="F61">
        <v>98.7</v>
      </c>
    </row>
    <row r="62" spans="1:6" x14ac:dyDescent="0.25">
      <c r="A62" t="s">
        <v>4040</v>
      </c>
      <c r="B62" t="s">
        <v>2234</v>
      </c>
      <c r="C62">
        <v>134</v>
      </c>
      <c r="D62">
        <v>85</v>
      </c>
      <c r="E62">
        <v>78</v>
      </c>
      <c r="F62">
        <v>98.3</v>
      </c>
    </row>
    <row r="63" spans="1:6" x14ac:dyDescent="0.25">
      <c r="A63" t="s">
        <v>4041</v>
      </c>
      <c r="B63" t="s">
        <v>2236</v>
      </c>
      <c r="C63">
        <v>132</v>
      </c>
      <c r="D63">
        <v>81</v>
      </c>
      <c r="E63">
        <v>83</v>
      </c>
      <c r="F63">
        <v>98.3</v>
      </c>
    </row>
    <row r="64" spans="1:6" x14ac:dyDescent="0.25">
      <c r="A64" t="s">
        <v>4042</v>
      </c>
      <c r="B64" t="s">
        <v>2238</v>
      </c>
      <c r="C64">
        <v>128</v>
      </c>
      <c r="D64">
        <v>72</v>
      </c>
      <c r="E64">
        <v>70</v>
      </c>
      <c r="F64">
        <v>97.6</v>
      </c>
    </row>
    <row r="65" spans="1:6" x14ac:dyDescent="0.25">
      <c r="A65" t="s">
        <v>4043</v>
      </c>
      <c r="B65" t="s">
        <v>2240</v>
      </c>
      <c r="C65">
        <v>112</v>
      </c>
      <c r="D65">
        <v>90</v>
      </c>
      <c r="E65">
        <v>64</v>
      </c>
      <c r="F65">
        <v>99.3</v>
      </c>
    </row>
    <row r="66" spans="1:6" x14ac:dyDescent="0.25">
      <c r="A66" t="s">
        <v>4044</v>
      </c>
      <c r="B66" t="s">
        <v>2242</v>
      </c>
      <c r="C66">
        <v>117</v>
      </c>
      <c r="D66">
        <v>78</v>
      </c>
      <c r="E66">
        <v>76</v>
      </c>
      <c r="F66">
        <v>99.2</v>
      </c>
    </row>
    <row r="67" spans="1:6" x14ac:dyDescent="0.25">
      <c r="A67" t="s">
        <v>4045</v>
      </c>
      <c r="B67" t="s">
        <v>2244</v>
      </c>
      <c r="C67">
        <v>139</v>
      </c>
      <c r="D67">
        <v>83</v>
      </c>
      <c r="E67">
        <v>78</v>
      </c>
      <c r="F67">
        <v>98</v>
      </c>
    </row>
    <row r="68" spans="1:6" x14ac:dyDescent="0.25">
      <c r="A68" t="s">
        <v>4046</v>
      </c>
      <c r="B68" t="s">
        <v>2246</v>
      </c>
      <c r="C68">
        <v>127</v>
      </c>
      <c r="D68">
        <v>79</v>
      </c>
      <c r="E68">
        <v>82</v>
      </c>
      <c r="F68">
        <v>98.3</v>
      </c>
    </row>
    <row r="69" spans="1:6" x14ac:dyDescent="0.25">
      <c r="A69" t="s">
        <v>4047</v>
      </c>
      <c r="B69" t="s">
        <v>2249</v>
      </c>
      <c r="C69">
        <v>130</v>
      </c>
      <c r="D69">
        <v>74</v>
      </c>
      <c r="E69">
        <v>97</v>
      </c>
      <c r="F69">
        <v>97.9</v>
      </c>
    </row>
    <row r="70" spans="1:6" x14ac:dyDescent="0.25">
      <c r="A70" t="s">
        <v>4048</v>
      </c>
      <c r="B70" t="s">
        <v>2251</v>
      </c>
      <c r="C70">
        <v>132</v>
      </c>
      <c r="D70">
        <v>70</v>
      </c>
      <c r="E70">
        <v>81</v>
      </c>
      <c r="F70">
        <v>99.5</v>
      </c>
    </row>
    <row r="71" spans="1:6" x14ac:dyDescent="0.25">
      <c r="A71" t="s">
        <v>4049</v>
      </c>
      <c r="B71" t="s">
        <v>2253</v>
      </c>
      <c r="C71">
        <v>131</v>
      </c>
      <c r="D71">
        <v>79</v>
      </c>
      <c r="E71">
        <v>87</v>
      </c>
      <c r="F71">
        <v>98.7</v>
      </c>
    </row>
    <row r="72" spans="1:6" x14ac:dyDescent="0.25">
      <c r="A72" t="s">
        <v>4050</v>
      </c>
      <c r="B72" t="s">
        <v>2255</v>
      </c>
      <c r="C72">
        <v>118</v>
      </c>
      <c r="D72">
        <v>78</v>
      </c>
      <c r="E72">
        <v>61</v>
      </c>
      <c r="F72">
        <v>99.1</v>
      </c>
    </row>
    <row r="73" spans="1:6" x14ac:dyDescent="0.25">
      <c r="A73" t="s">
        <v>4051</v>
      </c>
      <c r="B73" t="s">
        <v>2257</v>
      </c>
      <c r="C73">
        <v>110</v>
      </c>
      <c r="D73">
        <v>90</v>
      </c>
      <c r="E73">
        <v>89</v>
      </c>
      <c r="F73">
        <v>98.6</v>
      </c>
    </row>
    <row r="74" spans="1:6" x14ac:dyDescent="0.25">
      <c r="A74" t="s">
        <v>4052</v>
      </c>
      <c r="B74" t="s">
        <v>2260</v>
      </c>
      <c r="C74">
        <v>128</v>
      </c>
      <c r="D74">
        <v>77</v>
      </c>
      <c r="E74">
        <v>72</v>
      </c>
      <c r="F74">
        <v>97.6</v>
      </c>
    </row>
    <row r="75" spans="1:6" x14ac:dyDescent="0.25">
      <c r="A75" t="s">
        <v>4053</v>
      </c>
      <c r="B75" t="s">
        <v>2262</v>
      </c>
      <c r="C75">
        <v>115</v>
      </c>
      <c r="D75">
        <v>80</v>
      </c>
      <c r="E75">
        <v>65</v>
      </c>
      <c r="F75">
        <v>97.5</v>
      </c>
    </row>
    <row r="76" spans="1:6" x14ac:dyDescent="0.25">
      <c r="A76" t="s">
        <v>4054</v>
      </c>
      <c r="B76" t="s">
        <v>2264</v>
      </c>
      <c r="C76">
        <v>112</v>
      </c>
      <c r="D76">
        <v>85</v>
      </c>
      <c r="E76">
        <v>89</v>
      </c>
      <c r="F76">
        <v>98.6</v>
      </c>
    </row>
    <row r="77" spans="1:6" x14ac:dyDescent="0.25">
      <c r="A77" t="s">
        <v>4055</v>
      </c>
      <c r="B77" t="s">
        <v>2266</v>
      </c>
      <c r="C77">
        <v>113</v>
      </c>
      <c r="D77">
        <v>79</v>
      </c>
      <c r="E77">
        <v>68</v>
      </c>
      <c r="F77">
        <v>99.1</v>
      </c>
    </row>
    <row r="78" spans="1:6" x14ac:dyDescent="0.25">
      <c r="A78" t="s">
        <v>4056</v>
      </c>
      <c r="B78" t="s">
        <v>2268</v>
      </c>
      <c r="C78">
        <v>126</v>
      </c>
      <c r="D78">
        <v>89</v>
      </c>
      <c r="E78">
        <v>89</v>
      </c>
      <c r="F78">
        <v>98.7</v>
      </c>
    </row>
    <row r="79" spans="1:6" x14ac:dyDescent="0.25">
      <c r="A79" t="s">
        <v>4057</v>
      </c>
      <c r="B79" t="s">
        <v>2269</v>
      </c>
      <c r="C79">
        <v>129</v>
      </c>
      <c r="D79">
        <v>87</v>
      </c>
      <c r="E79">
        <v>73</v>
      </c>
      <c r="F79">
        <v>98.5</v>
      </c>
    </row>
    <row r="80" spans="1:6" x14ac:dyDescent="0.25">
      <c r="A80" t="s">
        <v>4058</v>
      </c>
      <c r="B80" t="s">
        <v>2271</v>
      </c>
      <c r="C80">
        <v>131</v>
      </c>
      <c r="D80">
        <v>84</v>
      </c>
      <c r="E80">
        <v>64</v>
      </c>
      <c r="F80">
        <v>98.6</v>
      </c>
    </row>
    <row r="81" spans="1:6" x14ac:dyDescent="0.25">
      <c r="A81" t="s">
        <v>4059</v>
      </c>
      <c r="B81" t="s">
        <v>2273</v>
      </c>
      <c r="C81">
        <v>137</v>
      </c>
      <c r="D81">
        <v>74</v>
      </c>
      <c r="E81">
        <v>69</v>
      </c>
      <c r="F81">
        <v>98.7</v>
      </c>
    </row>
    <row r="82" spans="1:6" x14ac:dyDescent="0.25">
      <c r="A82" t="s">
        <v>4060</v>
      </c>
      <c r="B82" t="s">
        <v>2275</v>
      </c>
      <c r="C82">
        <v>127</v>
      </c>
      <c r="D82">
        <v>82</v>
      </c>
      <c r="E82">
        <v>91</v>
      </c>
      <c r="F82">
        <v>97.6</v>
      </c>
    </row>
    <row r="83" spans="1:6" x14ac:dyDescent="0.25">
      <c r="A83" t="s">
        <v>4061</v>
      </c>
      <c r="B83" t="s">
        <v>2277</v>
      </c>
      <c r="C83">
        <v>129</v>
      </c>
      <c r="D83">
        <v>71</v>
      </c>
      <c r="E83">
        <v>73</v>
      </c>
      <c r="F83">
        <v>99.1</v>
      </c>
    </row>
    <row r="84" spans="1:6" x14ac:dyDescent="0.25">
      <c r="A84" t="s">
        <v>4062</v>
      </c>
      <c r="B84" t="s">
        <v>2279</v>
      </c>
      <c r="C84">
        <v>127</v>
      </c>
      <c r="D84">
        <v>76</v>
      </c>
      <c r="E84">
        <v>75</v>
      </c>
      <c r="F84">
        <v>97.7</v>
      </c>
    </row>
    <row r="85" spans="1:6" x14ac:dyDescent="0.25">
      <c r="A85" t="s">
        <v>4063</v>
      </c>
      <c r="B85" t="s">
        <v>2281</v>
      </c>
      <c r="C85">
        <v>138</v>
      </c>
      <c r="D85">
        <v>83</v>
      </c>
      <c r="E85">
        <v>63</v>
      </c>
      <c r="F85">
        <v>97.6</v>
      </c>
    </row>
    <row r="86" spans="1:6" x14ac:dyDescent="0.25">
      <c r="A86" t="s">
        <v>4064</v>
      </c>
      <c r="B86" t="s">
        <v>2283</v>
      </c>
      <c r="C86">
        <v>115</v>
      </c>
      <c r="D86">
        <v>74</v>
      </c>
      <c r="E86">
        <v>63</v>
      </c>
      <c r="F86">
        <v>97.7</v>
      </c>
    </row>
    <row r="87" spans="1:6" x14ac:dyDescent="0.25">
      <c r="A87" t="s">
        <v>4065</v>
      </c>
      <c r="B87" t="s">
        <v>2284</v>
      </c>
      <c r="C87">
        <v>134</v>
      </c>
      <c r="D87">
        <v>74</v>
      </c>
      <c r="E87">
        <v>99</v>
      </c>
      <c r="F87">
        <v>98.5</v>
      </c>
    </row>
    <row r="88" spans="1:6" x14ac:dyDescent="0.25">
      <c r="A88" t="s">
        <v>4066</v>
      </c>
      <c r="B88" t="s">
        <v>2286</v>
      </c>
      <c r="C88">
        <v>126</v>
      </c>
      <c r="D88">
        <v>71</v>
      </c>
      <c r="E88">
        <v>100</v>
      </c>
      <c r="F88">
        <v>99.4</v>
      </c>
    </row>
    <row r="89" spans="1:6" x14ac:dyDescent="0.25">
      <c r="A89" t="s">
        <v>4067</v>
      </c>
      <c r="B89" t="s">
        <v>2288</v>
      </c>
      <c r="C89">
        <v>115</v>
      </c>
      <c r="D89">
        <v>85</v>
      </c>
      <c r="E89">
        <v>65</v>
      </c>
      <c r="F89">
        <v>98.8</v>
      </c>
    </row>
    <row r="90" spans="1:6" x14ac:dyDescent="0.25">
      <c r="A90" t="s">
        <v>4068</v>
      </c>
      <c r="B90" t="s">
        <v>2290</v>
      </c>
      <c r="C90">
        <v>122</v>
      </c>
      <c r="D90">
        <v>86</v>
      </c>
      <c r="E90">
        <v>100</v>
      </c>
      <c r="F90">
        <v>99.2</v>
      </c>
    </row>
    <row r="91" spans="1:6" x14ac:dyDescent="0.25">
      <c r="A91" t="s">
        <v>4069</v>
      </c>
      <c r="B91" t="s">
        <v>2292</v>
      </c>
      <c r="C91">
        <v>123</v>
      </c>
      <c r="D91">
        <v>71</v>
      </c>
      <c r="E91">
        <v>75</v>
      </c>
      <c r="F91">
        <v>98.6</v>
      </c>
    </row>
    <row r="92" spans="1:6" x14ac:dyDescent="0.25">
      <c r="A92" t="s">
        <v>4070</v>
      </c>
      <c r="B92" t="s">
        <v>2294</v>
      </c>
      <c r="C92">
        <v>131</v>
      </c>
      <c r="D92">
        <v>90</v>
      </c>
      <c r="E92">
        <v>73</v>
      </c>
      <c r="F92">
        <v>98.7</v>
      </c>
    </row>
    <row r="93" spans="1:6" x14ac:dyDescent="0.25">
      <c r="A93" t="s">
        <v>4071</v>
      </c>
      <c r="B93" t="s">
        <v>2296</v>
      </c>
      <c r="C93">
        <v>111</v>
      </c>
      <c r="D93">
        <v>74</v>
      </c>
      <c r="E93">
        <v>62</v>
      </c>
      <c r="F93">
        <v>99.3</v>
      </c>
    </row>
    <row r="94" spans="1:6" x14ac:dyDescent="0.25">
      <c r="A94" t="s">
        <v>4072</v>
      </c>
      <c r="B94" t="s">
        <v>2298</v>
      </c>
      <c r="C94">
        <v>133</v>
      </c>
      <c r="D94">
        <v>86</v>
      </c>
      <c r="E94">
        <v>80</v>
      </c>
      <c r="F94">
        <v>98.8</v>
      </c>
    </row>
    <row r="95" spans="1:6" x14ac:dyDescent="0.25">
      <c r="A95" t="s">
        <v>4073</v>
      </c>
      <c r="B95" t="s">
        <v>2300</v>
      </c>
      <c r="C95">
        <v>122</v>
      </c>
      <c r="D95">
        <v>77</v>
      </c>
      <c r="E95">
        <v>85</v>
      </c>
      <c r="F95">
        <v>97.6</v>
      </c>
    </row>
    <row r="96" spans="1:6" x14ac:dyDescent="0.25">
      <c r="A96" t="s">
        <v>4074</v>
      </c>
      <c r="B96" t="s">
        <v>2302</v>
      </c>
      <c r="C96">
        <v>130</v>
      </c>
      <c r="D96">
        <v>88</v>
      </c>
      <c r="E96">
        <v>68</v>
      </c>
      <c r="F96">
        <v>98.7</v>
      </c>
    </row>
    <row r="97" spans="1:6" x14ac:dyDescent="0.25">
      <c r="A97" t="s">
        <v>4075</v>
      </c>
      <c r="B97" t="s">
        <v>2304</v>
      </c>
      <c r="C97">
        <v>139</v>
      </c>
      <c r="D97">
        <v>90</v>
      </c>
      <c r="E97">
        <v>92</v>
      </c>
      <c r="F97">
        <v>99.2</v>
      </c>
    </row>
    <row r="98" spans="1:6" x14ac:dyDescent="0.25">
      <c r="A98" t="s">
        <v>4076</v>
      </c>
      <c r="B98" t="s">
        <v>2306</v>
      </c>
      <c r="C98">
        <v>116</v>
      </c>
      <c r="D98">
        <v>88</v>
      </c>
      <c r="E98">
        <v>74</v>
      </c>
      <c r="F98">
        <v>99.1</v>
      </c>
    </row>
    <row r="99" spans="1:6" x14ac:dyDescent="0.25">
      <c r="A99" t="s">
        <v>4077</v>
      </c>
      <c r="B99" t="s">
        <v>2308</v>
      </c>
      <c r="C99">
        <v>111</v>
      </c>
      <c r="D99">
        <v>81</v>
      </c>
      <c r="E99">
        <v>95</v>
      </c>
      <c r="F99">
        <v>97.7</v>
      </c>
    </row>
    <row r="100" spans="1:6" x14ac:dyDescent="0.25">
      <c r="A100" t="s">
        <v>4078</v>
      </c>
      <c r="B100" t="s">
        <v>2310</v>
      </c>
      <c r="C100">
        <v>128</v>
      </c>
      <c r="D100">
        <v>81</v>
      </c>
      <c r="E100">
        <v>88</v>
      </c>
      <c r="F100">
        <v>98.2</v>
      </c>
    </row>
    <row r="101" spans="1:6" x14ac:dyDescent="0.25">
      <c r="A101" t="s">
        <v>4079</v>
      </c>
      <c r="B101" t="s">
        <v>2312</v>
      </c>
      <c r="C101">
        <v>114</v>
      </c>
      <c r="D101">
        <v>71</v>
      </c>
      <c r="E101">
        <v>65</v>
      </c>
      <c r="F101">
        <v>99.1</v>
      </c>
    </row>
    <row r="102" spans="1:6" x14ac:dyDescent="0.25">
      <c r="A102" t="s">
        <v>4080</v>
      </c>
      <c r="B102" t="s">
        <v>2314</v>
      </c>
      <c r="C102">
        <v>117</v>
      </c>
      <c r="D102">
        <v>70</v>
      </c>
      <c r="E102">
        <v>77</v>
      </c>
      <c r="F102">
        <v>99.3</v>
      </c>
    </row>
    <row r="103" spans="1:6" x14ac:dyDescent="0.25">
      <c r="A103" t="s">
        <v>4081</v>
      </c>
      <c r="B103" t="s">
        <v>2316</v>
      </c>
      <c r="C103">
        <v>128</v>
      </c>
      <c r="D103">
        <v>82</v>
      </c>
      <c r="E103">
        <v>82</v>
      </c>
      <c r="F103">
        <v>99.1</v>
      </c>
    </row>
    <row r="104" spans="1:6" x14ac:dyDescent="0.25">
      <c r="A104" t="s">
        <v>4082</v>
      </c>
      <c r="B104" t="s">
        <v>2319</v>
      </c>
      <c r="C104">
        <v>126</v>
      </c>
      <c r="D104">
        <v>87</v>
      </c>
      <c r="E104">
        <v>73</v>
      </c>
      <c r="F104">
        <v>98.5</v>
      </c>
    </row>
    <row r="105" spans="1:6" x14ac:dyDescent="0.25">
      <c r="A105" t="s">
        <v>4083</v>
      </c>
      <c r="B105" t="s">
        <v>2321</v>
      </c>
      <c r="C105">
        <v>113</v>
      </c>
      <c r="D105">
        <v>80</v>
      </c>
      <c r="E105">
        <v>60</v>
      </c>
      <c r="F105">
        <v>98</v>
      </c>
    </row>
    <row r="106" spans="1:6" x14ac:dyDescent="0.25">
      <c r="A106" t="s">
        <v>4084</v>
      </c>
      <c r="B106" t="s">
        <v>2322</v>
      </c>
      <c r="C106">
        <v>136</v>
      </c>
      <c r="D106">
        <v>79</v>
      </c>
      <c r="E106">
        <v>78</v>
      </c>
      <c r="F106">
        <v>98.2</v>
      </c>
    </row>
    <row r="107" spans="1:6" x14ac:dyDescent="0.25">
      <c r="A107" t="s">
        <v>4085</v>
      </c>
      <c r="B107" t="s">
        <v>2324</v>
      </c>
      <c r="C107">
        <v>124</v>
      </c>
      <c r="D107">
        <v>82</v>
      </c>
      <c r="E107">
        <v>79</v>
      </c>
      <c r="F107">
        <v>98.5</v>
      </c>
    </row>
    <row r="108" spans="1:6" x14ac:dyDescent="0.25">
      <c r="A108" t="s">
        <v>4086</v>
      </c>
      <c r="B108" t="s">
        <v>2326</v>
      </c>
      <c r="C108">
        <v>112</v>
      </c>
      <c r="D108">
        <v>83</v>
      </c>
      <c r="E108">
        <v>74</v>
      </c>
      <c r="F108">
        <v>98</v>
      </c>
    </row>
    <row r="109" spans="1:6" x14ac:dyDescent="0.25">
      <c r="A109" t="s">
        <v>4087</v>
      </c>
      <c r="B109" t="s">
        <v>2328</v>
      </c>
      <c r="C109">
        <v>136</v>
      </c>
      <c r="D109">
        <v>77</v>
      </c>
      <c r="E109">
        <v>95</v>
      </c>
      <c r="F109">
        <v>99.5</v>
      </c>
    </row>
    <row r="110" spans="1:6" x14ac:dyDescent="0.25">
      <c r="A110" t="s">
        <v>4088</v>
      </c>
      <c r="B110" t="s">
        <v>2330</v>
      </c>
      <c r="C110">
        <v>118</v>
      </c>
      <c r="D110">
        <v>73</v>
      </c>
      <c r="E110">
        <v>61</v>
      </c>
      <c r="F110">
        <v>99.1</v>
      </c>
    </row>
    <row r="111" spans="1:6" x14ac:dyDescent="0.25">
      <c r="A111" t="s">
        <v>4089</v>
      </c>
      <c r="B111" t="s">
        <v>2332</v>
      </c>
      <c r="C111">
        <v>137</v>
      </c>
      <c r="D111">
        <v>87</v>
      </c>
      <c r="E111">
        <v>78</v>
      </c>
      <c r="F111">
        <v>98.8</v>
      </c>
    </row>
    <row r="112" spans="1:6" x14ac:dyDescent="0.25">
      <c r="A112" t="s">
        <v>4090</v>
      </c>
      <c r="B112" t="s">
        <v>2334</v>
      </c>
      <c r="C112">
        <v>123</v>
      </c>
      <c r="D112">
        <v>70</v>
      </c>
      <c r="E112">
        <v>62</v>
      </c>
      <c r="F112">
        <v>97.6</v>
      </c>
    </row>
    <row r="113" spans="1:6" x14ac:dyDescent="0.25">
      <c r="A113" t="s">
        <v>4091</v>
      </c>
      <c r="B113" t="s">
        <v>2336</v>
      </c>
      <c r="C113">
        <v>135</v>
      </c>
      <c r="D113">
        <v>89</v>
      </c>
      <c r="E113">
        <v>88</v>
      </c>
      <c r="F113">
        <v>99.1</v>
      </c>
    </row>
    <row r="114" spans="1:6" x14ac:dyDescent="0.25">
      <c r="A114" t="s">
        <v>4092</v>
      </c>
      <c r="B114" t="s">
        <v>2338</v>
      </c>
      <c r="C114">
        <v>125</v>
      </c>
      <c r="D114">
        <v>87</v>
      </c>
      <c r="E114">
        <v>67</v>
      </c>
      <c r="F114">
        <v>97.7</v>
      </c>
    </row>
    <row r="115" spans="1:6" x14ac:dyDescent="0.25">
      <c r="A115" t="s">
        <v>4093</v>
      </c>
      <c r="B115" t="s">
        <v>2340</v>
      </c>
      <c r="C115">
        <v>123</v>
      </c>
      <c r="D115">
        <v>86</v>
      </c>
      <c r="E115">
        <v>92</v>
      </c>
      <c r="F115">
        <v>98.3</v>
      </c>
    </row>
    <row r="116" spans="1:6" x14ac:dyDescent="0.25">
      <c r="A116" t="s">
        <v>4094</v>
      </c>
      <c r="B116" t="s">
        <v>2342</v>
      </c>
      <c r="C116">
        <v>119</v>
      </c>
      <c r="D116">
        <v>76</v>
      </c>
      <c r="E116">
        <v>93</v>
      </c>
      <c r="F116">
        <v>98.6</v>
      </c>
    </row>
    <row r="117" spans="1:6" x14ac:dyDescent="0.25">
      <c r="A117" t="s">
        <v>4095</v>
      </c>
      <c r="B117" t="s">
        <v>2344</v>
      </c>
      <c r="C117">
        <v>115</v>
      </c>
      <c r="D117">
        <v>81</v>
      </c>
      <c r="E117">
        <v>84</v>
      </c>
      <c r="F117">
        <v>97.9</v>
      </c>
    </row>
    <row r="118" spans="1:6" x14ac:dyDescent="0.25">
      <c r="A118" t="s">
        <v>4096</v>
      </c>
      <c r="B118" t="s">
        <v>2346</v>
      </c>
      <c r="C118">
        <v>118</v>
      </c>
      <c r="D118">
        <v>78</v>
      </c>
      <c r="E118">
        <v>62</v>
      </c>
      <c r="F118">
        <v>98.3</v>
      </c>
    </row>
    <row r="119" spans="1:6" x14ac:dyDescent="0.25">
      <c r="A119" t="s">
        <v>4097</v>
      </c>
      <c r="B119" t="s">
        <v>2348</v>
      </c>
      <c r="C119">
        <v>138</v>
      </c>
      <c r="D119">
        <v>81</v>
      </c>
      <c r="E119">
        <v>96</v>
      </c>
      <c r="F119">
        <v>98.2</v>
      </c>
    </row>
    <row r="120" spans="1:6" x14ac:dyDescent="0.25">
      <c r="A120" t="s">
        <v>4098</v>
      </c>
      <c r="B120" t="s">
        <v>2350</v>
      </c>
      <c r="C120">
        <v>127</v>
      </c>
      <c r="D120">
        <v>80</v>
      </c>
      <c r="E120">
        <v>96</v>
      </c>
      <c r="F120">
        <v>98.3</v>
      </c>
    </row>
    <row r="121" spans="1:6" x14ac:dyDescent="0.25">
      <c r="A121" t="s">
        <v>4099</v>
      </c>
      <c r="B121" t="s">
        <v>2352</v>
      </c>
      <c r="C121">
        <v>132</v>
      </c>
      <c r="D121">
        <v>70</v>
      </c>
      <c r="E121">
        <v>68</v>
      </c>
      <c r="F121">
        <v>97.6</v>
      </c>
    </row>
    <row r="122" spans="1:6" x14ac:dyDescent="0.25">
      <c r="A122" t="s">
        <v>4100</v>
      </c>
      <c r="B122" t="s">
        <v>2354</v>
      </c>
      <c r="C122">
        <v>116</v>
      </c>
      <c r="D122">
        <v>79</v>
      </c>
      <c r="E122">
        <v>87</v>
      </c>
      <c r="F122">
        <v>98.2</v>
      </c>
    </row>
    <row r="123" spans="1:6" x14ac:dyDescent="0.25">
      <c r="A123" t="s">
        <v>4101</v>
      </c>
      <c r="B123" t="s">
        <v>2356</v>
      </c>
      <c r="C123">
        <v>112</v>
      </c>
      <c r="D123">
        <v>84</v>
      </c>
      <c r="E123">
        <v>82</v>
      </c>
      <c r="F123">
        <v>98.8</v>
      </c>
    </row>
    <row r="124" spans="1:6" x14ac:dyDescent="0.25">
      <c r="A124" t="s">
        <v>4102</v>
      </c>
      <c r="B124" t="s">
        <v>2357</v>
      </c>
      <c r="C124">
        <v>112</v>
      </c>
      <c r="D124">
        <v>79</v>
      </c>
      <c r="E124">
        <v>84</v>
      </c>
      <c r="F124">
        <v>97.8</v>
      </c>
    </row>
    <row r="125" spans="1:6" x14ac:dyDescent="0.25">
      <c r="A125" t="s">
        <v>4103</v>
      </c>
      <c r="B125" t="s">
        <v>2359</v>
      </c>
      <c r="C125">
        <v>115</v>
      </c>
      <c r="D125">
        <v>84</v>
      </c>
      <c r="E125">
        <v>66</v>
      </c>
      <c r="F125">
        <v>97.9</v>
      </c>
    </row>
    <row r="126" spans="1:6" x14ac:dyDescent="0.25">
      <c r="A126" t="s">
        <v>4104</v>
      </c>
      <c r="B126" t="s">
        <v>2361</v>
      </c>
      <c r="C126">
        <v>117</v>
      </c>
      <c r="D126">
        <v>87</v>
      </c>
      <c r="E126">
        <v>81</v>
      </c>
      <c r="F126">
        <v>98.4</v>
      </c>
    </row>
    <row r="127" spans="1:6" x14ac:dyDescent="0.25">
      <c r="A127" t="s">
        <v>4105</v>
      </c>
      <c r="B127" t="s">
        <v>2363</v>
      </c>
      <c r="C127">
        <v>113</v>
      </c>
      <c r="D127">
        <v>74</v>
      </c>
      <c r="E127">
        <v>73</v>
      </c>
      <c r="F127">
        <v>99</v>
      </c>
    </row>
    <row r="128" spans="1:6" x14ac:dyDescent="0.25">
      <c r="A128" t="s">
        <v>4106</v>
      </c>
      <c r="B128" t="s">
        <v>2365</v>
      </c>
      <c r="C128">
        <v>121</v>
      </c>
      <c r="D128">
        <v>78</v>
      </c>
      <c r="E128">
        <v>61</v>
      </c>
      <c r="F128">
        <v>98</v>
      </c>
    </row>
    <row r="129" spans="1:6" x14ac:dyDescent="0.25">
      <c r="A129" t="s">
        <v>4107</v>
      </c>
      <c r="B129" t="s">
        <v>2367</v>
      </c>
      <c r="C129">
        <v>118</v>
      </c>
      <c r="D129">
        <v>82</v>
      </c>
      <c r="E129">
        <v>89</v>
      </c>
      <c r="F129">
        <v>98.8</v>
      </c>
    </row>
    <row r="130" spans="1:6" x14ac:dyDescent="0.25">
      <c r="A130" t="s">
        <v>4108</v>
      </c>
      <c r="B130" t="s">
        <v>2369</v>
      </c>
      <c r="C130">
        <v>114</v>
      </c>
      <c r="D130">
        <v>90</v>
      </c>
      <c r="E130">
        <v>65</v>
      </c>
      <c r="F130">
        <v>99</v>
      </c>
    </row>
    <row r="131" spans="1:6" x14ac:dyDescent="0.25">
      <c r="A131" t="s">
        <v>4109</v>
      </c>
      <c r="B131" t="s">
        <v>2371</v>
      </c>
      <c r="C131">
        <v>125</v>
      </c>
      <c r="D131">
        <v>85</v>
      </c>
      <c r="E131">
        <v>76</v>
      </c>
      <c r="F131">
        <v>99.3</v>
      </c>
    </row>
    <row r="132" spans="1:6" x14ac:dyDescent="0.25">
      <c r="A132" t="s">
        <v>4110</v>
      </c>
      <c r="B132" t="s">
        <v>2372</v>
      </c>
      <c r="C132">
        <v>121</v>
      </c>
      <c r="D132">
        <v>75</v>
      </c>
      <c r="E132">
        <v>61</v>
      </c>
      <c r="F132">
        <v>97.6</v>
      </c>
    </row>
    <row r="133" spans="1:6" x14ac:dyDescent="0.25">
      <c r="A133" t="s">
        <v>4111</v>
      </c>
      <c r="B133" t="s">
        <v>2374</v>
      </c>
      <c r="C133">
        <v>140</v>
      </c>
      <c r="D133">
        <v>84</v>
      </c>
      <c r="E133">
        <v>86</v>
      </c>
      <c r="F133">
        <v>97.8</v>
      </c>
    </row>
    <row r="134" spans="1:6" x14ac:dyDescent="0.25">
      <c r="A134" t="s">
        <v>4112</v>
      </c>
      <c r="B134" t="s">
        <v>2376</v>
      </c>
      <c r="C134">
        <v>122</v>
      </c>
      <c r="D134">
        <v>82</v>
      </c>
      <c r="E134">
        <v>95</v>
      </c>
      <c r="F134">
        <v>98.5</v>
      </c>
    </row>
    <row r="135" spans="1:6" x14ac:dyDescent="0.25">
      <c r="A135" t="s">
        <v>4113</v>
      </c>
      <c r="B135" t="s">
        <v>2378</v>
      </c>
      <c r="C135">
        <v>138</v>
      </c>
      <c r="D135">
        <v>89</v>
      </c>
      <c r="E135">
        <v>62</v>
      </c>
      <c r="F135">
        <v>97.5</v>
      </c>
    </row>
    <row r="136" spans="1:6" x14ac:dyDescent="0.25">
      <c r="A136" t="s">
        <v>4114</v>
      </c>
      <c r="B136" t="s">
        <v>2380</v>
      </c>
      <c r="C136">
        <v>111</v>
      </c>
      <c r="D136">
        <v>85</v>
      </c>
      <c r="E136">
        <v>68</v>
      </c>
      <c r="F136">
        <v>98.3</v>
      </c>
    </row>
    <row r="137" spans="1:6" x14ac:dyDescent="0.25">
      <c r="A137" t="s">
        <v>4115</v>
      </c>
      <c r="B137" t="s">
        <v>2382</v>
      </c>
      <c r="C137">
        <v>121</v>
      </c>
      <c r="D137">
        <v>89</v>
      </c>
      <c r="E137">
        <v>93</v>
      </c>
      <c r="F137">
        <v>98.8</v>
      </c>
    </row>
    <row r="138" spans="1:6" x14ac:dyDescent="0.25">
      <c r="A138" t="s">
        <v>4116</v>
      </c>
      <c r="B138" t="s">
        <v>2384</v>
      </c>
      <c r="C138">
        <v>136</v>
      </c>
      <c r="D138">
        <v>80</v>
      </c>
      <c r="E138">
        <v>67</v>
      </c>
      <c r="F138">
        <v>99.1</v>
      </c>
    </row>
    <row r="139" spans="1:6" x14ac:dyDescent="0.25">
      <c r="A139" t="s">
        <v>4117</v>
      </c>
      <c r="B139" t="s">
        <v>2386</v>
      </c>
      <c r="C139">
        <v>123</v>
      </c>
      <c r="D139">
        <v>79</v>
      </c>
      <c r="E139">
        <v>81</v>
      </c>
      <c r="F139">
        <v>98.6</v>
      </c>
    </row>
    <row r="140" spans="1:6" x14ac:dyDescent="0.25">
      <c r="A140" t="s">
        <v>4118</v>
      </c>
      <c r="B140" t="s">
        <v>2388</v>
      </c>
      <c r="C140">
        <v>114</v>
      </c>
      <c r="D140">
        <v>82</v>
      </c>
      <c r="E140">
        <v>80</v>
      </c>
      <c r="F140">
        <v>98.2</v>
      </c>
    </row>
    <row r="141" spans="1:6" x14ac:dyDescent="0.25">
      <c r="A141" t="s">
        <v>4119</v>
      </c>
      <c r="B141" t="s">
        <v>2390</v>
      </c>
      <c r="C141">
        <v>133</v>
      </c>
      <c r="D141">
        <v>75</v>
      </c>
      <c r="E141">
        <v>76</v>
      </c>
      <c r="F141">
        <v>98.8</v>
      </c>
    </row>
    <row r="142" spans="1:6" x14ac:dyDescent="0.25">
      <c r="A142" t="s">
        <v>4120</v>
      </c>
      <c r="B142" t="s">
        <v>2392</v>
      </c>
      <c r="C142">
        <v>125</v>
      </c>
      <c r="D142">
        <v>77</v>
      </c>
      <c r="E142">
        <v>90</v>
      </c>
      <c r="F142">
        <v>98.3</v>
      </c>
    </row>
    <row r="143" spans="1:6" x14ac:dyDescent="0.25">
      <c r="A143" t="s">
        <v>4121</v>
      </c>
      <c r="B143" t="s">
        <v>2394</v>
      </c>
      <c r="C143">
        <v>121</v>
      </c>
      <c r="D143">
        <v>88</v>
      </c>
      <c r="E143">
        <v>71</v>
      </c>
      <c r="F143">
        <v>97.7</v>
      </c>
    </row>
    <row r="144" spans="1:6" x14ac:dyDescent="0.25">
      <c r="A144" t="s">
        <v>4122</v>
      </c>
      <c r="B144" t="s">
        <v>2396</v>
      </c>
      <c r="C144">
        <v>126</v>
      </c>
      <c r="D144">
        <v>85</v>
      </c>
      <c r="E144">
        <v>77</v>
      </c>
      <c r="F144">
        <v>98.6</v>
      </c>
    </row>
    <row r="145" spans="1:6" x14ac:dyDescent="0.25">
      <c r="A145" t="s">
        <v>4123</v>
      </c>
      <c r="B145" t="s">
        <v>2398</v>
      </c>
      <c r="C145">
        <v>138</v>
      </c>
      <c r="D145">
        <v>71</v>
      </c>
      <c r="E145">
        <v>98</v>
      </c>
      <c r="F145">
        <v>99</v>
      </c>
    </row>
    <row r="146" spans="1:6" x14ac:dyDescent="0.25">
      <c r="A146" t="s">
        <v>4124</v>
      </c>
      <c r="B146" t="s">
        <v>2399</v>
      </c>
      <c r="C146">
        <v>122</v>
      </c>
      <c r="D146">
        <v>74</v>
      </c>
      <c r="E146">
        <v>79</v>
      </c>
      <c r="F146">
        <v>97.7</v>
      </c>
    </row>
    <row r="147" spans="1:6" x14ac:dyDescent="0.25">
      <c r="A147" t="s">
        <v>4125</v>
      </c>
      <c r="B147" t="s">
        <v>2400</v>
      </c>
      <c r="C147">
        <v>124</v>
      </c>
      <c r="D147">
        <v>84</v>
      </c>
      <c r="E147">
        <v>66</v>
      </c>
      <c r="F147">
        <v>98.6</v>
      </c>
    </row>
    <row r="148" spans="1:6" x14ac:dyDescent="0.25">
      <c r="A148" t="s">
        <v>4126</v>
      </c>
      <c r="B148" t="s">
        <v>2402</v>
      </c>
      <c r="C148">
        <v>128</v>
      </c>
      <c r="D148">
        <v>86</v>
      </c>
      <c r="E148">
        <v>72</v>
      </c>
      <c r="F148">
        <v>98.3</v>
      </c>
    </row>
    <row r="149" spans="1:6" x14ac:dyDescent="0.25">
      <c r="A149" t="s">
        <v>4127</v>
      </c>
      <c r="B149" t="s">
        <v>2404</v>
      </c>
      <c r="C149">
        <v>114</v>
      </c>
      <c r="D149">
        <v>80</v>
      </c>
      <c r="E149">
        <v>84</v>
      </c>
      <c r="F149">
        <v>97.6</v>
      </c>
    </row>
    <row r="150" spans="1:6" x14ac:dyDescent="0.25">
      <c r="A150" t="s">
        <v>4128</v>
      </c>
      <c r="B150" t="s">
        <v>2406</v>
      </c>
      <c r="C150">
        <v>128</v>
      </c>
      <c r="D150">
        <v>75</v>
      </c>
      <c r="E150">
        <v>70</v>
      </c>
      <c r="F150">
        <v>97.6</v>
      </c>
    </row>
    <row r="151" spans="1:6" x14ac:dyDescent="0.25">
      <c r="A151" t="s">
        <v>4129</v>
      </c>
      <c r="B151" t="s">
        <v>2408</v>
      </c>
      <c r="C151">
        <v>123</v>
      </c>
      <c r="D151">
        <v>89</v>
      </c>
      <c r="E151">
        <v>87</v>
      </c>
      <c r="F151">
        <v>97.7</v>
      </c>
    </row>
    <row r="152" spans="1:6" x14ac:dyDescent="0.25">
      <c r="A152" t="s">
        <v>4130</v>
      </c>
      <c r="B152" t="s">
        <v>2410</v>
      </c>
      <c r="C152">
        <v>114</v>
      </c>
      <c r="D152">
        <v>85</v>
      </c>
      <c r="E152">
        <v>70</v>
      </c>
      <c r="F152">
        <v>99.3</v>
      </c>
    </row>
    <row r="153" spans="1:6" x14ac:dyDescent="0.25">
      <c r="A153" t="s">
        <v>4131</v>
      </c>
      <c r="B153" t="s">
        <v>2412</v>
      </c>
      <c r="C153">
        <v>115</v>
      </c>
      <c r="D153">
        <v>85</v>
      </c>
      <c r="E153">
        <v>93</v>
      </c>
      <c r="F153">
        <v>98.7</v>
      </c>
    </row>
    <row r="154" spans="1:6" x14ac:dyDescent="0.25">
      <c r="A154" t="s">
        <v>4132</v>
      </c>
      <c r="B154" t="s">
        <v>2414</v>
      </c>
      <c r="C154">
        <v>113</v>
      </c>
      <c r="D154">
        <v>79</v>
      </c>
      <c r="E154">
        <v>91</v>
      </c>
      <c r="F154">
        <v>98.3</v>
      </c>
    </row>
    <row r="155" spans="1:6" x14ac:dyDescent="0.25">
      <c r="A155" t="s">
        <v>4133</v>
      </c>
      <c r="B155" t="s">
        <v>2416</v>
      </c>
      <c r="C155">
        <v>126</v>
      </c>
      <c r="D155">
        <v>86</v>
      </c>
      <c r="E155">
        <v>98</v>
      </c>
      <c r="F155">
        <v>99.2</v>
      </c>
    </row>
    <row r="156" spans="1:6" x14ac:dyDescent="0.25">
      <c r="A156" t="s">
        <v>4134</v>
      </c>
      <c r="B156" t="s">
        <v>2418</v>
      </c>
      <c r="C156">
        <v>138</v>
      </c>
      <c r="D156">
        <v>83</v>
      </c>
      <c r="E156">
        <v>80</v>
      </c>
      <c r="F156">
        <v>98.3</v>
      </c>
    </row>
    <row r="157" spans="1:6" x14ac:dyDescent="0.25">
      <c r="A157" t="s">
        <v>4135</v>
      </c>
      <c r="B157" t="s">
        <v>2420</v>
      </c>
      <c r="C157">
        <v>114</v>
      </c>
      <c r="D157">
        <v>75</v>
      </c>
      <c r="E157">
        <v>83</v>
      </c>
      <c r="F157">
        <v>98.2</v>
      </c>
    </row>
    <row r="158" spans="1:6" x14ac:dyDescent="0.25">
      <c r="A158" t="s">
        <v>4136</v>
      </c>
      <c r="B158" t="s">
        <v>2422</v>
      </c>
      <c r="C158">
        <v>139</v>
      </c>
      <c r="D158">
        <v>84</v>
      </c>
      <c r="E158">
        <v>95</v>
      </c>
      <c r="F158">
        <v>99</v>
      </c>
    </row>
    <row r="159" spans="1:6" x14ac:dyDescent="0.25">
      <c r="A159" t="s">
        <v>4137</v>
      </c>
      <c r="B159" t="s">
        <v>2424</v>
      </c>
      <c r="C159">
        <v>138</v>
      </c>
      <c r="D159">
        <v>78</v>
      </c>
      <c r="E159">
        <v>94</v>
      </c>
      <c r="F159">
        <v>99.2</v>
      </c>
    </row>
    <row r="160" spans="1:6" x14ac:dyDescent="0.25">
      <c r="A160" t="s">
        <v>4138</v>
      </c>
      <c r="B160" t="s">
        <v>2426</v>
      </c>
      <c r="C160">
        <v>140</v>
      </c>
      <c r="D160">
        <v>85</v>
      </c>
      <c r="E160">
        <v>100</v>
      </c>
      <c r="F160">
        <v>97.5</v>
      </c>
    </row>
    <row r="161" spans="1:6" x14ac:dyDescent="0.25">
      <c r="A161" t="s">
        <v>4139</v>
      </c>
      <c r="B161" t="s">
        <v>2427</v>
      </c>
      <c r="C161">
        <v>140</v>
      </c>
      <c r="D161">
        <v>87</v>
      </c>
      <c r="E161">
        <v>79</v>
      </c>
      <c r="F161">
        <v>97.9</v>
      </c>
    </row>
    <row r="162" spans="1:6" x14ac:dyDescent="0.25">
      <c r="A162" t="s">
        <v>4140</v>
      </c>
      <c r="B162" t="s">
        <v>2429</v>
      </c>
      <c r="C162">
        <v>118</v>
      </c>
      <c r="D162">
        <v>71</v>
      </c>
      <c r="E162">
        <v>99</v>
      </c>
      <c r="F162">
        <v>99</v>
      </c>
    </row>
    <row r="163" spans="1:6" x14ac:dyDescent="0.25">
      <c r="A163" t="s">
        <v>4141</v>
      </c>
      <c r="B163" t="s">
        <v>2431</v>
      </c>
      <c r="C163">
        <v>120</v>
      </c>
      <c r="D163">
        <v>74</v>
      </c>
      <c r="E163">
        <v>72</v>
      </c>
      <c r="F163">
        <v>99.3</v>
      </c>
    </row>
    <row r="164" spans="1:6" x14ac:dyDescent="0.25">
      <c r="A164" t="s">
        <v>4142</v>
      </c>
      <c r="B164" t="s">
        <v>2433</v>
      </c>
      <c r="C164">
        <v>123</v>
      </c>
      <c r="D164">
        <v>85</v>
      </c>
      <c r="E164">
        <v>60</v>
      </c>
      <c r="F164">
        <v>99.4</v>
      </c>
    </row>
    <row r="165" spans="1:6" x14ac:dyDescent="0.25">
      <c r="A165" t="s">
        <v>4143</v>
      </c>
      <c r="B165" t="s">
        <v>2435</v>
      </c>
      <c r="C165">
        <v>130</v>
      </c>
      <c r="D165">
        <v>87</v>
      </c>
      <c r="E165">
        <v>82</v>
      </c>
      <c r="F165">
        <v>97.5</v>
      </c>
    </row>
    <row r="166" spans="1:6" x14ac:dyDescent="0.25">
      <c r="A166" t="s">
        <v>4144</v>
      </c>
      <c r="B166" t="s">
        <v>2437</v>
      </c>
      <c r="C166">
        <v>116</v>
      </c>
      <c r="D166">
        <v>75</v>
      </c>
      <c r="E166">
        <v>72</v>
      </c>
      <c r="F166">
        <v>98.1</v>
      </c>
    </row>
    <row r="167" spans="1:6" x14ac:dyDescent="0.25">
      <c r="A167" t="s">
        <v>4145</v>
      </c>
      <c r="B167" t="s">
        <v>2439</v>
      </c>
      <c r="C167">
        <v>140</v>
      </c>
      <c r="D167">
        <v>81</v>
      </c>
      <c r="E167">
        <v>80</v>
      </c>
      <c r="F167">
        <v>98.4</v>
      </c>
    </row>
    <row r="168" spans="1:6" x14ac:dyDescent="0.25">
      <c r="A168" t="s">
        <v>4146</v>
      </c>
      <c r="B168" t="s">
        <v>2441</v>
      </c>
      <c r="C168">
        <v>137</v>
      </c>
      <c r="D168">
        <v>90</v>
      </c>
      <c r="E168">
        <v>87</v>
      </c>
      <c r="F168">
        <v>98.3</v>
      </c>
    </row>
    <row r="169" spans="1:6" x14ac:dyDescent="0.25">
      <c r="A169" t="s">
        <v>4147</v>
      </c>
      <c r="B169" t="s">
        <v>2443</v>
      </c>
      <c r="C169">
        <v>133</v>
      </c>
      <c r="D169">
        <v>75</v>
      </c>
      <c r="E169">
        <v>99</v>
      </c>
      <c r="F169">
        <v>98.7</v>
      </c>
    </row>
    <row r="170" spans="1:6" x14ac:dyDescent="0.25">
      <c r="A170" t="s">
        <v>4148</v>
      </c>
      <c r="B170" t="s">
        <v>2445</v>
      </c>
      <c r="C170">
        <v>139</v>
      </c>
      <c r="D170">
        <v>85</v>
      </c>
      <c r="E170">
        <v>64</v>
      </c>
      <c r="F170">
        <v>99.4</v>
      </c>
    </row>
    <row r="171" spans="1:6" x14ac:dyDescent="0.25">
      <c r="A171" t="s">
        <v>4149</v>
      </c>
      <c r="B171" t="s">
        <v>2447</v>
      </c>
      <c r="C171">
        <v>113</v>
      </c>
      <c r="D171">
        <v>73</v>
      </c>
      <c r="E171">
        <v>91</v>
      </c>
      <c r="F171">
        <v>97.6</v>
      </c>
    </row>
    <row r="172" spans="1:6" x14ac:dyDescent="0.25">
      <c r="A172" t="s">
        <v>4150</v>
      </c>
      <c r="B172" t="s">
        <v>2449</v>
      </c>
      <c r="C172">
        <v>126</v>
      </c>
      <c r="D172">
        <v>80</v>
      </c>
      <c r="E172">
        <v>70</v>
      </c>
      <c r="F172">
        <v>98.5</v>
      </c>
    </row>
    <row r="173" spans="1:6" x14ac:dyDescent="0.25">
      <c r="A173" t="s">
        <v>4151</v>
      </c>
      <c r="B173" t="s">
        <v>2451</v>
      </c>
      <c r="C173">
        <v>134</v>
      </c>
      <c r="D173">
        <v>78</v>
      </c>
      <c r="E173">
        <v>98</v>
      </c>
      <c r="F173">
        <v>97.7</v>
      </c>
    </row>
    <row r="174" spans="1:6" x14ac:dyDescent="0.25">
      <c r="A174" t="s">
        <v>4152</v>
      </c>
      <c r="B174" t="s">
        <v>2453</v>
      </c>
      <c r="C174">
        <v>124</v>
      </c>
      <c r="D174">
        <v>88</v>
      </c>
      <c r="E174">
        <v>65</v>
      </c>
      <c r="F174">
        <v>98.1</v>
      </c>
    </row>
    <row r="175" spans="1:6" x14ac:dyDescent="0.25">
      <c r="A175" t="s">
        <v>4153</v>
      </c>
      <c r="B175" t="s">
        <v>2455</v>
      </c>
      <c r="C175">
        <v>119</v>
      </c>
      <c r="D175">
        <v>80</v>
      </c>
      <c r="E175">
        <v>97</v>
      </c>
      <c r="F175">
        <v>97.8</v>
      </c>
    </row>
    <row r="176" spans="1:6" x14ac:dyDescent="0.25">
      <c r="A176" t="s">
        <v>4154</v>
      </c>
      <c r="B176" t="s">
        <v>2457</v>
      </c>
      <c r="C176">
        <v>112</v>
      </c>
      <c r="D176">
        <v>80</v>
      </c>
      <c r="E176">
        <v>92</v>
      </c>
      <c r="F176">
        <v>97.7</v>
      </c>
    </row>
    <row r="177" spans="1:6" x14ac:dyDescent="0.25">
      <c r="A177" t="s">
        <v>4155</v>
      </c>
      <c r="B177" t="s">
        <v>2459</v>
      </c>
      <c r="C177">
        <v>114</v>
      </c>
      <c r="D177">
        <v>81</v>
      </c>
      <c r="E177">
        <v>77</v>
      </c>
      <c r="F177">
        <v>98</v>
      </c>
    </row>
    <row r="178" spans="1:6" x14ac:dyDescent="0.25">
      <c r="A178" t="s">
        <v>4156</v>
      </c>
      <c r="B178" t="s">
        <v>2461</v>
      </c>
      <c r="C178">
        <v>136</v>
      </c>
      <c r="D178">
        <v>71</v>
      </c>
      <c r="E178">
        <v>78</v>
      </c>
      <c r="F178">
        <v>98.1</v>
      </c>
    </row>
    <row r="179" spans="1:6" x14ac:dyDescent="0.25">
      <c r="A179" t="s">
        <v>4157</v>
      </c>
      <c r="B179" t="s">
        <v>2463</v>
      </c>
      <c r="C179">
        <v>129</v>
      </c>
      <c r="D179">
        <v>75</v>
      </c>
      <c r="E179">
        <v>78</v>
      </c>
      <c r="F179">
        <v>99.5</v>
      </c>
    </row>
    <row r="180" spans="1:6" x14ac:dyDescent="0.25">
      <c r="A180" t="s">
        <v>4158</v>
      </c>
      <c r="B180" t="s">
        <v>2465</v>
      </c>
      <c r="C180">
        <v>131</v>
      </c>
      <c r="D180">
        <v>71</v>
      </c>
      <c r="E180">
        <v>98</v>
      </c>
      <c r="F180">
        <v>99.5</v>
      </c>
    </row>
    <row r="181" spans="1:6" x14ac:dyDescent="0.25">
      <c r="A181" t="s">
        <v>4159</v>
      </c>
      <c r="B181" t="s">
        <v>2467</v>
      </c>
      <c r="C181">
        <v>122</v>
      </c>
      <c r="D181">
        <v>71</v>
      </c>
      <c r="E181">
        <v>75</v>
      </c>
      <c r="F181">
        <v>98.1</v>
      </c>
    </row>
    <row r="182" spans="1:6" x14ac:dyDescent="0.25">
      <c r="A182" t="s">
        <v>4160</v>
      </c>
      <c r="B182" t="s">
        <v>2469</v>
      </c>
      <c r="C182">
        <v>114</v>
      </c>
      <c r="D182">
        <v>82</v>
      </c>
      <c r="E182">
        <v>76</v>
      </c>
      <c r="F182">
        <v>97.6</v>
      </c>
    </row>
    <row r="183" spans="1:6" x14ac:dyDescent="0.25">
      <c r="A183" t="s">
        <v>4161</v>
      </c>
      <c r="B183" t="s">
        <v>2471</v>
      </c>
      <c r="C183">
        <v>120</v>
      </c>
      <c r="D183">
        <v>76</v>
      </c>
      <c r="E183">
        <v>88</v>
      </c>
      <c r="F183">
        <v>97.6</v>
      </c>
    </row>
    <row r="184" spans="1:6" x14ac:dyDescent="0.25">
      <c r="A184" t="s">
        <v>4162</v>
      </c>
      <c r="B184" t="s">
        <v>2473</v>
      </c>
      <c r="C184">
        <v>140</v>
      </c>
      <c r="D184">
        <v>86</v>
      </c>
      <c r="E184">
        <v>84</v>
      </c>
      <c r="F184">
        <v>98.5</v>
      </c>
    </row>
    <row r="185" spans="1:6" x14ac:dyDescent="0.25">
      <c r="A185" t="s">
        <v>4163</v>
      </c>
      <c r="B185" t="s">
        <v>2475</v>
      </c>
      <c r="C185">
        <v>135</v>
      </c>
      <c r="D185">
        <v>82</v>
      </c>
      <c r="E185">
        <v>85</v>
      </c>
      <c r="F185">
        <v>98.7</v>
      </c>
    </row>
    <row r="186" spans="1:6" x14ac:dyDescent="0.25">
      <c r="A186" t="s">
        <v>4164</v>
      </c>
      <c r="B186" t="s">
        <v>2477</v>
      </c>
      <c r="C186">
        <v>118</v>
      </c>
      <c r="D186">
        <v>88</v>
      </c>
      <c r="E186">
        <v>87</v>
      </c>
      <c r="F186">
        <v>98.5</v>
      </c>
    </row>
    <row r="187" spans="1:6" x14ac:dyDescent="0.25">
      <c r="A187" t="s">
        <v>4165</v>
      </c>
      <c r="B187" t="s">
        <v>2479</v>
      </c>
      <c r="C187">
        <v>117</v>
      </c>
      <c r="D187">
        <v>89</v>
      </c>
      <c r="E187">
        <v>74</v>
      </c>
      <c r="F187">
        <v>98</v>
      </c>
    </row>
    <row r="188" spans="1:6" x14ac:dyDescent="0.25">
      <c r="A188" t="s">
        <v>4166</v>
      </c>
      <c r="B188" t="s">
        <v>2481</v>
      </c>
      <c r="C188">
        <v>112</v>
      </c>
      <c r="D188">
        <v>85</v>
      </c>
      <c r="E188">
        <v>92</v>
      </c>
      <c r="F188">
        <v>97.8</v>
      </c>
    </row>
    <row r="189" spans="1:6" x14ac:dyDescent="0.25">
      <c r="A189" t="s">
        <v>4167</v>
      </c>
      <c r="B189" t="s">
        <v>2482</v>
      </c>
      <c r="C189">
        <v>123</v>
      </c>
      <c r="D189">
        <v>88</v>
      </c>
      <c r="E189">
        <v>74</v>
      </c>
      <c r="F189">
        <v>98.3</v>
      </c>
    </row>
    <row r="190" spans="1:6" x14ac:dyDescent="0.25">
      <c r="A190" t="s">
        <v>4168</v>
      </c>
      <c r="B190" t="s">
        <v>2484</v>
      </c>
      <c r="C190">
        <v>129</v>
      </c>
      <c r="D190">
        <v>85</v>
      </c>
      <c r="E190">
        <v>95</v>
      </c>
      <c r="F190">
        <v>97.5</v>
      </c>
    </row>
    <row r="191" spans="1:6" x14ac:dyDescent="0.25">
      <c r="A191" t="s">
        <v>4169</v>
      </c>
      <c r="B191" t="s">
        <v>2486</v>
      </c>
      <c r="C191">
        <v>115</v>
      </c>
      <c r="D191">
        <v>88</v>
      </c>
      <c r="E191">
        <v>92</v>
      </c>
      <c r="F191">
        <v>98</v>
      </c>
    </row>
    <row r="192" spans="1:6" x14ac:dyDescent="0.25">
      <c r="A192" t="s">
        <v>4170</v>
      </c>
      <c r="B192" t="s">
        <v>2488</v>
      </c>
      <c r="C192">
        <v>129</v>
      </c>
      <c r="D192">
        <v>75</v>
      </c>
      <c r="E192">
        <v>85</v>
      </c>
      <c r="F192">
        <v>98.8</v>
      </c>
    </row>
    <row r="193" spans="1:6" x14ac:dyDescent="0.25">
      <c r="A193" t="s">
        <v>4171</v>
      </c>
      <c r="B193" t="s">
        <v>2490</v>
      </c>
      <c r="C193">
        <v>125</v>
      </c>
      <c r="D193">
        <v>81</v>
      </c>
      <c r="E193">
        <v>75</v>
      </c>
      <c r="F193">
        <v>97.9</v>
      </c>
    </row>
    <row r="194" spans="1:6" x14ac:dyDescent="0.25">
      <c r="A194" t="s">
        <v>4172</v>
      </c>
      <c r="B194" t="s">
        <v>2492</v>
      </c>
      <c r="C194">
        <v>137</v>
      </c>
      <c r="D194">
        <v>78</v>
      </c>
      <c r="E194">
        <v>84</v>
      </c>
      <c r="F194">
        <v>98</v>
      </c>
    </row>
    <row r="195" spans="1:6" x14ac:dyDescent="0.25">
      <c r="A195" t="s">
        <v>4173</v>
      </c>
      <c r="B195" t="s">
        <v>2494</v>
      </c>
      <c r="C195">
        <v>129</v>
      </c>
      <c r="D195">
        <v>73</v>
      </c>
      <c r="E195">
        <v>97</v>
      </c>
      <c r="F195">
        <v>98.1</v>
      </c>
    </row>
    <row r="196" spans="1:6" x14ac:dyDescent="0.25">
      <c r="A196" t="s">
        <v>4174</v>
      </c>
      <c r="B196" t="s">
        <v>2496</v>
      </c>
      <c r="C196">
        <v>134</v>
      </c>
      <c r="D196">
        <v>90</v>
      </c>
      <c r="E196">
        <v>84</v>
      </c>
      <c r="F196">
        <v>98.8</v>
      </c>
    </row>
    <row r="197" spans="1:6" x14ac:dyDescent="0.25">
      <c r="A197" t="s">
        <v>4175</v>
      </c>
      <c r="B197" t="s">
        <v>2497</v>
      </c>
      <c r="C197">
        <v>138</v>
      </c>
      <c r="D197">
        <v>84</v>
      </c>
      <c r="E197">
        <v>66</v>
      </c>
      <c r="F197">
        <v>98.5</v>
      </c>
    </row>
    <row r="198" spans="1:6" x14ac:dyDescent="0.25">
      <c r="A198" t="s">
        <v>4176</v>
      </c>
      <c r="B198" t="s">
        <v>2499</v>
      </c>
      <c r="C198">
        <v>135</v>
      </c>
      <c r="D198">
        <v>74</v>
      </c>
      <c r="E198">
        <v>97</v>
      </c>
      <c r="F198">
        <v>97.7</v>
      </c>
    </row>
    <row r="199" spans="1:6" x14ac:dyDescent="0.25">
      <c r="A199" t="s">
        <v>4177</v>
      </c>
      <c r="B199" t="s">
        <v>2501</v>
      </c>
      <c r="C199">
        <v>124</v>
      </c>
      <c r="D199">
        <v>89</v>
      </c>
      <c r="E199">
        <v>91</v>
      </c>
      <c r="F199">
        <v>97.9</v>
      </c>
    </row>
    <row r="200" spans="1:6" x14ac:dyDescent="0.25">
      <c r="A200" t="s">
        <v>4178</v>
      </c>
      <c r="B200" t="s">
        <v>2502</v>
      </c>
      <c r="C200">
        <v>132</v>
      </c>
      <c r="D200">
        <v>79</v>
      </c>
      <c r="E200">
        <v>83</v>
      </c>
      <c r="F200">
        <v>99</v>
      </c>
    </row>
    <row r="201" spans="1:6" x14ac:dyDescent="0.25">
      <c r="A201" t="s">
        <v>4179</v>
      </c>
      <c r="B201" t="s">
        <v>2503</v>
      </c>
      <c r="C201">
        <v>110</v>
      </c>
      <c r="D201">
        <v>74</v>
      </c>
      <c r="E201">
        <v>72</v>
      </c>
      <c r="F201">
        <v>97.8</v>
      </c>
    </row>
    <row r="202" spans="1:6" x14ac:dyDescent="0.25">
      <c r="A202" t="s">
        <v>4180</v>
      </c>
      <c r="B202" t="s">
        <v>2505</v>
      </c>
      <c r="C202">
        <v>111</v>
      </c>
      <c r="D202">
        <v>90</v>
      </c>
      <c r="E202">
        <v>85</v>
      </c>
      <c r="F202">
        <v>98.7</v>
      </c>
    </row>
    <row r="203" spans="1:6" x14ac:dyDescent="0.25">
      <c r="A203" t="s">
        <v>4181</v>
      </c>
      <c r="B203" t="s">
        <v>2507</v>
      </c>
      <c r="C203">
        <v>111</v>
      </c>
      <c r="D203">
        <v>82</v>
      </c>
      <c r="E203">
        <v>87</v>
      </c>
      <c r="F203">
        <v>98.2</v>
      </c>
    </row>
    <row r="204" spans="1:6" x14ac:dyDescent="0.25">
      <c r="A204" t="s">
        <v>4182</v>
      </c>
      <c r="B204" t="s">
        <v>2509</v>
      </c>
      <c r="C204">
        <v>135</v>
      </c>
      <c r="D204">
        <v>71</v>
      </c>
      <c r="E204">
        <v>90</v>
      </c>
      <c r="F204">
        <v>98.6</v>
      </c>
    </row>
    <row r="205" spans="1:6" x14ac:dyDescent="0.25">
      <c r="A205" t="s">
        <v>4183</v>
      </c>
      <c r="B205" t="s">
        <v>2511</v>
      </c>
      <c r="C205">
        <v>115</v>
      </c>
      <c r="D205">
        <v>81</v>
      </c>
      <c r="E205">
        <v>82</v>
      </c>
      <c r="F205">
        <v>97.6</v>
      </c>
    </row>
    <row r="206" spans="1:6" x14ac:dyDescent="0.25">
      <c r="A206" t="s">
        <v>4184</v>
      </c>
      <c r="B206" t="s">
        <v>2513</v>
      </c>
      <c r="C206">
        <v>122</v>
      </c>
      <c r="D206">
        <v>87</v>
      </c>
      <c r="E206">
        <v>91</v>
      </c>
      <c r="F206">
        <v>97.8</v>
      </c>
    </row>
    <row r="207" spans="1:6" x14ac:dyDescent="0.25">
      <c r="A207" t="s">
        <v>4185</v>
      </c>
      <c r="B207" t="s">
        <v>2515</v>
      </c>
      <c r="C207">
        <v>126</v>
      </c>
      <c r="D207">
        <v>85</v>
      </c>
      <c r="E207">
        <v>87</v>
      </c>
      <c r="F207">
        <v>98.2</v>
      </c>
    </row>
    <row r="208" spans="1:6" x14ac:dyDescent="0.25">
      <c r="A208" t="s">
        <v>4186</v>
      </c>
      <c r="B208" t="s">
        <v>2517</v>
      </c>
      <c r="C208">
        <v>138</v>
      </c>
      <c r="D208">
        <v>90</v>
      </c>
      <c r="E208">
        <v>94</v>
      </c>
      <c r="F208">
        <v>99</v>
      </c>
    </row>
    <row r="209" spans="1:6" x14ac:dyDescent="0.25">
      <c r="A209" t="s">
        <v>4187</v>
      </c>
      <c r="B209" t="s">
        <v>2519</v>
      </c>
      <c r="C209">
        <v>137</v>
      </c>
      <c r="D209">
        <v>74</v>
      </c>
      <c r="E209">
        <v>78</v>
      </c>
      <c r="F209">
        <v>98.7</v>
      </c>
    </row>
    <row r="210" spans="1:6" x14ac:dyDescent="0.25">
      <c r="A210" t="s">
        <v>4188</v>
      </c>
      <c r="B210" t="s">
        <v>2521</v>
      </c>
      <c r="C210">
        <v>117</v>
      </c>
      <c r="D210">
        <v>82</v>
      </c>
      <c r="E210">
        <v>88</v>
      </c>
      <c r="F210">
        <v>97.6</v>
      </c>
    </row>
    <row r="211" spans="1:6" x14ac:dyDescent="0.25">
      <c r="A211" t="s">
        <v>4189</v>
      </c>
      <c r="B211" t="s">
        <v>2523</v>
      </c>
      <c r="C211">
        <v>129</v>
      </c>
      <c r="D211">
        <v>72</v>
      </c>
      <c r="E211">
        <v>64</v>
      </c>
      <c r="F211">
        <v>99.4</v>
      </c>
    </row>
    <row r="212" spans="1:6" x14ac:dyDescent="0.25">
      <c r="A212" t="s">
        <v>4190</v>
      </c>
      <c r="B212" t="s">
        <v>2525</v>
      </c>
      <c r="C212">
        <v>118</v>
      </c>
      <c r="D212">
        <v>78</v>
      </c>
      <c r="E212">
        <v>83</v>
      </c>
      <c r="F212">
        <v>99.2</v>
      </c>
    </row>
    <row r="213" spans="1:6" x14ac:dyDescent="0.25">
      <c r="A213" t="s">
        <v>4191</v>
      </c>
      <c r="B213" t="s">
        <v>2527</v>
      </c>
      <c r="C213">
        <v>124</v>
      </c>
      <c r="D213">
        <v>79</v>
      </c>
      <c r="E213">
        <v>87</v>
      </c>
      <c r="F213">
        <v>99.2</v>
      </c>
    </row>
    <row r="214" spans="1:6" x14ac:dyDescent="0.25">
      <c r="A214" t="s">
        <v>4192</v>
      </c>
      <c r="B214" t="s">
        <v>2529</v>
      </c>
      <c r="C214">
        <v>135</v>
      </c>
      <c r="D214">
        <v>71</v>
      </c>
      <c r="E214">
        <v>75</v>
      </c>
      <c r="F214">
        <v>98.7</v>
      </c>
    </row>
    <row r="215" spans="1:6" x14ac:dyDescent="0.25">
      <c r="A215" t="s">
        <v>4193</v>
      </c>
      <c r="B215" t="s">
        <v>2531</v>
      </c>
      <c r="C215">
        <v>138</v>
      </c>
      <c r="D215">
        <v>90</v>
      </c>
      <c r="E215">
        <v>85</v>
      </c>
      <c r="F215">
        <v>97.6</v>
      </c>
    </row>
    <row r="216" spans="1:6" x14ac:dyDescent="0.25">
      <c r="A216" t="s">
        <v>4194</v>
      </c>
      <c r="B216" t="s">
        <v>2533</v>
      </c>
      <c r="C216">
        <v>130</v>
      </c>
      <c r="D216">
        <v>88</v>
      </c>
      <c r="E216">
        <v>95</v>
      </c>
      <c r="F216">
        <v>98.2</v>
      </c>
    </row>
    <row r="217" spans="1:6" x14ac:dyDescent="0.25">
      <c r="A217" t="s">
        <v>4195</v>
      </c>
      <c r="B217" t="s">
        <v>2535</v>
      </c>
      <c r="C217">
        <v>125</v>
      </c>
      <c r="D217">
        <v>82</v>
      </c>
      <c r="E217">
        <v>92</v>
      </c>
      <c r="F217">
        <v>99.3</v>
      </c>
    </row>
    <row r="218" spans="1:6" x14ac:dyDescent="0.25">
      <c r="A218" t="s">
        <v>4196</v>
      </c>
      <c r="B218" t="s">
        <v>2537</v>
      </c>
      <c r="C218">
        <v>126</v>
      </c>
      <c r="D218">
        <v>85</v>
      </c>
      <c r="E218">
        <v>78</v>
      </c>
      <c r="F218">
        <v>97.7</v>
      </c>
    </row>
    <row r="219" spans="1:6" x14ac:dyDescent="0.25">
      <c r="A219" t="s">
        <v>4197</v>
      </c>
      <c r="B219" t="s">
        <v>2539</v>
      </c>
      <c r="C219">
        <v>130</v>
      </c>
      <c r="D219">
        <v>83</v>
      </c>
      <c r="E219">
        <v>61</v>
      </c>
      <c r="F219">
        <v>98.1</v>
      </c>
    </row>
    <row r="220" spans="1:6" x14ac:dyDescent="0.25">
      <c r="A220" t="s">
        <v>4198</v>
      </c>
      <c r="B220" t="s">
        <v>2541</v>
      </c>
      <c r="C220">
        <v>132</v>
      </c>
      <c r="D220">
        <v>75</v>
      </c>
      <c r="E220">
        <v>73</v>
      </c>
      <c r="F220">
        <v>97.7</v>
      </c>
    </row>
    <row r="221" spans="1:6" x14ac:dyDescent="0.25">
      <c r="A221" t="s">
        <v>4199</v>
      </c>
      <c r="B221" t="s">
        <v>2543</v>
      </c>
      <c r="C221">
        <v>122</v>
      </c>
      <c r="D221">
        <v>82</v>
      </c>
      <c r="E221">
        <v>72</v>
      </c>
      <c r="F221">
        <v>98.5</v>
      </c>
    </row>
    <row r="222" spans="1:6" x14ac:dyDescent="0.25">
      <c r="A222" t="s">
        <v>4200</v>
      </c>
      <c r="B222" t="s">
        <v>2545</v>
      </c>
      <c r="C222">
        <v>133</v>
      </c>
      <c r="D222">
        <v>87</v>
      </c>
      <c r="E222">
        <v>80</v>
      </c>
      <c r="F222">
        <v>98.3</v>
      </c>
    </row>
    <row r="223" spans="1:6" x14ac:dyDescent="0.25">
      <c r="A223" t="s">
        <v>4201</v>
      </c>
      <c r="B223" t="s">
        <v>2547</v>
      </c>
      <c r="C223">
        <v>110</v>
      </c>
      <c r="D223">
        <v>79</v>
      </c>
      <c r="E223">
        <v>63</v>
      </c>
      <c r="F223">
        <v>98.8</v>
      </c>
    </row>
    <row r="224" spans="1:6" x14ac:dyDescent="0.25">
      <c r="A224" t="s">
        <v>4202</v>
      </c>
      <c r="B224" t="s">
        <v>2549</v>
      </c>
      <c r="C224">
        <v>123</v>
      </c>
      <c r="D224">
        <v>87</v>
      </c>
      <c r="E224">
        <v>81</v>
      </c>
      <c r="F224">
        <v>98.4</v>
      </c>
    </row>
    <row r="225" spans="1:6" x14ac:dyDescent="0.25">
      <c r="A225" t="s">
        <v>4203</v>
      </c>
      <c r="B225" t="s">
        <v>2551</v>
      </c>
      <c r="C225">
        <v>131</v>
      </c>
      <c r="D225">
        <v>85</v>
      </c>
      <c r="E225">
        <v>96</v>
      </c>
      <c r="F225">
        <v>98.6</v>
      </c>
    </row>
    <row r="226" spans="1:6" x14ac:dyDescent="0.25">
      <c r="A226" t="s">
        <v>4204</v>
      </c>
      <c r="B226" t="s">
        <v>2553</v>
      </c>
      <c r="C226">
        <v>117</v>
      </c>
      <c r="D226">
        <v>85</v>
      </c>
      <c r="E226">
        <v>93</v>
      </c>
      <c r="F226">
        <v>98.7</v>
      </c>
    </row>
    <row r="227" spans="1:6" x14ac:dyDescent="0.25">
      <c r="A227" t="s">
        <v>4205</v>
      </c>
      <c r="B227" t="s">
        <v>2554</v>
      </c>
      <c r="C227">
        <v>140</v>
      </c>
      <c r="D227">
        <v>75</v>
      </c>
      <c r="E227">
        <v>91</v>
      </c>
      <c r="F227">
        <v>99.1</v>
      </c>
    </row>
    <row r="228" spans="1:6" x14ac:dyDescent="0.25">
      <c r="A228" t="s">
        <v>4206</v>
      </c>
      <c r="B228" t="s">
        <v>2556</v>
      </c>
      <c r="C228">
        <v>114</v>
      </c>
      <c r="D228">
        <v>89</v>
      </c>
      <c r="E228">
        <v>67</v>
      </c>
      <c r="F228">
        <v>99.3</v>
      </c>
    </row>
    <row r="229" spans="1:6" x14ac:dyDescent="0.25">
      <c r="A229" t="s">
        <v>4207</v>
      </c>
      <c r="B229" t="s">
        <v>2558</v>
      </c>
      <c r="C229">
        <v>118</v>
      </c>
      <c r="D229">
        <v>77</v>
      </c>
      <c r="E229">
        <v>99</v>
      </c>
      <c r="F229">
        <v>99.1</v>
      </c>
    </row>
    <row r="230" spans="1:6" x14ac:dyDescent="0.25">
      <c r="A230" t="s">
        <v>4208</v>
      </c>
      <c r="B230" t="s">
        <v>2560</v>
      </c>
      <c r="C230">
        <v>110</v>
      </c>
      <c r="D230">
        <v>90</v>
      </c>
      <c r="E230">
        <v>90</v>
      </c>
      <c r="F230">
        <v>97.8</v>
      </c>
    </row>
    <row r="231" spans="1:6" x14ac:dyDescent="0.25">
      <c r="A231" t="s">
        <v>4209</v>
      </c>
      <c r="B231" t="s">
        <v>2562</v>
      </c>
      <c r="C231">
        <v>119</v>
      </c>
      <c r="D231">
        <v>87</v>
      </c>
      <c r="E231">
        <v>60</v>
      </c>
      <c r="F231">
        <v>98.9</v>
      </c>
    </row>
    <row r="232" spans="1:6" x14ac:dyDescent="0.25">
      <c r="A232" t="s">
        <v>4210</v>
      </c>
      <c r="B232" t="s">
        <v>2564</v>
      </c>
      <c r="C232">
        <v>134</v>
      </c>
      <c r="D232">
        <v>76</v>
      </c>
      <c r="E232">
        <v>97</v>
      </c>
      <c r="F232">
        <v>99.5</v>
      </c>
    </row>
    <row r="233" spans="1:6" x14ac:dyDescent="0.25">
      <c r="A233" t="s">
        <v>4211</v>
      </c>
      <c r="B233" t="s">
        <v>2566</v>
      </c>
      <c r="C233">
        <v>121</v>
      </c>
      <c r="D233">
        <v>80</v>
      </c>
      <c r="E233">
        <v>61</v>
      </c>
      <c r="F233">
        <v>98.2</v>
      </c>
    </row>
    <row r="234" spans="1:6" x14ac:dyDescent="0.25">
      <c r="A234" t="s">
        <v>4212</v>
      </c>
      <c r="B234" t="s">
        <v>2568</v>
      </c>
      <c r="C234">
        <v>114</v>
      </c>
      <c r="D234">
        <v>78</v>
      </c>
      <c r="E234">
        <v>67</v>
      </c>
      <c r="F234">
        <v>98.9</v>
      </c>
    </row>
    <row r="235" spans="1:6" x14ac:dyDescent="0.25">
      <c r="A235" t="s">
        <v>4213</v>
      </c>
      <c r="B235" t="s">
        <v>2570</v>
      </c>
      <c r="C235">
        <v>131</v>
      </c>
      <c r="D235">
        <v>88</v>
      </c>
      <c r="E235">
        <v>62</v>
      </c>
      <c r="F235">
        <v>98.9</v>
      </c>
    </row>
    <row r="236" spans="1:6" x14ac:dyDescent="0.25">
      <c r="A236" t="s">
        <v>4214</v>
      </c>
      <c r="B236" t="s">
        <v>2572</v>
      </c>
      <c r="C236">
        <v>110</v>
      </c>
      <c r="D236">
        <v>71</v>
      </c>
      <c r="E236">
        <v>99</v>
      </c>
      <c r="F236">
        <v>97.8</v>
      </c>
    </row>
    <row r="237" spans="1:6" x14ac:dyDescent="0.25">
      <c r="A237" t="s">
        <v>4215</v>
      </c>
      <c r="B237" t="s">
        <v>2574</v>
      </c>
      <c r="C237">
        <v>129</v>
      </c>
      <c r="D237">
        <v>83</v>
      </c>
      <c r="E237">
        <v>70</v>
      </c>
      <c r="F237">
        <v>99.1</v>
      </c>
    </row>
    <row r="238" spans="1:6" x14ac:dyDescent="0.25">
      <c r="A238" t="s">
        <v>4216</v>
      </c>
      <c r="B238" t="s">
        <v>2576</v>
      </c>
      <c r="C238">
        <v>140</v>
      </c>
      <c r="D238">
        <v>81</v>
      </c>
      <c r="E238">
        <v>72</v>
      </c>
      <c r="F238">
        <v>98.4</v>
      </c>
    </row>
    <row r="239" spans="1:6" x14ac:dyDescent="0.25">
      <c r="A239" t="s">
        <v>4217</v>
      </c>
      <c r="B239" t="s">
        <v>2578</v>
      </c>
      <c r="C239">
        <v>136</v>
      </c>
      <c r="D239">
        <v>89</v>
      </c>
      <c r="E239">
        <v>81</v>
      </c>
      <c r="F239">
        <v>98.1</v>
      </c>
    </row>
    <row r="240" spans="1:6" x14ac:dyDescent="0.25">
      <c r="A240" t="s">
        <v>4218</v>
      </c>
      <c r="B240" t="s">
        <v>2580</v>
      </c>
      <c r="C240">
        <v>135</v>
      </c>
      <c r="D240">
        <v>73</v>
      </c>
      <c r="E240">
        <v>65</v>
      </c>
      <c r="F240">
        <v>98.4</v>
      </c>
    </row>
    <row r="241" spans="1:6" x14ac:dyDescent="0.25">
      <c r="A241" t="s">
        <v>4219</v>
      </c>
      <c r="B241" t="s">
        <v>2582</v>
      </c>
      <c r="C241">
        <v>115</v>
      </c>
      <c r="D241">
        <v>83</v>
      </c>
      <c r="E241">
        <v>65</v>
      </c>
      <c r="F241">
        <v>99.4</v>
      </c>
    </row>
    <row r="242" spans="1:6" x14ac:dyDescent="0.25">
      <c r="A242" t="s">
        <v>4220</v>
      </c>
      <c r="B242" t="s">
        <v>2583</v>
      </c>
      <c r="C242">
        <v>133</v>
      </c>
      <c r="D242">
        <v>74</v>
      </c>
      <c r="E242">
        <v>91</v>
      </c>
      <c r="F242">
        <v>97.6</v>
      </c>
    </row>
    <row r="243" spans="1:6" x14ac:dyDescent="0.25">
      <c r="A243" t="s">
        <v>4221</v>
      </c>
      <c r="B243" t="s">
        <v>2585</v>
      </c>
      <c r="C243">
        <v>126</v>
      </c>
      <c r="D243">
        <v>80</v>
      </c>
      <c r="E243">
        <v>84</v>
      </c>
      <c r="F243">
        <v>99.2</v>
      </c>
    </row>
    <row r="244" spans="1:6" x14ac:dyDescent="0.25">
      <c r="A244" t="s">
        <v>4222</v>
      </c>
      <c r="B244" t="s">
        <v>2586</v>
      </c>
      <c r="C244">
        <v>120</v>
      </c>
      <c r="D244">
        <v>72</v>
      </c>
      <c r="E244">
        <v>65</v>
      </c>
      <c r="F244">
        <v>99.1</v>
      </c>
    </row>
    <row r="245" spans="1:6" x14ac:dyDescent="0.25">
      <c r="A245" t="s">
        <v>4223</v>
      </c>
      <c r="B245" t="s">
        <v>2588</v>
      </c>
      <c r="C245">
        <v>128</v>
      </c>
      <c r="D245">
        <v>81</v>
      </c>
      <c r="E245">
        <v>97</v>
      </c>
      <c r="F245">
        <v>99.4</v>
      </c>
    </row>
    <row r="246" spans="1:6" x14ac:dyDescent="0.25">
      <c r="A246" t="s">
        <v>4224</v>
      </c>
      <c r="B246" t="s">
        <v>2590</v>
      </c>
      <c r="C246">
        <v>137</v>
      </c>
      <c r="D246">
        <v>74</v>
      </c>
      <c r="E246">
        <v>88</v>
      </c>
      <c r="F246">
        <v>97.9</v>
      </c>
    </row>
    <row r="247" spans="1:6" x14ac:dyDescent="0.25">
      <c r="A247" t="s">
        <v>4225</v>
      </c>
      <c r="B247" t="s">
        <v>2592</v>
      </c>
      <c r="C247">
        <v>111</v>
      </c>
      <c r="D247">
        <v>72</v>
      </c>
      <c r="E247">
        <v>82</v>
      </c>
      <c r="F247">
        <v>97.6</v>
      </c>
    </row>
    <row r="248" spans="1:6" x14ac:dyDescent="0.25">
      <c r="A248" t="s">
        <v>4226</v>
      </c>
      <c r="B248" t="s">
        <v>2594</v>
      </c>
      <c r="C248">
        <v>125</v>
      </c>
      <c r="D248">
        <v>72</v>
      </c>
      <c r="E248">
        <v>86</v>
      </c>
      <c r="F248">
        <v>98.3</v>
      </c>
    </row>
    <row r="249" spans="1:6" x14ac:dyDescent="0.25">
      <c r="A249" t="s">
        <v>4227</v>
      </c>
      <c r="B249" t="s">
        <v>2596</v>
      </c>
      <c r="C249">
        <v>127</v>
      </c>
      <c r="D249">
        <v>78</v>
      </c>
      <c r="E249">
        <v>63</v>
      </c>
      <c r="F249">
        <v>97.7</v>
      </c>
    </row>
    <row r="250" spans="1:6" x14ac:dyDescent="0.25">
      <c r="A250" t="s">
        <v>4228</v>
      </c>
      <c r="B250" t="s">
        <v>2598</v>
      </c>
      <c r="C250">
        <v>135</v>
      </c>
      <c r="D250">
        <v>84</v>
      </c>
      <c r="E250">
        <v>86</v>
      </c>
      <c r="F250">
        <v>98.5</v>
      </c>
    </row>
    <row r="251" spans="1:6" x14ac:dyDescent="0.25">
      <c r="A251" t="s">
        <v>4229</v>
      </c>
      <c r="B251" t="s">
        <v>2600</v>
      </c>
      <c r="C251">
        <v>127</v>
      </c>
      <c r="D251">
        <v>78</v>
      </c>
      <c r="E251">
        <v>90</v>
      </c>
      <c r="F251">
        <v>97.7</v>
      </c>
    </row>
    <row r="252" spans="1:6" x14ac:dyDescent="0.25">
      <c r="A252" t="s">
        <v>4230</v>
      </c>
      <c r="B252" t="s">
        <v>2602</v>
      </c>
      <c r="C252">
        <v>112</v>
      </c>
      <c r="D252">
        <v>86</v>
      </c>
      <c r="E252">
        <v>94</v>
      </c>
      <c r="F252">
        <v>99.4</v>
      </c>
    </row>
    <row r="253" spans="1:6" x14ac:dyDescent="0.25">
      <c r="A253" t="s">
        <v>4231</v>
      </c>
      <c r="B253" t="s">
        <v>2604</v>
      </c>
      <c r="C253">
        <v>120</v>
      </c>
      <c r="D253">
        <v>71</v>
      </c>
      <c r="E253">
        <v>96</v>
      </c>
      <c r="F253">
        <v>99.4</v>
      </c>
    </row>
    <row r="254" spans="1:6" x14ac:dyDescent="0.25">
      <c r="A254" t="s">
        <v>4232</v>
      </c>
      <c r="B254" t="s">
        <v>2606</v>
      </c>
      <c r="C254">
        <v>126</v>
      </c>
      <c r="D254">
        <v>74</v>
      </c>
      <c r="E254">
        <v>71</v>
      </c>
      <c r="F254">
        <v>99.4</v>
      </c>
    </row>
    <row r="255" spans="1:6" x14ac:dyDescent="0.25">
      <c r="A255" t="s">
        <v>4233</v>
      </c>
      <c r="B255" t="s">
        <v>2608</v>
      </c>
      <c r="C255">
        <v>118</v>
      </c>
      <c r="D255">
        <v>82</v>
      </c>
      <c r="E255">
        <v>74</v>
      </c>
      <c r="F255">
        <v>98.4</v>
      </c>
    </row>
    <row r="256" spans="1:6" x14ac:dyDescent="0.25">
      <c r="A256" t="s">
        <v>4234</v>
      </c>
      <c r="B256" t="s">
        <v>2610</v>
      </c>
      <c r="C256">
        <v>139</v>
      </c>
      <c r="D256">
        <v>80</v>
      </c>
      <c r="E256">
        <v>83</v>
      </c>
      <c r="F256">
        <v>98.8</v>
      </c>
    </row>
    <row r="257" spans="1:6" x14ac:dyDescent="0.25">
      <c r="A257" t="s">
        <v>4235</v>
      </c>
      <c r="B257" t="s">
        <v>2612</v>
      </c>
      <c r="C257">
        <v>133</v>
      </c>
      <c r="D257">
        <v>74</v>
      </c>
      <c r="E257">
        <v>87</v>
      </c>
      <c r="F257">
        <v>99</v>
      </c>
    </row>
    <row r="258" spans="1:6" x14ac:dyDescent="0.25">
      <c r="A258" t="s">
        <v>4236</v>
      </c>
      <c r="B258" t="s">
        <v>2614</v>
      </c>
      <c r="C258">
        <v>127</v>
      </c>
      <c r="D258">
        <v>81</v>
      </c>
      <c r="E258">
        <v>63</v>
      </c>
      <c r="F258">
        <v>99.1</v>
      </c>
    </row>
    <row r="259" spans="1:6" x14ac:dyDescent="0.25">
      <c r="A259" t="s">
        <v>4237</v>
      </c>
      <c r="B259" t="s">
        <v>2615</v>
      </c>
      <c r="C259">
        <v>110</v>
      </c>
      <c r="D259">
        <v>81</v>
      </c>
      <c r="E259">
        <v>73</v>
      </c>
      <c r="F259">
        <v>98.2</v>
      </c>
    </row>
    <row r="260" spans="1:6" x14ac:dyDescent="0.25">
      <c r="A260" t="s">
        <v>4238</v>
      </c>
      <c r="B260" t="s">
        <v>2617</v>
      </c>
      <c r="C260">
        <v>119</v>
      </c>
      <c r="D260">
        <v>81</v>
      </c>
      <c r="E260">
        <v>81</v>
      </c>
      <c r="F260">
        <v>98.3</v>
      </c>
    </row>
    <row r="261" spans="1:6" x14ac:dyDescent="0.25">
      <c r="A261" t="s">
        <v>4239</v>
      </c>
      <c r="B261" t="s">
        <v>2619</v>
      </c>
      <c r="C261">
        <v>131</v>
      </c>
      <c r="D261">
        <v>75</v>
      </c>
      <c r="E261">
        <v>85</v>
      </c>
      <c r="F261">
        <v>98.2</v>
      </c>
    </row>
    <row r="262" spans="1:6" x14ac:dyDescent="0.25">
      <c r="A262" t="s">
        <v>4240</v>
      </c>
      <c r="B262" t="s">
        <v>2621</v>
      </c>
      <c r="C262">
        <v>125</v>
      </c>
      <c r="D262">
        <v>81</v>
      </c>
      <c r="E262">
        <v>95</v>
      </c>
      <c r="F262">
        <v>97.6</v>
      </c>
    </row>
    <row r="263" spans="1:6" x14ac:dyDescent="0.25">
      <c r="A263" t="s">
        <v>4241</v>
      </c>
      <c r="B263" t="s">
        <v>2623</v>
      </c>
      <c r="C263">
        <v>127</v>
      </c>
      <c r="D263">
        <v>70</v>
      </c>
      <c r="E263">
        <v>94</v>
      </c>
      <c r="F263">
        <v>98.1</v>
      </c>
    </row>
    <row r="264" spans="1:6" x14ac:dyDescent="0.25">
      <c r="A264" t="s">
        <v>4242</v>
      </c>
      <c r="B264" t="s">
        <v>2625</v>
      </c>
      <c r="C264">
        <v>119</v>
      </c>
      <c r="D264">
        <v>81</v>
      </c>
      <c r="E264">
        <v>100</v>
      </c>
      <c r="F264">
        <v>98.9</v>
      </c>
    </row>
    <row r="265" spans="1:6" x14ac:dyDescent="0.25">
      <c r="A265" t="s">
        <v>4243</v>
      </c>
      <c r="B265" t="s">
        <v>2627</v>
      </c>
      <c r="C265">
        <v>135</v>
      </c>
      <c r="D265">
        <v>70</v>
      </c>
      <c r="E265">
        <v>80</v>
      </c>
      <c r="F265">
        <v>98.1</v>
      </c>
    </row>
    <row r="266" spans="1:6" x14ac:dyDescent="0.25">
      <c r="A266" t="s">
        <v>4244</v>
      </c>
      <c r="B266" t="s">
        <v>2629</v>
      </c>
      <c r="C266">
        <v>124</v>
      </c>
      <c r="D266">
        <v>86</v>
      </c>
      <c r="E266">
        <v>88</v>
      </c>
      <c r="F266">
        <v>97.5</v>
      </c>
    </row>
    <row r="267" spans="1:6" x14ac:dyDescent="0.25">
      <c r="A267" t="s">
        <v>4245</v>
      </c>
      <c r="B267" t="s">
        <v>2631</v>
      </c>
      <c r="C267">
        <v>136</v>
      </c>
      <c r="D267">
        <v>75</v>
      </c>
      <c r="E267">
        <v>94</v>
      </c>
      <c r="F267">
        <v>99.2</v>
      </c>
    </row>
    <row r="268" spans="1:6" x14ac:dyDescent="0.25">
      <c r="A268" t="s">
        <v>4246</v>
      </c>
      <c r="B268" t="s">
        <v>2633</v>
      </c>
      <c r="C268">
        <v>123</v>
      </c>
      <c r="D268">
        <v>86</v>
      </c>
      <c r="E268">
        <v>95</v>
      </c>
      <c r="F268">
        <v>98.8</v>
      </c>
    </row>
    <row r="269" spans="1:6" x14ac:dyDescent="0.25">
      <c r="A269" t="s">
        <v>4247</v>
      </c>
      <c r="B269" t="s">
        <v>2635</v>
      </c>
      <c r="C269">
        <v>128</v>
      </c>
      <c r="D269">
        <v>74</v>
      </c>
      <c r="E269">
        <v>80</v>
      </c>
      <c r="F269">
        <v>98.8</v>
      </c>
    </row>
    <row r="270" spans="1:6" x14ac:dyDescent="0.25">
      <c r="A270" t="s">
        <v>4248</v>
      </c>
      <c r="B270" t="s">
        <v>2637</v>
      </c>
      <c r="C270">
        <v>138</v>
      </c>
      <c r="D270">
        <v>75</v>
      </c>
      <c r="E270">
        <v>63</v>
      </c>
      <c r="F270">
        <v>98.8</v>
      </c>
    </row>
    <row r="271" spans="1:6" x14ac:dyDescent="0.25">
      <c r="A271" t="s">
        <v>4249</v>
      </c>
      <c r="B271" t="s">
        <v>2639</v>
      </c>
      <c r="C271">
        <v>132</v>
      </c>
      <c r="D271">
        <v>81</v>
      </c>
      <c r="E271">
        <v>98</v>
      </c>
      <c r="F271">
        <v>99.4</v>
      </c>
    </row>
    <row r="272" spans="1:6" x14ac:dyDescent="0.25">
      <c r="A272" t="s">
        <v>4250</v>
      </c>
      <c r="B272" t="s">
        <v>2641</v>
      </c>
      <c r="C272">
        <v>112</v>
      </c>
      <c r="D272">
        <v>86</v>
      </c>
      <c r="E272">
        <v>72</v>
      </c>
      <c r="F272">
        <v>98.9</v>
      </c>
    </row>
    <row r="273" spans="1:6" x14ac:dyDescent="0.25">
      <c r="A273" t="s">
        <v>4251</v>
      </c>
      <c r="B273" t="s">
        <v>2642</v>
      </c>
      <c r="C273">
        <v>140</v>
      </c>
      <c r="D273">
        <v>85</v>
      </c>
      <c r="E273">
        <v>71</v>
      </c>
      <c r="F273">
        <v>97.7</v>
      </c>
    </row>
    <row r="274" spans="1:6" x14ac:dyDescent="0.25">
      <c r="A274" t="s">
        <v>4252</v>
      </c>
      <c r="B274" t="s">
        <v>2644</v>
      </c>
      <c r="C274">
        <v>112</v>
      </c>
      <c r="D274">
        <v>83</v>
      </c>
      <c r="E274">
        <v>83</v>
      </c>
      <c r="F274">
        <v>98.4</v>
      </c>
    </row>
    <row r="275" spans="1:6" x14ac:dyDescent="0.25">
      <c r="A275" t="s">
        <v>4253</v>
      </c>
      <c r="B275" t="s">
        <v>2646</v>
      </c>
      <c r="C275">
        <v>111</v>
      </c>
      <c r="D275">
        <v>75</v>
      </c>
      <c r="E275">
        <v>83</v>
      </c>
      <c r="F275">
        <v>98.5</v>
      </c>
    </row>
    <row r="276" spans="1:6" x14ac:dyDescent="0.25">
      <c r="A276" t="s">
        <v>4254</v>
      </c>
      <c r="B276" t="s">
        <v>2648</v>
      </c>
      <c r="C276">
        <v>111</v>
      </c>
      <c r="D276">
        <v>70</v>
      </c>
      <c r="E276">
        <v>73</v>
      </c>
      <c r="F276">
        <v>98.6</v>
      </c>
    </row>
    <row r="277" spans="1:6" x14ac:dyDescent="0.25">
      <c r="A277" t="s">
        <v>4255</v>
      </c>
      <c r="B277" t="s">
        <v>2650</v>
      </c>
      <c r="C277">
        <v>126</v>
      </c>
      <c r="D277">
        <v>75</v>
      </c>
      <c r="E277">
        <v>98</v>
      </c>
      <c r="F277">
        <v>98</v>
      </c>
    </row>
    <row r="278" spans="1:6" x14ac:dyDescent="0.25">
      <c r="A278" t="s">
        <v>4256</v>
      </c>
      <c r="B278" t="s">
        <v>2652</v>
      </c>
      <c r="C278">
        <v>136</v>
      </c>
      <c r="D278">
        <v>85</v>
      </c>
      <c r="E278">
        <v>70</v>
      </c>
      <c r="F278">
        <v>98.3</v>
      </c>
    </row>
    <row r="279" spans="1:6" x14ac:dyDescent="0.25">
      <c r="A279" t="s">
        <v>4257</v>
      </c>
      <c r="B279" t="s">
        <v>2654</v>
      </c>
      <c r="C279">
        <v>138</v>
      </c>
      <c r="D279">
        <v>81</v>
      </c>
      <c r="E279">
        <v>80</v>
      </c>
      <c r="F279">
        <v>97.7</v>
      </c>
    </row>
    <row r="280" spans="1:6" x14ac:dyDescent="0.25">
      <c r="A280" t="s">
        <v>4258</v>
      </c>
      <c r="B280" t="s">
        <v>2656</v>
      </c>
      <c r="C280">
        <v>113</v>
      </c>
      <c r="D280">
        <v>81</v>
      </c>
      <c r="E280">
        <v>94</v>
      </c>
      <c r="F280">
        <v>98.3</v>
      </c>
    </row>
    <row r="281" spans="1:6" x14ac:dyDescent="0.25">
      <c r="A281" t="s">
        <v>4259</v>
      </c>
      <c r="B281" t="s">
        <v>2658</v>
      </c>
      <c r="C281">
        <v>119</v>
      </c>
      <c r="D281">
        <v>87</v>
      </c>
      <c r="E281">
        <v>94</v>
      </c>
      <c r="F281">
        <v>97.8</v>
      </c>
    </row>
    <row r="282" spans="1:6" x14ac:dyDescent="0.25">
      <c r="A282" t="s">
        <v>4260</v>
      </c>
      <c r="B282" t="s">
        <v>2660</v>
      </c>
      <c r="C282">
        <v>126</v>
      </c>
      <c r="D282">
        <v>70</v>
      </c>
      <c r="E282">
        <v>82</v>
      </c>
      <c r="F282">
        <v>98.2</v>
      </c>
    </row>
    <row r="283" spans="1:6" x14ac:dyDescent="0.25">
      <c r="A283" t="s">
        <v>4261</v>
      </c>
      <c r="B283" t="s">
        <v>2662</v>
      </c>
      <c r="C283">
        <v>131</v>
      </c>
      <c r="D283">
        <v>87</v>
      </c>
      <c r="E283">
        <v>98</v>
      </c>
      <c r="F283">
        <v>97.9</v>
      </c>
    </row>
    <row r="284" spans="1:6" x14ac:dyDescent="0.25">
      <c r="A284" t="s">
        <v>4262</v>
      </c>
      <c r="B284" t="s">
        <v>2664</v>
      </c>
      <c r="C284">
        <v>122</v>
      </c>
      <c r="D284">
        <v>90</v>
      </c>
      <c r="E284">
        <v>80</v>
      </c>
      <c r="F284">
        <v>97.7</v>
      </c>
    </row>
    <row r="285" spans="1:6" x14ac:dyDescent="0.25">
      <c r="A285" t="s">
        <v>4263</v>
      </c>
      <c r="B285" t="s">
        <v>2666</v>
      </c>
      <c r="C285">
        <v>128</v>
      </c>
      <c r="D285">
        <v>83</v>
      </c>
      <c r="E285">
        <v>77</v>
      </c>
      <c r="F285">
        <v>99.1</v>
      </c>
    </row>
    <row r="286" spans="1:6" x14ac:dyDescent="0.25">
      <c r="A286" t="s">
        <v>4264</v>
      </c>
      <c r="B286" t="s">
        <v>2668</v>
      </c>
      <c r="C286">
        <v>139</v>
      </c>
      <c r="D286">
        <v>73</v>
      </c>
      <c r="E286">
        <v>60</v>
      </c>
      <c r="F286">
        <v>98</v>
      </c>
    </row>
    <row r="287" spans="1:6" x14ac:dyDescent="0.25">
      <c r="A287" t="s">
        <v>4265</v>
      </c>
      <c r="B287" t="s">
        <v>2670</v>
      </c>
      <c r="C287">
        <v>113</v>
      </c>
      <c r="D287">
        <v>74</v>
      </c>
      <c r="E287">
        <v>88</v>
      </c>
      <c r="F287">
        <v>98.4</v>
      </c>
    </row>
    <row r="288" spans="1:6" x14ac:dyDescent="0.25">
      <c r="A288" t="s">
        <v>4266</v>
      </c>
      <c r="B288" t="s">
        <v>2672</v>
      </c>
      <c r="C288">
        <v>116</v>
      </c>
      <c r="D288">
        <v>90</v>
      </c>
      <c r="E288">
        <v>68</v>
      </c>
      <c r="F288">
        <v>99.5</v>
      </c>
    </row>
    <row r="289" spans="1:6" x14ac:dyDescent="0.25">
      <c r="A289" t="s">
        <v>4267</v>
      </c>
      <c r="B289" t="s">
        <v>2674</v>
      </c>
      <c r="C289">
        <v>122</v>
      </c>
      <c r="D289">
        <v>84</v>
      </c>
      <c r="E289">
        <v>78</v>
      </c>
      <c r="F289">
        <v>98.6</v>
      </c>
    </row>
    <row r="290" spans="1:6" x14ac:dyDescent="0.25">
      <c r="A290" t="s">
        <v>4268</v>
      </c>
      <c r="B290" t="s">
        <v>2675</v>
      </c>
      <c r="C290">
        <v>140</v>
      </c>
      <c r="D290">
        <v>90</v>
      </c>
      <c r="E290">
        <v>88</v>
      </c>
      <c r="F290">
        <v>97.9</v>
      </c>
    </row>
    <row r="291" spans="1:6" x14ac:dyDescent="0.25">
      <c r="A291" t="s">
        <v>4269</v>
      </c>
      <c r="B291" t="s">
        <v>2677</v>
      </c>
      <c r="C291">
        <v>115</v>
      </c>
      <c r="D291">
        <v>73</v>
      </c>
      <c r="E291">
        <v>94</v>
      </c>
      <c r="F291">
        <v>97.8</v>
      </c>
    </row>
    <row r="292" spans="1:6" x14ac:dyDescent="0.25">
      <c r="A292" t="s">
        <v>4270</v>
      </c>
      <c r="B292" t="s">
        <v>2679</v>
      </c>
      <c r="C292">
        <v>111</v>
      </c>
      <c r="D292">
        <v>85</v>
      </c>
      <c r="E292">
        <v>77</v>
      </c>
      <c r="F292">
        <v>99.5</v>
      </c>
    </row>
    <row r="293" spans="1:6" x14ac:dyDescent="0.25">
      <c r="A293" t="s">
        <v>4271</v>
      </c>
      <c r="B293" t="s">
        <v>2681</v>
      </c>
      <c r="C293">
        <v>110</v>
      </c>
      <c r="D293">
        <v>77</v>
      </c>
      <c r="E293">
        <v>69</v>
      </c>
      <c r="F293">
        <v>99.4</v>
      </c>
    </row>
    <row r="294" spans="1:6" x14ac:dyDescent="0.25">
      <c r="A294" t="s">
        <v>4272</v>
      </c>
      <c r="B294" t="s">
        <v>2682</v>
      </c>
      <c r="C294">
        <v>128</v>
      </c>
      <c r="D294">
        <v>81</v>
      </c>
      <c r="E294">
        <v>70</v>
      </c>
      <c r="F294">
        <v>99</v>
      </c>
    </row>
    <row r="295" spans="1:6" x14ac:dyDescent="0.25">
      <c r="A295" t="s">
        <v>4273</v>
      </c>
      <c r="B295" t="s">
        <v>2684</v>
      </c>
      <c r="C295">
        <v>132</v>
      </c>
      <c r="D295">
        <v>88</v>
      </c>
      <c r="E295">
        <v>76</v>
      </c>
      <c r="F295">
        <v>99.1</v>
      </c>
    </row>
    <row r="296" spans="1:6" x14ac:dyDescent="0.25">
      <c r="A296" t="s">
        <v>4274</v>
      </c>
      <c r="B296" t="s">
        <v>2685</v>
      </c>
      <c r="C296">
        <v>116</v>
      </c>
      <c r="D296">
        <v>79</v>
      </c>
      <c r="E296">
        <v>88</v>
      </c>
      <c r="F296">
        <v>97.6</v>
      </c>
    </row>
    <row r="297" spans="1:6" x14ac:dyDescent="0.25">
      <c r="A297" t="s">
        <v>4275</v>
      </c>
      <c r="B297" t="s">
        <v>2687</v>
      </c>
      <c r="C297">
        <v>123</v>
      </c>
      <c r="D297">
        <v>70</v>
      </c>
      <c r="E297">
        <v>91</v>
      </c>
      <c r="F297">
        <v>97.5</v>
      </c>
    </row>
    <row r="298" spans="1:6" x14ac:dyDescent="0.25">
      <c r="A298" t="s">
        <v>4276</v>
      </c>
      <c r="B298" t="s">
        <v>2689</v>
      </c>
      <c r="C298">
        <v>131</v>
      </c>
      <c r="D298">
        <v>76</v>
      </c>
      <c r="E298">
        <v>76</v>
      </c>
      <c r="F298">
        <v>99.5</v>
      </c>
    </row>
    <row r="299" spans="1:6" x14ac:dyDescent="0.25">
      <c r="A299" t="s">
        <v>4277</v>
      </c>
      <c r="B299" t="s">
        <v>2690</v>
      </c>
      <c r="C299">
        <v>122</v>
      </c>
      <c r="D299">
        <v>78</v>
      </c>
      <c r="E299">
        <v>92</v>
      </c>
      <c r="F299">
        <v>97.8</v>
      </c>
    </row>
    <row r="300" spans="1:6" x14ac:dyDescent="0.25">
      <c r="A300" t="s">
        <v>4278</v>
      </c>
      <c r="B300" t="s">
        <v>2692</v>
      </c>
      <c r="C300">
        <v>139</v>
      </c>
      <c r="D300">
        <v>73</v>
      </c>
      <c r="E300">
        <v>96</v>
      </c>
      <c r="F300">
        <v>98.9</v>
      </c>
    </row>
    <row r="301" spans="1:6" x14ac:dyDescent="0.25">
      <c r="A301" t="s">
        <v>4279</v>
      </c>
      <c r="B301" t="s">
        <v>2694</v>
      </c>
      <c r="C301">
        <v>129</v>
      </c>
      <c r="D301">
        <v>89</v>
      </c>
      <c r="E301">
        <v>74</v>
      </c>
      <c r="F301">
        <v>98.9</v>
      </c>
    </row>
    <row r="302" spans="1:6" x14ac:dyDescent="0.25">
      <c r="A302" t="s">
        <v>4280</v>
      </c>
      <c r="B302" t="s">
        <v>2696</v>
      </c>
      <c r="C302">
        <v>130</v>
      </c>
      <c r="D302">
        <v>84</v>
      </c>
      <c r="E302">
        <v>79</v>
      </c>
      <c r="F302">
        <v>98.6</v>
      </c>
    </row>
    <row r="303" spans="1:6" x14ac:dyDescent="0.25">
      <c r="A303" t="s">
        <v>4281</v>
      </c>
      <c r="B303" t="s">
        <v>2698</v>
      </c>
      <c r="C303">
        <v>111</v>
      </c>
      <c r="D303">
        <v>75</v>
      </c>
      <c r="E303">
        <v>93</v>
      </c>
      <c r="F303">
        <v>98</v>
      </c>
    </row>
    <row r="304" spans="1:6" x14ac:dyDescent="0.25">
      <c r="A304" t="s">
        <v>4282</v>
      </c>
      <c r="B304" t="s">
        <v>2700</v>
      </c>
      <c r="C304">
        <v>139</v>
      </c>
      <c r="D304">
        <v>76</v>
      </c>
      <c r="E304">
        <v>64</v>
      </c>
      <c r="F304">
        <v>97.9</v>
      </c>
    </row>
    <row r="305" spans="1:6" x14ac:dyDescent="0.25">
      <c r="A305" t="s">
        <v>4283</v>
      </c>
      <c r="B305" t="s">
        <v>2701</v>
      </c>
      <c r="C305">
        <v>126</v>
      </c>
      <c r="D305">
        <v>89</v>
      </c>
      <c r="E305">
        <v>76</v>
      </c>
      <c r="F305">
        <v>98.4</v>
      </c>
    </row>
    <row r="306" spans="1:6" x14ac:dyDescent="0.25">
      <c r="A306" t="s">
        <v>4284</v>
      </c>
      <c r="B306" t="s">
        <v>2703</v>
      </c>
      <c r="C306">
        <v>113</v>
      </c>
      <c r="D306">
        <v>81</v>
      </c>
      <c r="E306">
        <v>86</v>
      </c>
      <c r="F306">
        <v>98.9</v>
      </c>
    </row>
    <row r="307" spans="1:6" x14ac:dyDescent="0.25">
      <c r="A307" t="s">
        <v>4285</v>
      </c>
      <c r="B307" t="s">
        <v>2704</v>
      </c>
      <c r="C307">
        <v>126</v>
      </c>
      <c r="D307">
        <v>75</v>
      </c>
      <c r="E307">
        <v>87</v>
      </c>
      <c r="F307">
        <v>97.8</v>
      </c>
    </row>
    <row r="308" spans="1:6" x14ac:dyDescent="0.25">
      <c r="A308" t="s">
        <v>4286</v>
      </c>
      <c r="B308" t="s">
        <v>2706</v>
      </c>
      <c r="C308">
        <v>135</v>
      </c>
      <c r="D308">
        <v>71</v>
      </c>
      <c r="E308">
        <v>75</v>
      </c>
      <c r="F308">
        <v>99.3</v>
      </c>
    </row>
    <row r="309" spans="1:6" x14ac:dyDescent="0.25">
      <c r="A309" t="s">
        <v>4287</v>
      </c>
      <c r="B309" t="s">
        <v>2708</v>
      </c>
      <c r="C309">
        <v>113</v>
      </c>
      <c r="D309">
        <v>84</v>
      </c>
      <c r="E309">
        <v>87</v>
      </c>
      <c r="F309">
        <v>99.3</v>
      </c>
    </row>
    <row r="310" spans="1:6" x14ac:dyDescent="0.25">
      <c r="A310" t="s">
        <v>4288</v>
      </c>
      <c r="B310" t="s">
        <v>2710</v>
      </c>
      <c r="C310">
        <v>129</v>
      </c>
      <c r="D310">
        <v>75</v>
      </c>
      <c r="E310">
        <v>62</v>
      </c>
      <c r="F310">
        <v>98.2</v>
      </c>
    </row>
    <row r="311" spans="1:6" x14ac:dyDescent="0.25">
      <c r="A311" t="s">
        <v>4289</v>
      </c>
      <c r="B311" t="s">
        <v>2712</v>
      </c>
      <c r="C311">
        <v>126</v>
      </c>
      <c r="D311">
        <v>84</v>
      </c>
      <c r="E311">
        <v>81</v>
      </c>
      <c r="F311">
        <v>97.8</v>
      </c>
    </row>
    <row r="312" spans="1:6" x14ac:dyDescent="0.25">
      <c r="A312" t="s">
        <v>4290</v>
      </c>
      <c r="B312" t="s">
        <v>2714</v>
      </c>
      <c r="C312">
        <v>133</v>
      </c>
      <c r="D312">
        <v>84</v>
      </c>
      <c r="E312">
        <v>100</v>
      </c>
      <c r="F312">
        <v>99.3</v>
      </c>
    </row>
    <row r="313" spans="1:6" x14ac:dyDescent="0.25">
      <c r="A313" t="s">
        <v>4291</v>
      </c>
      <c r="B313" t="s">
        <v>2716</v>
      </c>
      <c r="C313">
        <v>119</v>
      </c>
      <c r="D313">
        <v>83</v>
      </c>
      <c r="E313">
        <v>63</v>
      </c>
      <c r="F313">
        <v>99</v>
      </c>
    </row>
    <row r="314" spans="1:6" x14ac:dyDescent="0.25">
      <c r="A314" t="s">
        <v>4292</v>
      </c>
      <c r="B314" t="s">
        <v>2717</v>
      </c>
      <c r="C314">
        <v>129</v>
      </c>
      <c r="D314">
        <v>88</v>
      </c>
      <c r="E314">
        <v>68</v>
      </c>
      <c r="F314">
        <v>98.4</v>
      </c>
    </row>
    <row r="315" spans="1:6" x14ac:dyDescent="0.25">
      <c r="A315" t="s">
        <v>4293</v>
      </c>
      <c r="B315" t="s">
        <v>2719</v>
      </c>
      <c r="C315">
        <v>120</v>
      </c>
      <c r="D315">
        <v>81</v>
      </c>
      <c r="E315">
        <v>98</v>
      </c>
      <c r="F315">
        <v>98.5</v>
      </c>
    </row>
    <row r="316" spans="1:6" x14ac:dyDescent="0.25">
      <c r="A316" t="s">
        <v>4294</v>
      </c>
      <c r="B316" t="s">
        <v>2720</v>
      </c>
      <c r="C316">
        <v>137</v>
      </c>
      <c r="D316">
        <v>84</v>
      </c>
      <c r="E316">
        <v>79</v>
      </c>
      <c r="F316">
        <v>97.7</v>
      </c>
    </row>
    <row r="317" spans="1:6" x14ac:dyDescent="0.25">
      <c r="A317" t="s">
        <v>4295</v>
      </c>
      <c r="B317" t="s">
        <v>2722</v>
      </c>
      <c r="C317">
        <v>133</v>
      </c>
      <c r="D317">
        <v>78</v>
      </c>
      <c r="E317">
        <v>75</v>
      </c>
      <c r="F317">
        <v>99.3</v>
      </c>
    </row>
    <row r="318" spans="1:6" x14ac:dyDescent="0.25">
      <c r="A318" t="s">
        <v>4296</v>
      </c>
      <c r="B318" t="s">
        <v>2724</v>
      </c>
      <c r="C318">
        <v>120</v>
      </c>
      <c r="D318">
        <v>85</v>
      </c>
      <c r="E318">
        <v>92</v>
      </c>
      <c r="F318">
        <v>97.8</v>
      </c>
    </row>
    <row r="319" spans="1:6" x14ac:dyDescent="0.25">
      <c r="A319" t="s">
        <v>4297</v>
      </c>
      <c r="B319" t="s">
        <v>2726</v>
      </c>
      <c r="C319">
        <v>133</v>
      </c>
      <c r="D319">
        <v>88</v>
      </c>
      <c r="E319">
        <v>85</v>
      </c>
      <c r="F319">
        <v>98.3</v>
      </c>
    </row>
    <row r="320" spans="1:6" x14ac:dyDescent="0.25">
      <c r="A320" t="s">
        <v>4298</v>
      </c>
      <c r="B320" t="s">
        <v>2728</v>
      </c>
      <c r="C320">
        <v>131</v>
      </c>
      <c r="D320">
        <v>73</v>
      </c>
      <c r="E320">
        <v>72</v>
      </c>
      <c r="F320">
        <v>98.3</v>
      </c>
    </row>
    <row r="321" spans="1:6" x14ac:dyDescent="0.25">
      <c r="A321" t="s">
        <v>4299</v>
      </c>
      <c r="B321" t="s">
        <v>2730</v>
      </c>
      <c r="C321">
        <v>126</v>
      </c>
      <c r="D321">
        <v>87</v>
      </c>
      <c r="E321">
        <v>66</v>
      </c>
      <c r="F321">
        <v>98.2</v>
      </c>
    </row>
    <row r="322" spans="1:6" x14ac:dyDescent="0.25">
      <c r="A322" t="s">
        <v>4300</v>
      </c>
      <c r="B322" t="s">
        <v>2732</v>
      </c>
      <c r="C322">
        <v>110</v>
      </c>
      <c r="D322">
        <v>82</v>
      </c>
      <c r="E322">
        <v>61</v>
      </c>
      <c r="F322">
        <v>98.4</v>
      </c>
    </row>
    <row r="323" spans="1:6" x14ac:dyDescent="0.25">
      <c r="A323" t="s">
        <v>4301</v>
      </c>
      <c r="B323" t="s">
        <v>2733</v>
      </c>
      <c r="C323">
        <v>114</v>
      </c>
      <c r="D323">
        <v>70</v>
      </c>
      <c r="E323">
        <v>66</v>
      </c>
      <c r="F323">
        <v>99.1</v>
      </c>
    </row>
    <row r="324" spans="1:6" x14ac:dyDescent="0.25">
      <c r="A324" t="s">
        <v>4302</v>
      </c>
      <c r="B324" t="s">
        <v>2735</v>
      </c>
      <c r="C324">
        <v>113</v>
      </c>
      <c r="D324">
        <v>72</v>
      </c>
      <c r="E324">
        <v>62</v>
      </c>
      <c r="F324">
        <v>97.7</v>
      </c>
    </row>
    <row r="325" spans="1:6" x14ac:dyDescent="0.25">
      <c r="A325" t="s">
        <v>4303</v>
      </c>
      <c r="B325" t="s">
        <v>2737</v>
      </c>
      <c r="C325">
        <v>131</v>
      </c>
      <c r="D325">
        <v>75</v>
      </c>
      <c r="E325">
        <v>83</v>
      </c>
      <c r="F325">
        <v>99.2</v>
      </c>
    </row>
    <row r="326" spans="1:6" x14ac:dyDescent="0.25">
      <c r="A326" t="s">
        <v>4304</v>
      </c>
      <c r="B326" t="s">
        <v>2739</v>
      </c>
      <c r="C326">
        <v>112</v>
      </c>
      <c r="D326">
        <v>90</v>
      </c>
      <c r="E326">
        <v>65</v>
      </c>
      <c r="F326">
        <v>98.5</v>
      </c>
    </row>
    <row r="327" spans="1:6" x14ac:dyDescent="0.25">
      <c r="A327" t="s">
        <v>4305</v>
      </c>
      <c r="B327" t="s">
        <v>2740</v>
      </c>
      <c r="C327">
        <v>123</v>
      </c>
      <c r="D327">
        <v>73</v>
      </c>
      <c r="E327">
        <v>74</v>
      </c>
      <c r="F327">
        <v>98.4</v>
      </c>
    </row>
    <row r="328" spans="1:6" x14ac:dyDescent="0.25">
      <c r="A328" t="s">
        <v>4306</v>
      </c>
      <c r="B328" t="s">
        <v>2742</v>
      </c>
      <c r="C328">
        <v>122</v>
      </c>
      <c r="D328">
        <v>80</v>
      </c>
      <c r="E328">
        <v>100</v>
      </c>
      <c r="F328">
        <v>97.6</v>
      </c>
    </row>
    <row r="329" spans="1:6" x14ac:dyDescent="0.25">
      <c r="A329" t="s">
        <v>4307</v>
      </c>
      <c r="B329" t="s">
        <v>2743</v>
      </c>
      <c r="C329">
        <v>119</v>
      </c>
      <c r="D329">
        <v>86</v>
      </c>
      <c r="E329">
        <v>76</v>
      </c>
      <c r="F329">
        <v>97.7</v>
      </c>
    </row>
    <row r="330" spans="1:6" x14ac:dyDescent="0.25">
      <c r="A330" t="s">
        <v>4308</v>
      </c>
      <c r="B330" t="s">
        <v>2745</v>
      </c>
      <c r="C330">
        <v>140</v>
      </c>
      <c r="D330">
        <v>71</v>
      </c>
      <c r="E330">
        <v>88</v>
      </c>
      <c r="F330">
        <v>97.9</v>
      </c>
    </row>
    <row r="331" spans="1:6" x14ac:dyDescent="0.25">
      <c r="A331" t="s">
        <v>4309</v>
      </c>
      <c r="B331" t="s">
        <v>2747</v>
      </c>
      <c r="C331">
        <v>120</v>
      </c>
      <c r="D331">
        <v>74</v>
      </c>
      <c r="E331">
        <v>60</v>
      </c>
      <c r="F331">
        <v>98.8</v>
      </c>
    </row>
    <row r="332" spans="1:6" x14ac:dyDescent="0.25">
      <c r="A332" t="s">
        <v>4310</v>
      </c>
      <c r="B332" t="s">
        <v>2749</v>
      </c>
      <c r="C332">
        <v>139</v>
      </c>
      <c r="D332">
        <v>89</v>
      </c>
      <c r="E332">
        <v>63</v>
      </c>
      <c r="F332">
        <v>99.4</v>
      </c>
    </row>
    <row r="333" spans="1:6" x14ac:dyDescent="0.25">
      <c r="A333" t="s">
        <v>4311</v>
      </c>
      <c r="B333" t="s">
        <v>2751</v>
      </c>
      <c r="C333">
        <v>138</v>
      </c>
      <c r="D333">
        <v>90</v>
      </c>
      <c r="E333">
        <v>62</v>
      </c>
      <c r="F333">
        <v>98.8</v>
      </c>
    </row>
    <row r="334" spans="1:6" x14ac:dyDescent="0.25">
      <c r="A334" t="s">
        <v>4312</v>
      </c>
      <c r="B334" t="s">
        <v>2753</v>
      </c>
      <c r="C334">
        <v>129</v>
      </c>
      <c r="D334">
        <v>84</v>
      </c>
      <c r="E334">
        <v>83</v>
      </c>
      <c r="F334">
        <v>97.7</v>
      </c>
    </row>
    <row r="335" spans="1:6" x14ac:dyDescent="0.25">
      <c r="A335" t="s">
        <v>4313</v>
      </c>
      <c r="B335" t="s">
        <v>2755</v>
      </c>
      <c r="C335">
        <v>132</v>
      </c>
      <c r="D335">
        <v>81</v>
      </c>
      <c r="E335">
        <v>93</v>
      </c>
      <c r="F335">
        <v>98.6</v>
      </c>
    </row>
    <row r="336" spans="1:6" x14ac:dyDescent="0.25">
      <c r="A336" t="s">
        <v>4314</v>
      </c>
      <c r="B336" t="s">
        <v>2757</v>
      </c>
      <c r="C336">
        <v>125</v>
      </c>
      <c r="D336">
        <v>76</v>
      </c>
      <c r="E336">
        <v>67</v>
      </c>
      <c r="F336">
        <v>98.5</v>
      </c>
    </row>
    <row r="337" spans="1:6" x14ac:dyDescent="0.25">
      <c r="A337" t="s">
        <v>4315</v>
      </c>
      <c r="B337" t="s">
        <v>2759</v>
      </c>
      <c r="C337">
        <v>123</v>
      </c>
      <c r="D337">
        <v>88</v>
      </c>
      <c r="E337">
        <v>86</v>
      </c>
      <c r="F337">
        <v>98.6</v>
      </c>
    </row>
    <row r="338" spans="1:6" x14ac:dyDescent="0.25">
      <c r="A338" t="s">
        <v>4316</v>
      </c>
      <c r="B338" t="s">
        <v>2761</v>
      </c>
      <c r="C338">
        <v>114</v>
      </c>
      <c r="D338">
        <v>83</v>
      </c>
      <c r="E338">
        <v>66</v>
      </c>
      <c r="F338">
        <v>98.4</v>
      </c>
    </row>
    <row r="339" spans="1:6" x14ac:dyDescent="0.25">
      <c r="A339" t="s">
        <v>4317</v>
      </c>
      <c r="B339" t="s">
        <v>2763</v>
      </c>
      <c r="C339">
        <v>131</v>
      </c>
      <c r="D339">
        <v>74</v>
      </c>
      <c r="E339">
        <v>66</v>
      </c>
      <c r="F339">
        <v>99.1</v>
      </c>
    </row>
    <row r="340" spans="1:6" x14ac:dyDescent="0.25">
      <c r="A340" t="s">
        <v>4318</v>
      </c>
      <c r="B340" t="s">
        <v>2765</v>
      </c>
      <c r="C340">
        <v>112</v>
      </c>
      <c r="D340">
        <v>81</v>
      </c>
      <c r="E340">
        <v>97</v>
      </c>
      <c r="F340">
        <v>99.2</v>
      </c>
    </row>
    <row r="341" spans="1:6" x14ac:dyDescent="0.25">
      <c r="A341" t="s">
        <v>4319</v>
      </c>
      <c r="B341" t="s">
        <v>2767</v>
      </c>
      <c r="C341">
        <v>131</v>
      </c>
      <c r="D341">
        <v>88</v>
      </c>
      <c r="E341">
        <v>70</v>
      </c>
      <c r="F341">
        <v>99.5</v>
      </c>
    </row>
    <row r="342" spans="1:6" x14ac:dyDescent="0.25">
      <c r="A342" t="s">
        <v>4320</v>
      </c>
      <c r="B342" t="s">
        <v>2768</v>
      </c>
      <c r="C342">
        <v>111</v>
      </c>
      <c r="D342">
        <v>78</v>
      </c>
      <c r="E342">
        <v>63</v>
      </c>
      <c r="F342">
        <v>98.4</v>
      </c>
    </row>
    <row r="343" spans="1:6" x14ac:dyDescent="0.25">
      <c r="A343" t="s">
        <v>4321</v>
      </c>
      <c r="B343" t="s">
        <v>2770</v>
      </c>
      <c r="C343">
        <v>138</v>
      </c>
      <c r="D343">
        <v>76</v>
      </c>
      <c r="E343">
        <v>79</v>
      </c>
      <c r="F343">
        <v>98</v>
      </c>
    </row>
    <row r="344" spans="1:6" x14ac:dyDescent="0.25">
      <c r="A344" t="s">
        <v>4322</v>
      </c>
      <c r="B344" t="s">
        <v>2772</v>
      </c>
      <c r="C344">
        <v>139</v>
      </c>
      <c r="D344">
        <v>72</v>
      </c>
      <c r="E344">
        <v>74</v>
      </c>
      <c r="F344">
        <v>99.2</v>
      </c>
    </row>
    <row r="345" spans="1:6" x14ac:dyDescent="0.25">
      <c r="A345" t="s">
        <v>4323</v>
      </c>
      <c r="B345" t="s">
        <v>2774</v>
      </c>
      <c r="C345">
        <v>139</v>
      </c>
      <c r="D345">
        <v>72</v>
      </c>
      <c r="E345">
        <v>63</v>
      </c>
      <c r="F345">
        <v>98.7</v>
      </c>
    </row>
    <row r="346" spans="1:6" x14ac:dyDescent="0.25">
      <c r="A346" t="s">
        <v>4324</v>
      </c>
      <c r="B346" t="s">
        <v>2776</v>
      </c>
      <c r="C346">
        <v>122</v>
      </c>
      <c r="D346">
        <v>79</v>
      </c>
      <c r="E346">
        <v>60</v>
      </c>
      <c r="F346">
        <v>98.4</v>
      </c>
    </row>
    <row r="347" spans="1:6" x14ac:dyDescent="0.25">
      <c r="A347" t="s">
        <v>4325</v>
      </c>
      <c r="B347" t="s">
        <v>2778</v>
      </c>
      <c r="C347">
        <v>126</v>
      </c>
      <c r="D347">
        <v>70</v>
      </c>
      <c r="E347">
        <v>74</v>
      </c>
      <c r="F347">
        <v>97.7</v>
      </c>
    </row>
    <row r="348" spans="1:6" x14ac:dyDescent="0.25">
      <c r="A348" t="s">
        <v>4326</v>
      </c>
      <c r="B348" t="s">
        <v>2779</v>
      </c>
      <c r="C348">
        <v>116</v>
      </c>
      <c r="D348">
        <v>86</v>
      </c>
      <c r="E348">
        <v>75</v>
      </c>
      <c r="F348">
        <v>98.2</v>
      </c>
    </row>
    <row r="349" spans="1:6" x14ac:dyDescent="0.25">
      <c r="A349" t="s">
        <v>4327</v>
      </c>
      <c r="B349" t="s">
        <v>2781</v>
      </c>
      <c r="C349">
        <v>117</v>
      </c>
      <c r="D349">
        <v>76</v>
      </c>
      <c r="E349">
        <v>65</v>
      </c>
      <c r="F349">
        <v>99.3</v>
      </c>
    </row>
    <row r="350" spans="1:6" x14ac:dyDescent="0.25">
      <c r="A350" t="s">
        <v>4328</v>
      </c>
      <c r="B350" t="s">
        <v>2783</v>
      </c>
      <c r="C350">
        <v>114</v>
      </c>
      <c r="D350">
        <v>73</v>
      </c>
      <c r="E350">
        <v>84</v>
      </c>
      <c r="F350">
        <v>98.1</v>
      </c>
    </row>
    <row r="351" spans="1:6" x14ac:dyDescent="0.25">
      <c r="A351" t="s">
        <v>4329</v>
      </c>
      <c r="B351" t="s">
        <v>2784</v>
      </c>
      <c r="C351">
        <v>118</v>
      </c>
      <c r="D351">
        <v>70</v>
      </c>
      <c r="E351">
        <v>96</v>
      </c>
      <c r="F351">
        <v>98.9</v>
      </c>
    </row>
    <row r="352" spans="1:6" x14ac:dyDescent="0.25">
      <c r="A352" t="s">
        <v>4330</v>
      </c>
      <c r="B352" t="s">
        <v>2785</v>
      </c>
      <c r="C352">
        <v>116</v>
      </c>
      <c r="D352">
        <v>79</v>
      </c>
      <c r="E352">
        <v>84</v>
      </c>
      <c r="F352">
        <v>98.9</v>
      </c>
    </row>
    <row r="353" spans="1:6" x14ac:dyDescent="0.25">
      <c r="A353" t="s">
        <v>4331</v>
      </c>
      <c r="B353" t="s">
        <v>2787</v>
      </c>
      <c r="C353">
        <v>110</v>
      </c>
      <c r="D353">
        <v>88</v>
      </c>
      <c r="E353">
        <v>60</v>
      </c>
      <c r="F353">
        <v>97.8</v>
      </c>
    </row>
    <row r="354" spans="1:6" x14ac:dyDescent="0.25">
      <c r="A354" t="s">
        <v>4332</v>
      </c>
      <c r="B354" t="s">
        <v>2789</v>
      </c>
      <c r="C354">
        <v>128</v>
      </c>
      <c r="D354">
        <v>80</v>
      </c>
      <c r="E354">
        <v>70</v>
      </c>
      <c r="F354">
        <v>99.5</v>
      </c>
    </row>
    <row r="355" spans="1:6" x14ac:dyDescent="0.25">
      <c r="A355" t="s">
        <v>4333</v>
      </c>
      <c r="B355" t="s">
        <v>2791</v>
      </c>
      <c r="C355">
        <v>116</v>
      </c>
      <c r="D355">
        <v>72</v>
      </c>
      <c r="E355">
        <v>78</v>
      </c>
      <c r="F355">
        <v>98.3</v>
      </c>
    </row>
    <row r="356" spans="1:6" x14ac:dyDescent="0.25">
      <c r="A356" t="s">
        <v>4334</v>
      </c>
      <c r="B356" t="s">
        <v>2792</v>
      </c>
      <c r="C356">
        <v>112</v>
      </c>
      <c r="D356">
        <v>76</v>
      </c>
      <c r="E356">
        <v>84</v>
      </c>
      <c r="F356">
        <v>98.3</v>
      </c>
    </row>
    <row r="357" spans="1:6" x14ac:dyDescent="0.25">
      <c r="A357" t="s">
        <v>4335</v>
      </c>
      <c r="B357" t="s">
        <v>2794</v>
      </c>
      <c r="C357">
        <v>134</v>
      </c>
      <c r="D357">
        <v>89</v>
      </c>
      <c r="E357">
        <v>84</v>
      </c>
      <c r="F357">
        <v>97.7</v>
      </c>
    </row>
    <row r="358" spans="1:6" x14ac:dyDescent="0.25">
      <c r="A358" t="s">
        <v>4336</v>
      </c>
      <c r="B358" t="s">
        <v>2796</v>
      </c>
      <c r="C358">
        <v>117</v>
      </c>
      <c r="D358">
        <v>80</v>
      </c>
      <c r="E358">
        <v>61</v>
      </c>
      <c r="F358">
        <v>98.7</v>
      </c>
    </row>
    <row r="359" spans="1:6" x14ac:dyDescent="0.25">
      <c r="A359" t="s">
        <v>4337</v>
      </c>
      <c r="B359" t="s">
        <v>2798</v>
      </c>
      <c r="C359">
        <v>110</v>
      </c>
      <c r="D359">
        <v>88</v>
      </c>
      <c r="E359">
        <v>73</v>
      </c>
      <c r="F359">
        <v>98.5</v>
      </c>
    </row>
    <row r="360" spans="1:6" x14ac:dyDescent="0.25">
      <c r="A360" t="s">
        <v>4338</v>
      </c>
      <c r="B360" t="s">
        <v>2800</v>
      </c>
      <c r="C360">
        <v>134</v>
      </c>
      <c r="D360">
        <v>83</v>
      </c>
      <c r="E360">
        <v>83</v>
      </c>
      <c r="F360">
        <v>99</v>
      </c>
    </row>
    <row r="361" spans="1:6" x14ac:dyDescent="0.25">
      <c r="A361" t="s">
        <v>4339</v>
      </c>
      <c r="B361" t="s">
        <v>2802</v>
      </c>
      <c r="C361">
        <v>117</v>
      </c>
      <c r="D361">
        <v>89</v>
      </c>
      <c r="E361">
        <v>75</v>
      </c>
      <c r="F361">
        <v>97.5</v>
      </c>
    </row>
    <row r="362" spans="1:6" x14ac:dyDescent="0.25">
      <c r="A362" t="s">
        <v>4340</v>
      </c>
      <c r="B362" t="s">
        <v>2803</v>
      </c>
      <c r="C362">
        <v>127</v>
      </c>
      <c r="D362">
        <v>86</v>
      </c>
      <c r="E362">
        <v>72</v>
      </c>
      <c r="F362">
        <v>98</v>
      </c>
    </row>
    <row r="363" spans="1:6" x14ac:dyDescent="0.25">
      <c r="A363" t="s">
        <v>4341</v>
      </c>
      <c r="B363" t="s">
        <v>2805</v>
      </c>
      <c r="C363">
        <v>140</v>
      </c>
      <c r="D363">
        <v>90</v>
      </c>
      <c r="E363">
        <v>91</v>
      </c>
      <c r="F363">
        <v>98.9</v>
      </c>
    </row>
    <row r="364" spans="1:6" x14ac:dyDescent="0.25">
      <c r="A364" t="s">
        <v>4342</v>
      </c>
      <c r="B364" t="s">
        <v>2807</v>
      </c>
      <c r="C364">
        <v>123</v>
      </c>
      <c r="D364">
        <v>78</v>
      </c>
      <c r="E364">
        <v>82</v>
      </c>
      <c r="F364">
        <v>99.2</v>
      </c>
    </row>
    <row r="365" spans="1:6" x14ac:dyDescent="0.25">
      <c r="A365" t="s">
        <v>4343</v>
      </c>
      <c r="B365" t="s">
        <v>2809</v>
      </c>
      <c r="C365">
        <v>137</v>
      </c>
      <c r="D365">
        <v>89</v>
      </c>
      <c r="E365">
        <v>91</v>
      </c>
      <c r="F365">
        <v>98.3</v>
      </c>
    </row>
    <row r="366" spans="1:6" x14ac:dyDescent="0.25">
      <c r="A366" t="s">
        <v>4344</v>
      </c>
      <c r="B366" t="s">
        <v>2810</v>
      </c>
      <c r="C366">
        <v>134</v>
      </c>
      <c r="D366">
        <v>85</v>
      </c>
      <c r="E366">
        <v>93</v>
      </c>
      <c r="F366">
        <v>99.1</v>
      </c>
    </row>
    <row r="367" spans="1:6" x14ac:dyDescent="0.25">
      <c r="A367" t="s">
        <v>4345</v>
      </c>
      <c r="B367" t="s">
        <v>2812</v>
      </c>
      <c r="C367">
        <v>114</v>
      </c>
      <c r="D367">
        <v>89</v>
      </c>
      <c r="E367">
        <v>63</v>
      </c>
      <c r="F367">
        <v>98.7</v>
      </c>
    </row>
    <row r="368" spans="1:6" x14ac:dyDescent="0.25">
      <c r="A368" t="s">
        <v>4346</v>
      </c>
      <c r="B368" t="s">
        <v>2814</v>
      </c>
      <c r="C368">
        <v>124</v>
      </c>
      <c r="D368">
        <v>89</v>
      </c>
      <c r="E368">
        <v>85</v>
      </c>
      <c r="F368">
        <v>97.8</v>
      </c>
    </row>
    <row r="369" spans="1:6" x14ac:dyDescent="0.25">
      <c r="A369" t="s">
        <v>4347</v>
      </c>
      <c r="B369" t="s">
        <v>2816</v>
      </c>
      <c r="C369">
        <v>138</v>
      </c>
      <c r="D369">
        <v>81</v>
      </c>
      <c r="E369">
        <v>86</v>
      </c>
      <c r="F369">
        <v>99.4</v>
      </c>
    </row>
    <row r="370" spans="1:6" x14ac:dyDescent="0.25">
      <c r="A370" t="s">
        <v>4348</v>
      </c>
      <c r="B370" t="s">
        <v>2818</v>
      </c>
      <c r="C370">
        <v>124</v>
      </c>
      <c r="D370">
        <v>70</v>
      </c>
      <c r="E370">
        <v>81</v>
      </c>
      <c r="F370">
        <v>98.5</v>
      </c>
    </row>
    <row r="371" spans="1:6" x14ac:dyDescent="0.25">
      <c r="A371" t="s">
        <v>4349</v>
      </c>
      <c r="B371" t="s">
        <v>2820</v>
      </c>
      <c r="C371">
        <v>128</v>
      </c>
      <c r="D371">
        <v>73</v>
      </c>
      <c r="E371">
        <v>67</v>
      </c>
      <c r="F371">
        <v>97.8</v>
      </c>
    </row>
    <row r="372" spans="1:6" x14ac:dyDescent="0.25">
      <c r="A372" t="s">
        <v>4350</v>
      </c>
      <c r="B372" t="s">
        <v>2822</v>
      </c>
      <c r="C372">
        <v>123</v>
      </c>
      <c r="D372">
        <v>70</v>
      </c>
      <c r="E372">
        <v>79</v>
      </c>
      <c r="F372">
        <v>98.8</v>
      </c>
    </row>
    <row r="373" spans="1:6" x14ac:dyDescent="0.25">
      <c r="A373" t="s">
        <v>4351</v>
      </c>
      <c r="B373" t="s">
        <v>2824</v>
      </c>
      <c r="C373">
        <v>115</v>
      </c>
      <c r="D373">
        <v>85</v>
      </c>
      <c r="E373">
        <v>87</v>
      </c>
      <c r="F373">
        <v>99</v>
      </c>
    </row>
    <row r="374" spans="1:6" x14ac:dyDescent="0.25">
      <c r="A374" t="s">
        <v>4352</v>
      </c>
      <c r="B374" t="s">
        <v>2826</v>
      </c>
      <c r="C374">
        <v>122</v>
      </c>
      <c r="D374">
        <v>80</v>
      </c>
      <c r="E374">
        <v>78</v>
      </c>
      <c r="F374">
        <v>98.5</v>
      </c>
    </row>
    <row r="375" spans="1:6" x14ac:dyDescent="0.25">
      <c r="A375" t="s">
        <v>4353</v>
      </c>
      <c r="B375" t="s">
        <v>2828</v>
      </c>
      <c r="C375">
        <v>125</v>
      </c>
      <c r="D375">
        <v>86</v>
      </c>
      <c r="E375">
        <v>79</v>
      </c>
      <c r="F375">
        <v>97.6</v>
      </c>
    </row>
    <row r="376" spans="1:6" x14ac:dyDescent="0.25">
      <c r="A376" t="s">
        <v>4354</v>
      </c>
      <c r="B376" t="s">
        <v>2830</v>
      </c>
      <c r="C376">
        <v>112</v>
      </c>
      <c r="D376">
        <v>71</v>
      </c>
      <c r="E376">
        <v>88</v>
      </c>
      <c r="F376">
        <v>98.4</v>
      </c>
    </row>
    <row r="377" spans="1:6" x14ac:dyDescent="0.25">
      <c r="A377" t="s">
        <v>4355</v>
      </c>
      <c r="B377" t="s">
        <v>2831</v>
      </c>
      <c r="C377">
        <v>122</v>
      </c>
      <c r="D377">
        <v>79</v>
      </c>
      <c r="E377">
        <v>94</v>
      </c>
      <c r="F377">
        <v>99.4</v>
      </c>
    </row>
    <row r="378" spans="1:6" x14ac:dyDescent="0.25">
      <c r="A378" t="s">
        <v>4356</v>
      </c>
      <c r="B378" t="s">
        <v>2832</v>
      </c>
      <c r="C378">
        <v>136</v>
      </c>
      <c r="D378">
        <v>88</v>
      </c>
      <c r="E378">
        <v>60</v>
      </c>
      <c r="F378">
        <v>99</v>
      </c>
    </row>
    <row r="379" spans="1:6" x14ac:dyDescent="0.25">
      <c r="A379" t="s">
        <v>4357</v>
      </c>
      <c r="B379" t="s">
        <v>2834</v>
      </c>
      <c r="C379">
        <v>111</v>
      </c>
      <c r="D379">
        <v>86</v>
      </c>
      <c r="E379">
        <v>77</v>
      </c>
      <c r="F379">
        <v>98</v>
      </c>
    </row>
    <row r="380" spans="1:6" x14ac:dyDescent="0.25">
      <c r="A380" t="s">
        <v>4358</v>
      </c>
      <c r="B380" t="s">
        <v>2836</v>
      </c>
      <c r="C380">
        <v>118</v>
      </c>
      <c r="D380">
        <v>81</v>
      </c>
      <c r="E380">
        <v>78</v>
      </c>
      <c r="F380">
        <v>98</v>
      </c>
    </row>
    <row r="381" spans="1:6" x14ac:dyDescent="0.25">
      <c r="A381" t="s">
        <v>4359</v>
      </c>
      <c r="B381" t="s">
        <v>2838</v>
      </c>
      <c r="C381">
        <v>111</v>
      </c>
      <c r="D381">
        <v>90</v>
      </c>
      <c r="E381">
        <v>93</v>
      </c>
      <c r="F381">
        <v>97.7</v>
      </c>
    </row>
    <row r="382" spans="1:6" x14ac:dyDescent="0.25">
      <c r="A382" t="s">
        <v>4360</v>
      </c>
      <c r="B382" t="s">
        <v>2839</v>
      </c>
      <c r="C382">
        <v>125</v>
      </c>
      <c r="D382">
        <v>76</v>
      </c>
      <c r="E382">
        <v>88</v>
      </c>
      <c r="F382">
        <v>98.9</v>
      </c>
    </row>
    <row r="383" spans="1:6" x14ac:dyDescent="0.25">
      <c r="A383" t="s">
        <v>4361</v>
      </c>
      <c r="B383" t="s">
        <v>2841</v>
      </c>
      <c r="C383">
        <v>119</v>
      </c>
      <c r="D383">
        <v>74</v>
      </c>
      <c r="E383">
        <v>71</v>
      </c>
      <c r="F383">
        <v>98.8</v>
      </c>
    </row>
    <row r="384" spans="1:6" x14ac:dyDescent="0.25">
      <c r="A384" t="s">
        <v>4362</v>
      </c>
      <c r="B384" t="s">
        <v>2843</v>
      </c>
      <c r="C384">
        <v>130</v>
      </c>
      <c r="D384">
        <v>89</v>
      </c>
      <c r="E384">
        <v>67</v>
      </c>
      <c r="F384">
        <v>98.1</v>
      </c>
    </row>
    <row r="385" spans="1:6" x14ac:dyDescent="0.25">
      <c r="A385" t="s">
        <v>4363</v>
      </c>
      <c r="B385" t="s">
        <v>2845</v>
      </c>
      <c r="C385">
        <v>118</v>
      </c>
      <c r="D385">
        <v>70</v>
      </c>
      <c r="E385">
        <v>91</v>
      </c>
      <c r="F385">
        <v>99</v>
      </c>
    </row>
    <row r="386" spans="1:6" x14ac:dyDescent="0.25">
      <c r="A386" t="s">
        <v>4364</v>
      </c>
      <c r="B386" t="s">
        <v>2847</v>
      </c>
      <c r="C386">
        <v>129</v>
      </c>
      <c r="D386">
        <v>81</v>
      </c>
      <c r="E386">
        <v>94</v>
      </c>
      <c r="F386">
        <v>97.8</v>
      </c>
    </row>
    <row r="387" spans="1:6" x14ac:dyDescent="0.25">
      <c r="A387" t="s">
        <v>4365</v>
      </c>
      <c r="B387" t="s">
        <v>2849</v>
      </c>
      <c r="C387">
        <v>137</v>
      </c>
      <c r="D387">
        <v>77</v>
      </c>
      <c r="E387">
        <v>95</v>
      </c>
      <c r="F387">
        <v>98.5</v>
      </c>
    </row>
    <row r="388" spans="1:6" x14ac:dyDescent="0.25">
      <c r="A388" t="s">
        <v>4366</v>
      </c>
      <c r="B388" t="s">
        <v>2851</v>
      </c>
      <c r="C388">
        <v>126</v>
      </c>
      <c r="D388">
        <v>72</v>
      </c>
      <c r="E388">
        <v>85</v>
      </c>
      <c r="F388">
        <v>97.9</v>
      </c>
    </row>
    <row r="389" spans="1:6" x14ac:dyDescent="0.25">
      <c r="A389" t="s">
        <v>4367</v>
      </c>
      <c r="B389" t="s">
        <v>2853</v>
      </c>
      <c r="C389">
        <v>120</v>
      </c>
      <c r="D389">
        <v>85</v>
      </c>
      <c r="E389">
        <v>72</v>
      </c>
      <c r="F389">
        <v>99.2</v>
      </c>
    </row>
    <row r="390" spans="1:6" x14ac:dyDescent="0.25">
      <c r="A390" t="s">
        <v>4368</v>
      </c>
      <c r="B390" t="s">
        <v>2855</v>
      </c>
      <c r="C390">
        <v>113</v>
      </c>
      <c r="D390">
        <v>87</v>
      </c>
      <c r="E390">
        <v>96</v>
      </c>
      <c r="F390">
        <v>98.6</v>
      </c>
    </row>
    <row r="391" spans="1:6" x14ac:dyDescent="0.25">
      <c r="A391" t="s">
        <v>4369</v>
      </c>
      <c r="B391" t="s">
        <v>2857</v>
      </c>
      <c r="C391">
        <v>121</v>
      </c>
      <c r="D391">
        <v>77</v>
      </c>
      <c r="E391">
        <v>78</v>
      </c>
      <c r="F391">
        <v>99</v>
      </c>
    </row>
    <row r="392" spans="1:6" x14ac:dyDescent="0.25">
      <c r="A392" t="s">
        <v>4370</v>
      </c>
      <c r="B392" t="s">
        <v>2858</v>
      </c>
      <c r="C392">
        <v>121</v>
      </c>
      <c r="D392">
        <v>78</v>
      </c>
      <c r="E392">
        <v>61</v>
      </c>
      <c r="F392">
        <v>98.2</v>
      </c>
    </row>
    <row r="393" spans="1:6" x14ac:dyDescent="0.25">
      <c r="A393" t="s">
        <v>4371</v>
      </c>
      <c r="B393" t="s">
        <v>2860</v>
      </c>
      <c r="C393">
        <v>115</v>
      </c>
      <c r="D393">
        <v>90</v>
      </c>
      <c r="E393">
        <v>68</v>
      </c>
      <c r="F393">
        <v>99</v>
      </c>
    </row>
    <row r="394" spans="1:6" x14ac:dyDescent="0.25">
      <c r="A394" t="s">
        <v>4372</v>
      </c>
      <c r="B394" t="s">
        <v>2862</v>
      </c>
      <c r="C394">
        <v>123</v>
      </c>
      <c r="D394">
        <v>85</v>
      </c>
      <c r="E394">
        <v>71</v>
      </c>
      <c r="F394">
        <v>98.7</v>
      </c>
    </row>
    <row r="395" spans="1:6" x14ac:dyDescent="0.25">
      <c r="A395" t="s">
        <v>4373</v>
      </c>
      <c r="B395" t="s">
        <v>2864</v>
      </c>
      <c r="C395">
        <v>111</v>
      </c>
      <c r="D395">
        <v>78</v>
      </c>
      <c r="E395">
        <v>86</v>
      </c>
      <c r="F395">
        <v>98.1</v>
      </c>
    </row>
    <row r="396" spans="1:6" x14ac:dyDescent="0.25">
      <c r="A396" t="s">
        <v>4374</v>
      </c>
      <c r="B396" t="s">
        <v>2866</v>
      </c>
      <c r="C396">
        <v>128</v>
      </c>
      <c r="D396">
        <v>83</v>
      </c>
      <c r="E396">
        <v>87</v>
      </c>
      <c r="F396">
        <v>98</v>
      </c>
    </row>
    <row r="397" spans="1:6" x14ac:dyDescent="0.25">
      <c r="A397" t="s">
        <v>4375</v>
      </c>
      <c r="B397" t="s">
        <v>2867</v>
      </c>
      <c r="C397">
        <v>125</v>
      </c>
      <c r="D397">
        <v>77</v>
      </c>
      <c r="E397">
        <v>95</v>
      </c>
      <c r="F397">
        <v>99.5</v>
      </c>
    </row>
    <row r="398" spans="1:6" x14ac:dyDescent="0.25">
      <c r="A398" t="s">
        <v>4376</v>
      </c>
      <c r="B398" t="s">
        <v>2869</v>
      </c>
      <c r="C398">
        <v>120</v>
      </c>
      <c r="D398">
        <v>74</v>
      </c>
      <c r="E398">
        <v>71</v>
      </c>
      <c r="F398">
        <v>99.2</v>
      </c>
    </row>
    <row r="399" spans="1:6" x14ac:dyDescent="0.25">
      <c r="A399" t="s">
        <v>4377</v>
      </c>
      <c r="B399" t="s">
        <v>2871</v>
      </c>
      <c r="C399">
        <v>114</v>
      </c>
      <c r="D399">
        <v>74</v>
      </c>
      <c r="E399">
        <v>83</v>
      </c>
      <c r="F399">
        <v>97.6</v>
      </c>
    </row>
    <row r="400" spans="1:6" x14ac:dyDescent="0.25">
      <c r="A400" t="s">
        <v>4378</v>
      </c>
      <c r="B400" t="s">
        <v>2873</v>
      </c>
      <c r="C400">
        <v>127</v>
      </c>
      <c r="D400">
        <v>73</v>
      </c>
      <c r="E400">
        <v>90</v>
      </c>
      <c r="F400">
        <v>97.7</v>
      </c>
    </row>
    <row r="401" spans="1:6" x14ac:dyDescent="0.25">
      <c r="A401" t="s">
        <v>4379</v>
      </c>
      <c r="B401" t="s">
        <v>2874</v>
      </c>
      <c r="C401">
        <v>118</v>
      </c>
      <c r="D401">
        <v>88</v>
      </c>
      <c r="E401">
        <v>64</v>
      </c>
      <c r="F401">
        <v>97.6</v>
      </c>
    </row>
    <row r="402" spans="1:6" x14ac:dyDescent="0.25">
      <c r="A402" t="s">
        <v>4380</v>
      </c>
      <c r="B402" t="s">
        <v>2876</v>
      </c>
      <c r="C402">
        <v>124</v>
      </c>
      <c r="D402">
        <v>71</v>
      </c>
      <c r="E402">
        <v>76</v>
      </c>
      <c r="F402">
        <v>97.8</v>
      </c>
    </row>
    <row r="403" spans="1:6" x14ac:dyDescent="0.25">
      <c r="A403" t="s">
        <v>4381</v>
      </c>
      <c r="B403" t="s">
        <v>2878</v>
      </c>
      <c r="C403">
        <v>134</v>
      </c>
      <c r="D403">
        <v>83</v>
      </c>
      <c r="E403">
        <v>67</v>
      </c>
      <c r="F403">
        <v>97.7</v>
      </c>
    </row>
    <row r="404" spans="1:6" x14ac:dyDescent="0.25">
      <c r="A404" t="s">
        <v>4382</v>
      </c>
      <c r="B404" t="s">
        <v>2880</v>
      </c>
      <c r="C404">
        <v>128</v>
      </c>
      <c r="D404">
        <v>72</v>
      </c>
      <c r="E404">
        <v>67</v>
      </c>
      <c r="F404">
        <v>98.2</v>
      </c>
    </row>
    <row r="405" spans="1:6" x14ac:dyDescent="0.25">
      <c r="A405" t="s">
        <v>4383</v>
      </c>
      <c r="B405" t="s">
        <v>2881</v>
      </c>
      <c r="C405">
        <v>130</v>
      </c>
      <c r="D405">
        <v>75</v>
      </c>
      <c r="E405">
        <v>86</v>
      </c>
      <c r="F405">
        <v>97.7</v>
      </c>
    </row>
    <row r="406" spans="1:6" x14ac:dyDescent="0.25">
      <c r="A406" t="s">
        <v>4384</v>
      </c>
      <c r="B406" t="s">
        <v>2882</v>
      </c>
      <c r="C406">
        <v>115</v>
      </c>
      <c r="D406">
        <v>74</v>
      </c>
      <c r="E406">
        <v>88</v>
      </c>
      <c r="F406">
        <v>98.7</v>
      </c>
    </row>
    <row r="407" spans="1:6" x14ac:dyDescent="0.25">
      <c r="A407" t="s">
        <v>4385</v>
      </c>
      <c r="B407" t="s">
        <v>2884</v>
      </c>
      <c r="C407">
        <v>126</v>
      </c>
      <c r="D407">
        <v>77</v>
      </c>
      <c r="E407">
        <v>88</v>
      </c>
      <c r="F407">
        <v>97.5</v>
      </c>
    </row>
    <row r="408" spans="1:6" x14ac:dyDescent="0.25">
      <c r="A408" t="s">
        <v>4386</v>
      </c>
      <c r="B408" t="s">
        <v>2885</v>
      </c>
      <c r="C408">
        <v>123</v>
      </c>
      <c r="D408">
        <v>72</v>
      </c>
      <c r="E408">
        <v>92</v>
      </c>
      <c r="F408">
        <v>98.3</v>
      </c>
    </row>
    <row r="409" spans="1:6" x14ac:dyDescent="0.25">
      <c r="A409" t="s">
        <v>4387</v>
      </c>
      <c r="B409" t="s">
        <v>2886</v>
      </c>
      <c r="C409">
        <v>118</v>
      </c>
      <c r="D409">
        <v>84</v>
      </c>
      <c r="E409">
        <v>80</v>
      </c>
      <c r="F409">
        <v>98.5</v>
      </c>
    </row>
    <row r="410" spans="1:6" x14ac:dyDescent="0.25">
      <c r="A410" t="s">
        <v>4388</v>
      </c>
      <c r="B410" t="s">
        <v>2888</v>
      </c>
      <c r="C410">
        <v>117</v>
      </c>
      <c r="D410">
        <v>73</v>
      </c>
      <c r="E410">
        <v>75</v>
      </c>
      <c r="F410">
        <v>98.5</v>
      </c>
    </row>
    <row r="411" spans="1:6" x14ac:dyDescent="0.25">
      <c r="A411" t="s">
        <v>4389</v>
      </c>
      <c r="B411" t="s">
        <v>2889</v>
      </c>
      <c r="C411">
        <v>138</v>
      </c>
      <c r="D411">
        <v>88</v>
      </c>
      <c r="E411">
        <v>66</v>
      </c>
      <c r="F411">
        <v>98.5</v>
      </c>
    </row>
    <row r="412" spans="1:6" x14ac:dyDescent="0.25">
      <c r="A412" t="s">
        <v>4390</v>
      </c>
      <c r="B412" t="s">
        <v>2890</v>
      </c>
      <c r="C412">
        <v>118</v>
      </c>
      <c r="D412">
        <v>86</v>
      </c>
      <c r="E412">
        <v>100</v>
      </c>
      <c r="F412">
        <v>99.4</v>
      </c>
    </row>
    <row r="413" spans="1:6" x14ac:dyDescent="0.25">
      <c r="A413" t="s">
        <v>4391</v>
      </c>
      <c r="B413" t="s">
        <v>2892</v>
      </c>
      <c r="C413">
        <v>135</v>
      </c>
      <c r="D413">
        <v>80</v>
      </c>
      <c r="E413">
        <v>95</v>
      </c>
      <c r="F413">
        <v>98.7</v>
      </c>
    </row>
    <row r="414" spans="1:6" x14ac:dyDescent="0.25">
      <c r="A414" t="s">
        <v>4392</v>
      </c>
      <c r="B414" t="s">
        <v>2893</v>
      </c>
      <c r="C414">
        <v>126</v>
      </c>
      <c r="D414">
        <v>71</v>
      </c>
      <c r="E414">
        <v>74</v>
      </c>
      <c r="F414">
        <v>97.7</v>
      </c>
    </row>
    <row r="415" spans="1:6" x14ac:dyDescent="0.25">
      <c r="A415" t="s">
        <v>4393</v>
      </c>
      <c r="B415" t="s">
        <v>2895</v>
      </c>
      <c r="C415">
        <v>117</v>
      </c>
      <c r="D415">
        <v>70</v>
      </c>
      <c r="E415">
        <v>99</v>
      </c>
      <c r="F415">
        <v>97.5</v>
      </c>
    </row>
    <row r="416" spans="1:6" x14ac:dyDescent="0.25">
      <c r="A416" t="s">
        <v>4394</v>
      </c>
      <c r="B416" t="s">
        <v>2897</v>
      </c>
      <c r="C416">
        <v>116</v>
      </c>
      <c r="D416">
        <v>70</v>
      </c>
      <c r="E416">
        <v>69</v>
      </c>
      <c r="F416">
        <v>99</v>
      </c>
    </row>
    <row r="417" spans="1:6" x14ac:dyDescent="0.25">
      <c r="A417" t="s">
        <v>4395</v>
      </c>
      <c r="B417" t="s">
        <v>2899</v>
      </c>
      <c r="C417">
        <v>123</v>
      </c>
      <c r="D417">
        <v>84</v>
      </c>
      <c r="E417">
        <v>100</v>
      </c>
      <c r="F417">
        <v>98.8</v>
      </c>
    </row>
    <row r="418" spans="1:6" x14ac:dyDescent="0.25">
      <c r="A418" t="s">
        <v>4396</v>
      </c>
      <c r="B418" t="s">
        <v>2901</v>
      </c>
      <c r="C418">
        <v>119</v>
      </c>
      <c r="D418">
        <v>71</v>
      </c>
      <c r="E418">
        <v>94</v>
      </c>
      <c r="F418">
        <v>99.3</v>
      </c>
    </row>
    <row r="419" spans="1:6" x14ac:dyDescent="0.25">
      <c r="A419" t="s">
        <v>4397</v>
      </c>
      <c r="B419" t="s">
        <v>2903</v>
      </c>
      <c r="C419">
        <v>110</v>
      </c>
      <c r="D419">
        <v>71</v>
      </c>
      <c r="E419">
        <v>82</v>
      </c>
      <c r="F419">
        <v>98.8</v>
      </c>
    </row>
    <row r="420" spans="1:6" x14ac:dyDescent="0.25">
      <c r="A420" t="s">
        <v>4398</v>
      </c>
      <c r="B420" t="s">
        <v>2905</v>
      </c>
      <c r="C420">
        <v>126</v>
      </c>
      <c r="D420">
        <v>88</v>
      </c>
      <c r="E420">
        <v>80</v>
      </c>
      <c r="F420">
        <v>97.7</v>
      </c>
    </row>
    <row r="421" spans="1:6" x14ac:dyDescent="0.25">
      <c r="A421" t="s">
        <v>4399</v>
      </c>
      <c r="B421" t="s">
        <v>2907</v>
      </c>
      <c r="C421">
        <v>115</v>
      </c>
      <c r="D421">
        <v>81</v>
      </c>
      <c r="E421">
        <v>98</v>
      </c>
      <c r="F421">
        <v>97.8</v>
      </c>
    </row>
    <row r="422" spans="1:6" x14ac:dyDescent="0.25">
      <c r="A422" t="s">
        <v>4400</v>
      </c>
      <c r="B422" t="s">
        <v>2909</v>
      </c>
      <c r="C422">
        <v>131</v>
      </c>
      <c r="D422">
        <v>73</v>
      </c>
      <c r="E422">
        <v>94</v>
      </c>
      <c r="F422">
        <v>97.7</v>
      </c>
    </row>
    <row r="423" spans="1:6" x14ac:dyDescent="0.25">
      <c r="A423" t="s">
        <v>4401</v>
      </c>
      <c r="B423" t="s">
        <v>2911</v>
      </c>
      <c r="C423">
        <v>114</v>
      </c>
      <c r="D423">
        <v>87</v>
      </c>
      <c r="E423">
        <v>77</v>
      </c>
      <c r="F423">
        <v>98.7</v>
      </c>
    </row>
    <row r="424" spans="1:6" x14ac:dyDescent="0.25">
      <c r="A424" t="s">
        <v>4402</v>
      </c>
      <c r="B424" t="s">
        <v>2912</v>
      </c>
      <c r="C424">
        <v>129</v>
      </c>
      <c r="D424">
        <v>81</v>
      </c>
      <c r="E424">
        <v>88</v>
      </c>
      <c r="F424">
        <v>98.9</v>
      </c>
    </row>
    <row r="425" spans="1:6" x14ac:dyDescent="0.25">
      <c r="A425" t="s">
        <v>4403</v>
      </c>
      <c r="B425" t="s">
        <v>2914</v>
      </c>
      <c r="C425">
        <v>118</v>
      </c>
      <c r="D425">
        <v>84</v>
      </c>
      <c r="E425">
        <v>65</v>
      </c>
      <c r="F425">
        <v>98.1</v>
      </c>
    </row>
    <row r="426" spans="1:6" x14ac:dyDescent="0.25">
      <c r="A426" t="s">
        <v>4404</v>
      </c>
      <c r="B426" t="s">
        <v>2916</v>
      </c>
      <c r="C426">
        <v>117</v>
      </c>
      <c r="D426">
        <v>89</v>
      </c>
      <c r="E426">
        <v>94</v>
      </c>
      <c r="F426">
        <v>98.9</v>
      </c>
    </row>
    <row r="427" spans="1:6" x14ac:dyDescent="0.25">
      <c r="A427" t="s">
        <v>4405</v>
      </c>
      <c r="B427" t="s">
        <v>2917</v>
      </c>
      <c r="C427">
        <v>112</v>
      </c>
      <c r="D427">
        <v>76</v>
      </c>
      <c r="E427">
        <v>78</v>
      </c>
      <c r="F427">
        <v>97.7</v>
      </c>
    </row>
    <row r="428" spans="1:6" x14ac:dyDescent="0.25">
      <c r="A428" t="s">
        <v>4406</v>
      </c>
      <c r="B428" t="s">
        <v>2919</v>
      </c>
      <c r="C428">
        <v>113</v>
      </c>
      <c r="D428">
        <v>87</v>
      </c>
      <c r="E428">
        <v>96</v>
      </c>
      <c r="F428">
        <v>98.7</v>
      </c>
    </row>
    <row r="429" spans="1:6" x14ac:dyDescent="0.25">
      <c r="A429" t="s">
        <v>4407</v>
      </c>
      <c r="B429" t="s">
        <v>2920</v>
      </c>
      <c r="C429">
        <v>114</v>
      </c>
      <c r="D429">
        <v>77</v>
      </c>
      <c r="E429">
        <v>62</v>
      </c>
      <c r="F429">
        <v>98</v>
      </c>
    </row>
    <row r="430" spans="1:6" x14ac:dyDescent="0.25">
      <c r="A430" t="s">
        <v>4408</v>
      </c>
      <c r="B430" t="s">
        <v>2922</v>
      </c>
      <c r="C430">
        <v>114</v>
      </c>
      <c r="D430">
        <v>80</v>
      </c>
      <c r="E430">
        <v>81</v>
      </c>
      <c r="F430">
        <v>98.4</v>
      </c>
    </row>
    <row r="431" spans="1:6" x14ac:dyDescent="0.25">
      <c r="A431" t="s">
        <v>4409</v>
      </c>
      <c r="B431" t="s">
        <v>2924</v>
      </c>
      <c r="C431">
        <v>120</v>
      </c>
      <c r="D431">
        <v>72</v>
      </c>
      <c r="E431">
        <v>88</v>
      </c>
      <c r="F431">
        <v>99.3</v>
      </c>
    </row>
    <row r="432" spans="1:6" x14ac:dyDescent="0.25">
      <c r="A432" t="s">
        <v>4410</v>
      </c>
      <c r="B432" t="s">
        <v>2925</v>
      </c>
      <c r="C432">
        <v>116</v>
      </c>
      <c r="D432">
        <v>78</v>
      </c>
      <c r="E432">
        <v>86</v>
      </c>
      <c r="F432">
        <v>98.5</v>
      </c>
    </row>
    <row r="433" spans="1:6" x14ac:dyDescent="0.25">
      <c r="A433" t="s">
        <v>4411</v>
      </c>
      <c r="B433" t="s">
        <v>2927</v>
      </c>
      <c r="C433">
        <v>139</v>
      </c>
      <c r="D433">
        <v>81</v>
      </c>
      <c r="E433">
        <v>77</v>
      </c>
      <c r="F433">
        <v>98.2</v>
      </c>
    </row>
    <row r="434" spans="1:6" x14ac:dyDescent="0.25">
      <c r="A434" t="s">
        <v>4412</v>
      </c>
      <c r="B434" t="s">
        <v>2929</v>
      </c>
      <c r="C434">
        <v>137</v>
      </c>
      <c r="D434">
        <v>77</v>
      </c>
      <c r="E434">
        <v>62</v>
      </c>
      <c r="F434">
        <v>98.7</v>
      </c>
    </row>
    <row r="435" spans="1:6" x14ac:dyDescent="0.25">
      <c r="A435" t="s">
        <v>4413</v>
      </c>
      <c r="B435" t="s">
        <v>2931</v>
      </c>
      <c r="C435">
        <v>125</v>
      </c>
      <c r="D435">
        <v>78</v>
      </c>
      <c r="E435">
        <v>72</v>
      </c>
      <c r="F435">
        <v>98.1</v>
      </c>
    </row>
    <row r="436" spans="1:6" x14ac:dyDescent="0.25">
      <c r="A436" t="s">
        <v>4414</v>
      </c>
      <c r="B436" t="s">
        <v>2933</v>
      </c>
      <c r="C436">
        <v>137</v>
      </c>
      <c r="D436">
        <v>73</v>
      </c>
      <c r="E436">
        <v>80</v>
      </c>
      <c r="F436">
        <v>98.6</v>
      </c>
    </row>
    <row r="437" spans="1:6" x14ac:dyDescent="0.25">
      <c r="A437" t="s">
        <v>4415</v>
      </c>
      <c r="B437" t="s">
        <v>2934</v>
      </c>
      <c r="C437">
        <v>135</v>
      </c>
      <c r="D437">
        <v>78</v>
      </c>
      <c r="E437">
        <v>83</v>
      </c>
      <c r="F437">
        <v>97.8</v>
      </c>
    </row>
    <row r="438" spans="1:6" x14ac:dyDescent="0.25">
      <c r="A438" t="s">
        <v>4416</v>
      </c>
      <c r="B438" t="s">
        <v>2935</v>
      </c>
      <c r="C438">
        <v>130</v>
      </c>
      <c r="D438">
        <v>84</v>
      </c>
      <c r="E438">
        <v>80</v>
      </c>
      <c r="F438">
        <v>99.1</v>
      </c>
    </row>
    <row r="439" spans="1:6" x14ac:dyDescent="0.25">
      <c r="A439" t="s">
        <v>4417</v>
      </c>
      <c r="B439" t="s">
        <v>2936</v>
      </c>
      <c r="C439">
        <v>116</v>
      </c>
      <c r="D439">
        <v>82</v>
      </c>
      <c r="E439">
        <v>92</v>
      </c>
      <c r="F439">
        <v>98.4</v>
      </c>
    </row>
    <row r="440" spans="1:6" x14ac:dyDescent="0.25">
      <c r="A440" t="s">
        <v>4418</v>
      </c>
      <c r="B440" t="s">
        <v>2937</v>
      </c>
      <c r="C440">
        <v>118</v>
      </c>
      <c r="D440">
        <v>80</v>
      </c>
      <c r="E440">
        <v>78</v>
      </c>
      <c r="F440">
        <v>98.1</v>
      </c>
    </row>
    <row r="441" spans="1:6" x14ac:dyDescent="0.25">
      <c r="A441" t="s">
        <v>4419</v>
      </c>
      <c r="B441" t="s">
        <v>2938</v>
      </c>
      <c r="C441">
        <v>129</v>
      </c>
      <c r="D441">
        <v>86</v>
      </c>
      <c r="E441">
        <v>69</v>
      </c>
      <c r="F441">
        <v>98.9</v>
      </c>
    </row>
    <row r="442" spans="1:6" x14ac:dyDescent="0.25">
      <c r="A442" t="s">
        <v>4420</v>
      </c>
      <c r="B442" t="s">
        <v>2940</v>
      </c>
      <c r="C442">
        <v>129</v>
      </c>
      <c r="D442">
        <v>79</v>
      </c>
      <c r="E442">
        <v>72</v>
      </c>
      <c r="F442">
        <v>98.7</v>
      </c>
    </row>
    <row r="443" spans="1:6" x14ac:dyDescent="0.25">
      <c r="A443" t="s">
        <v>4421</v>
      </c>
      <c r="B443" t="s">
        <v>2942</v>
      </c>
      <c r="C443">
        <v>134</v>
      </c>
      <c r="D443">
        <v>80</v>
      </c>
      <c r="E443">
        <v>87</v>
      </c>
      <c r="F443">
        <v>98.9</v>
      </c>
    </row>
    <row r="444" spans="1:6" x14ac:dyDescent="0.25">
      <c r="A444" t="s">
        <v>4422</v>
      </c>
      <c r="B444" t="s">
        <v>2944</v>
      </c>
      <c r="C444">
        <v>113</v>
      </c>
      <c r="D444">
        <v>88</v>
      </c>
      <c r="E444">
        <v>96</v>
      </c>
      <c r="F444">
        <v>97.6</v>
      </c>
    </row>
    <row r="445" spans="1:6" x14ac:dyDescent="0.25">
      <c r="A445" t="s">
        <v>4423</v>
      </c>
      <c r="B445" t="s">
        <v>2946</v>
      </c>
      <c r="C445">
        <v>129</v>
      </c>
      <c r="D445">
        <v>79</v>
      </c>
      <c r="E445">
        <v>77</v>
      </c>
      <c r="F445">
        <v>98.7</v>
      </c>
    </row>
    <row r="446" spans="1:6" x14ac:dyDescent="0.25">
      <c r="A446" t="s">
        <v>4424</v>
      </c>
      <c r="B446" t="s">
        <v>2948</v>
      </c>
      <c r="C446">
        <v>113</v>
      </c>
      <c r="D446">
        <v>76</v>
      </c>
      <c r="E446">
        <v>65</v>
      </c>
      <c r="F446">
        <v>97.6</v>
      </c>
    </row>
    <row r="447" spans="1:6" x14ac:dyDescent="0.25">
      <c r="A447" t="s">
        <v>4425</v>
      </c>
      <c r="B447" t="s">
        <v>2949</v>
      </c>
      <c r="C447">
        <v>111</v>
      </c>
      <c r="D447">
        <v>78</v>
      </c>
      <c r="E447">
        <v>70</v>
      </c>
      <c r="F447">
        <v>98.6</v>
      </c>
    </row>
    <row r="448" spans="1:6" x14ac:dyDescent="0.25">
      <c r="A448" t="s">
        <v>4426</v>
      </c>
      <c r="B448" t="s">
        <v>2951</v>
      </c>
      <c r="C448">
        <v>110</v>
      </c>
      <c r="D448">
        <v>72</v>
      </c>
      <c r="E448">
        <v>82</v>
      </c>
      <c r="F448">
        <v>98.5</v>
      </c>
    </row>
    <row r="449" spans="1:6" x14ac:dyDescent="0.25">
      <c r="A449" t="s">
        <v>4427</v>
      </c>
      <c r="B449" t="s">
        <v>2953</v>
      </c>
      <c r="C449">
        <v>121</v>
      </c>
      <c r="D449">
        <v>81</v>
      </c>
      <c r="E449">
        <v>82</v>
      </c>
      <c r="F449">
        <v>99.3</v>
      </c>
    </row>
    <row r="450" spans="1:6" x14ac:dyDescent="0.25">
      <c r="A450" t="s">
        <v>4428</v>
      </c>
      <c r="B450" t="s">
        <v>2954</v>
      </c>
      <c r="C450">
        <v>119</v>
      </c>
      <c r="D450">
        <v>75</v>
      </c>
      <c r="E450">
        <v>71</v>
      </c>
      <c r="F450">
        <v>98.7</v>
      </c>
    </row>
    <row r="451" spans="1:6" x14ac:dyDescent="0.25">
      <c r="A451" t="s">
        <v>4429</v>
      </c>
      <c r="B451" t="s">
        <v>2956</v>
      </c>
      <c r="C451">
        <v>120</v>
      </c>
      <c r="D451">
        <v>75</v>
      </c>
      <c r="E451">
        <v>67</v>
      </c>
      <c r="F451">
        <v>97.9</v>
      </c>
    </row>
    <row r="452" spans="1:6" x14ac:dyDescent="0.25">
      <c r="A452" t="s">
        <v>4430</v>
      </c>
      <c r="B452" t="s">
        <v>2957</v>
      </c>
      <c r="C452">
        <v>120</v>
      </c>
      <c r="D452">
        <v>85</v>
      </c>
      <c r="E452">
        <v>69</v>
      </c>
      <c r="F452">
        <v>98.1</v>
      </c>
    </row>
    <row r="453" spans="1:6" x14ac:dyDescent="0.25">
      <c r="A453" t="s">
        <v>4431</v>
      </c>
      <c r="B453" t="s">
        <v>2959</v>
      </c>
      <c r="C453">
        <v>121</v>
      </c>
      <c r="D453">
        <v>72</v>
      </c>
      <c r="E453">
        <v>94</v>
      </c>
      <c r="F453">
        <v>97.8</v>
      </c>
    </row>
    <row r="454" spans="1:6" x14ac:dyDescent="0.25">
      <c r="A454" t="s">
        <v>4432</v>
      </c>
      <c r="B454" t="s">
        <v>2961</v>
      </c>
      <c r="C454">
        <v>122</v>
      </c>
      <c r="D454">
        <v>77</v>
      </c>
      <c r="E454">
        <v>97</v>
      </c>
      <c r="F454">
        <v>97.5</v>
      </c>
    </row>
    <row r="455" spans="1:6" x14ac:dyDescent="0.25">
      <c r="A455" t="s">
        <v>4433</v>
      </c>
      <c r="B455" t="s">
        <v>2963</v>
      </c>
      <c r="C455">
        <v>131</v>
      </c>
      <c r="D455">
        <v>87</v>
      </c>
      <c r="E455">
        <v>75</v>
      </c>
      <c r="F455">
        <v>98.8</v>
      </c>
    </row>
    <row r="456" spans="1:6" x14ac:dyDescent="0.25">
      <c r="A456" t="s">
        <v>4434</v>
      </c>
      <c r="B456" t="s">
        <v>2965</v>
      </c>
      <c r="C456">
        <v>129</v>
      </c>
      <c r="D456">
        <v>77</v>
      </c>
      <c r="E456">
        <v>87</v>
      </c>
      <c r="F456">
        <v>99.2</v>
      </c>
    </row>
    <row r="457" spans="1:6" x14ac:dyDescent="0.25">
      <c r="A457" t="s">
        <v>4435</v>
      </c>
      <c r="B457" t="s">
        <v>2967</v>
      </c>
      <c r="C457">
        <v>135</v>
      </c>
      <c r="D457">
        <v>86</v>
      </c>
      <c r="E457">
        <v>95</v>
      </c>
      <c r="F457">
        <v>98</v>
      </c>
    </row>
    <row r="458" spans="1:6" x14ac:dyDescent="0.25">
      <c r="A458" t="s">
        <v>4436</v>
      </c>
      <c r="B458" t="s">
        <v>2969</v>
      </c>
      <c r="C458">
        <v>131</v>
      </c>
      <c r="D458">
        <v>84</v>
      </c>
      <c r="E458">
        <v>95</v>
      </c>
      <c r="F458">
        <v>98.9</v>
      </c>
    </row>
    <row r="459" spans="1:6" x14ac:dyDescent="0.25">
      <c r="A459" t="s">
        <v>4437</v>
      </c>
      <c r="B459" t="s">
        <v>2971</v>
      </c>
      <c r="C459">
        <v>126</v>
      </c>
      <c r="D459">
        <v>71</v>
      </c>
      <c r="E459">
        <v>76</v>
      </c>
      <c r="F459">
        <v>97.6</v>
      </c>
    </row>
    <row r="460" spans="1:6" x14ac:dyDescent="0.25">
      <c r="A460" t="s">
        <v>4438</v>
      </c>
      <c r="B460" t="s">
        <v>2973</v>
      </c>
      <c r="C460">
        <v>124</v>
      </c>
      <c r="D460">
        <v>80</v>
      </c>
      <c r="E460">
        <v>84</v>
      </c>
      <c r="F460">
        <v>99.1</v>
      </c>
    </row>
    <row r="461" spans="1:6" x14ac:dyDescent="0.25">
      <c r="A461" t="s">
        <v>4439</v>
      </c>
      <c r="B461" t="s">
        <v>2975</v>
      </c>
      <c r="C461">
        <v>131</v>
      </c>
      <c r="D461">
        <v>77</v>
      </c>
      <c r="E461">
        <v>70</v>
      </c>
      <c r="F461">
        <v>99.3</v>
      </c>
    </row>
    <row r="462" spans="1:6" x14ac:dyDescent="0.25">
      <c r="A462" t="s">
        <v>4440</v>
      </c>
      <c r="B462" t="s">
        <v>2977</v>
      </c>
      <c r="C462">
        <v>117</v>
      </c>
      <c r="D462">
        <v>76</v>
      </c>
      <c r="E462">
        <v>100</v>
      </c>
      <c r="F462">
        <v>97.6</v>
      </c>
    </row>
    <row r="463" spans="1:6" x14ac:dyDescent="0.25">
      <c r="A463" t="s">
        <v>4441</v>
      </c>
      <c r="B463" t="s">
        <v>2978</v>
      </c>
      <c r="C463">
        <v>127</v>
      </c>
      <c r="D463">
        <v>72</v>
      </c>
      <c r="E463">
        <v>83</v>
      </c>
      <c r="F463">
        <v>98.8</v>
      </c>
    </row>
    <row r="464" spans="1:6" x14ac:dyDescent="0.25">
      <c r="A464" t="s">
        <v>4442</v>
      </c>
      <c r="B464" t="s">
        <v>2980</v>
      </c>
      <c r="C464">
        <v>125</v>
      </c>
      <c r="D464">
        <v>73</v>
      </c>
      <c r="E464">
        <v>78</v>
      </c>
      <c r="F464">
        <v>99</v>
      </c>
    </row>
    <row r="465" spans="1:6" x14ac:dyDescent="0.25">
      <c r="A465" t="s">
        <v>4443</v>
      </c>
      <c r="B465" t="s">
        <v>2981</v>
      </c>
      <c r="C465">
        <v>129</v>
      </c>
      <c r="D465">
        <v>74</v>
      </c>
      <c r="E465">
        <v>82</v>
      </c>
      <c r="F465">
        <v>98.3</v>
      </c>
    </row>
    <row r="466" spans="1:6" x14ac:dyDescent="0.25">
      <c r="A466" t="s">
        <v>4444</v>
      </c>
      <c r="B466" t="s">
        <v>2983</v>
      </c>
      <c r="C466">
        <v>116</v>
      </c>
      <c r="D466">
        <v>85</v>
      </c>
      <c r="E466">
        <v>93</v>
      </c>
      <c r="F466">
        <v>97.7</v>
      </c>
    </row>
    <row r="467" spans="1:6" x14ac:dyDescent="0.25">
      <c r="A467" t="s">
        <v>4445</v>
      </c>
      <c r="B467" t="s">
        <v>2985</v>
      </c>
      <c r="C467">
        <v>129</v>
      </c>
      <c r="D467">
        <v>73</v>
      </c>
      <c r="E467">
        <v>89</v>
      </c>
      <c r="F467">
        <v>98.2</v>
      </c>
    </row>
    <row r="468" spans="1:6" x14ac:dyDescent="0.25">
      <c r="A468" t="s">
        <v>4446</v>
      </c>
      <c r="B468" t="s">
        <v>2986</v>
      </c>
      <c r="C468">
        <v>110</v>
      </c>
      <c r="D468">
        <v>72</v>
      </c>
      <c r="E468">
        <v>82</v>
      </c>
      <c r="F468">
        <v>98.7</v>
      </c>
    </row>
    <row r="469" spans="1:6" x14ac:dyDescent="0.25">
      <c r="A469" t="s">
        <v>4447</v>
      </c>
      <c r="B469" t="s">
        <v>2987</v>
      </c>
      <c r="C469">
        <v>112</v>
      </c>
      <c r="D469">
        <v>90</v>
      </c>
      <c r="E469">
        <v>93</v>
      </c>
      <c r="F469">
        <v>99.2</v>
      </c>
    </row>
    <row r="470" spans="1:6" x14ac:dyDescent="0.25">
      <c r="A470" t="s">
        <v>4448</v>
      </c>
      <c r="B470" t="s">
        <v>2989</v>
      </c>
      <c r="C470">
        <v>122</v>
      </c>
      <c r="D470">
        <v>82</v>
      </c>
      <c r="E470">
        <v>100</v>
      </c>
      <c r="F470">
        <v>97.7</v>
      </c>
    </row>
    <row r="471" spans="1:6" x14ac:dyDescent="0.25">
      <c r="A471" t="s">
        <v>4449</v>
      </c>
      <c r="B471" t="s">
        <v>2991</v>
      </c>
      <c r="C471">
        <v>136</v>
      </c>
      <c r="D471">
        <v>84</v>
      </c>
      <c r="E471">
        <v>89</v>
      </c>
      <c r="F471">
        <v>98.6</v>
      </c>
    </row>
    <row r="472" spans="1:6" x14ac:dyDescent="0.25">
      <c r="A472" t="s">
        <v>4450</v>
      </c>
      <c r="B472" t="s">
        <v>2992</v>
      </c>
      <c r="C472">
        <v>120</v>
      </c>
      <c r="D472">
        <v>81</v>
      </c>
      <c r="E472">
        <v>87</v>
      </c>
      <c r="F472">
        <v>98.6</v>
      </c>
    </row>
    <row r="473" spans="1:6" x14ac:dyDescent="0.25">
      <c r="A473" t="s">
        <v>4451</v>
      </c>
      <c r="B473" t="s">
        <v>2994</v>
      </c>
      <c r="C473">
        <v>115</v>
      </c>
      <c r="D473">
        <v>75</v>
      </c>
      <c r="E473">
        <v>96</v>
      </c>
      <c r="F473">
        <v>99.2</v>
      </c>
    </row>
    <row r="474" spans="1:6" x14ac:dyDescent="0.25">
      <c r="A474" t="s">
        <v>4452</v>
      </c>
      <c r="B474" t="s">
        <v>2996</v>
      </c>
      <c r="C474">
        <v>127</v>
      </c>
      <c r="D474">
        <v>83</v>
      </c>
      <c r="E474">
        <v>67</v>
      </c>
      <c r="F474">
        <v>97.9</v>
      </c>
    </row>
    <row r="475" spans="1:6" x14ac:dyDescent="0.25">
      <c r="A475" t="s">
        <v>4453</v>
      </c>
      <c r="B475" t="s">
        <v>2998</v>
      </c>
      <c r="C475">
        <v>139</v>
      </c>
      <c r="D475">
        <v>72</v>
      </c>
      <c r="E475">
        <v>67</v>
      </c>
      <c r="F475">
        <v>98.6</v>
      </c>
    </row>
    <row r="476" spans="1:6" x14ac:dyDescent="0.25">
      <c r="A476" t="s">
        <v>4454</v>
      </c>
      <c r="B476" t="s">
        <v>3000</v>
      </c>
      <c r="C476">
        <v>126</v>
      </c>
      <c r="D476">
        <v>84</v>
      </c>
      <c r="E476">
        <v>67</v>
      </c>
      <c r="F476">
        <v>98.5</v>
      </c>
    </row>
    <row r="477" spans="1:6" x14ac:dyDescent="0.25">
      <c r="A477" t="s">
        <v>4455</v>
      </c>
      <c r="B477" t="s">
        <v>3002</v>
      </c>
      <c r="C477">
        <v>134</v>
      </c>
      <c r="D477">
        <v>80</v>
      </c>
      <c r="E477">
        <v>96</v>
      </c>
      <c r="F477">
        <v>98.4</v>
      </c>
    </row>
    <row r="478" spans="1:6" x14ac:dyDescent="0.25">
      <c r="A478" t="s">
        <v>4456</v>
      </c>
      <c r="B478" t="s">
        <v>3004</v>
      </c>
      <c r="C478">
        <v>136</v>
      </c>
      <c r="D478">
        <v>86</v>
      </c>
      <c r="E478">
        <v>100</v>
      </c>
      <c r="F478">
        <v>98.7</v>
      </c>
    </row>
    <row r="479" spans="1:6" x14ac:dyDescent="0.25">
      <c r="A479" t="s">
        <v>4457</v>
      </c>
      <c r="B479" t="s">
        <v>3006</v>
      </c>
      <c r="C479">
        <v>117</v>
      </c>
      <c r="D479">
        <v>83</v>
      </c>
      <c r="E479">
        <v>73</v>
      </c>
      <c r="F479">
        <v>99</v>
      </c>
    </row>
    <row r="480" spans="1:6" x14ac:dyDescent="0.25">
      <c r="A480" t="s">
        <v>4458</v>
      </c>
      <c r="B480" t="s">
        <v>3007</v>
      </c>
      <c r="C480">
        <v>116</v>
      </c>
      <c r="D480">
        <v>71</v>
      </c>
      <c r="E480">
        <v>98</v>
      </c>
      <c r="F480">
        <v>98.3</v>
      </c>
    </row>
    <row r="481" spans="1:6" x14ac:dyDescent="0.25">
      <c r="A481" t="s">
        <v>4459</v>
      </c>
      <c r="B481" t="s">
        <v>3009</v>
      </c>
      <c r="C481">
        <v>121</v>
      </c>
      <c r="D481">
        <v>70</v>
      </c>
      <c r="E481">
        <v>90</v>
      </c>
      <c r="F481">
        <v>97.6</v>
      </c>
    </row>
    <row r="482" spans="1:6" x14ac:dyDescent="0.25">
      <c r="A482" t="s">
        <v>4460</v>
      </c>
      <c r="B482" t="s">
        <v>3011</v>
      </c>
      <c r="C482">
        <v>110</v>
      </c>
      <c r="D482">
        <v>84</v>
      </c>
      <c r="E482">
        <v>88</v>
      </c>
      <c r="F482">
        <v>98.8</v>
      </c>
    </row>
    <row r="483" spans="1:6" x14ac:dyDescent="0.25">
      <c r="A483" t="s">
        <v>4461</v>
      </c>
      <c r="B483" t="s">
        <v>3013</v>
      </c>
      <c r="C483">
        <v>135</v>
      </c>
      <c r="D483">
        <v>78</v>
      </c>
      <c r="E483">
        <v>78</v>
      </c>
      <c r="F483">
        <v>99</v>
      </c>
    </row>
    <row r="484" spans="1:6" x14ac:dyDescent="0.25">
      <c r="A484" t="s">
        <v>4462</v>
      </c>
      <c r="B484" t="s">
        <v>3014</v>
      </c>
      <c r="C484">
        <v>122</v>
      </c>
      <c r="D484">
        <v>78</v>
      </c>
      <c r="E484">
        <v>64</v>
      </c>
      <c r="F484">
        <v>97.6</v>
      </c>
    </row>
    <row r="485" spans="1:6" x14ac:dyDescent="0.25">
      <c r="A485" t="s">
        <v>4463</v>
      </c>
      <c r="B485" t="s">
        <v>3016</v>
      </c>
      <c r="C485">
        <v>121</v>
      </c>
      <c r="D485">
        <v>80</v>
      </c>
      <c r="E485">
        <v>62</v>
      </c>
      <c r="F485">
        <v>98.8</v>
      </c>
    </row>
    <row r="486" spans="1:6" x14ac:dyDescent="0.25">
      <c r="A486" t="s">
        <v>4464</v>
      </c>
      <c r="B486" t="s">
        <v>3018</v>
      </c>
      <c r="C486">
        <v>116</v>
      </c>
      <c r="D486">
        <v>78</v>
      </c>
      <c r="E486">
        <v>64</v>
      </c>
      <c r="F486">
        <v>99</v>
      </c>
    </row>
    <row r="487" spans="1:6" x14ac:dyDescent="0.25">
      <c r="A487" t="s">
        <v>4465</v>
      </c>
      <c r="B487" t="s">
        <v>3020</v>
      </c>
      <c r="C487">
        <v>136</v>
      </c>
      <c r="D487">
        <v>80</v>
      </c>
      <c r="E487">
        <v>84</v>
      </c>
      <c r="F487">
        <v>97.9</v>
      </c>
    </row>
    <row r="488" spans="1:6" x14ac:dyDescent="0.25">
      <c r="A488" t="s">
        <v>4466</v>
      </c>
      <c r="B488" t="s">
        <v>3022</v>
      </c>
      <c r="C488">
        <v>120</v>
      </c>
      <c r="D488">
        <v>89</v>
      </c>
      <c r="E488">
        <v>69</v>
      </c>
      <c r="F488">
        <v>98.1</v>
      </c>
    </row>
    <row r="489" spans="1:6" x14ac:dyDescent="0.25">
      <c r="A489" t="s">
        <v>4467</v>
      </c>
      <c r="B489" t="s">
        <v>3024</v>
      </c>
      <c r="C489">
        <v>140</v>
      </c>
      <c r="D489">
        <v>79</v>
      </c>
      <c r="E489">
        <v>63</v>
      </c>
      <c r="F489">
        <v>98.1</v>
      </c>
    </row>
    <row r="490" spans="1:6" x14ac:dyDescent="0.25">
      <c r="A490" t="s">
        <v>4468</v>
      </c>
      <c r="B490" t="s">
        <v>3026</v>
      </c>
      <c r="C490">
        <v>111</v>
      </c>
      <c r="D490">
        <v>81</v>
      </c>
      <c r="E490">
        <v>92</v>
      </c>
      <c r="F490">
        <v>98.3</v>
      </c>
    </row>
    <row r="491" spans="1:6" x14ac:dyDescent="0.25">
      <c r="A491" t="s">
        <v>4469</v>
      </c>
      <c r="B491" t="s">
        <v>3028</v>
      </c>
      <c r="C491">
        <v>110</v>
      </c>
      <c r="D491">
        <v>70</v>
      </c>
      <c r="E491">
        <v>81</v>
      </c>
      <c r="F491">
        <v>99.5</v>
      </c>
    </row>
    <row r="492" spans="1:6" x14ac:dyDescent="0.25">
      <c r="A492" t="s">
        <v>4470</v>
      </c>
      <c r="B492" t="s">
        <v>3030</v>
      </c>
      <c r="C492">
        <v>130</v>
      </c>
      <c r="D492">
        <v>71</v>
      </c>
      <c r="E492">
        <v>86</v>
      </c>
      <c r="F492">
        <v>99.2</v>
      </c>
    </row>
    <row r="493" spans="1:6" x14ac:dyDescent="0.25">
      <c r="A493" t="s">
        <v>4471</v>
      </c>
      <c r="B493" t="s">
        <v>3032</v>
      </c>
      <c r="C493">
        <v>111</v>
      </c>
      <c r="D493">
        <v>77</v>
      </c>
      <c r="E493">
        <v>74</v>
      </c>
      <c r="F493">
        <v>99.4</v>
      </c>
    </row>
    <row r="494" spans="1:6" x14ac:dyDescent="0.25">
      <c r="A494" t="s">
        <v>4472</v>
      </c>
      <c r="B494" t="s">
        <v>3034</v>
      </c>
      <c r="C494">
        <v>126</v>
      </c>
      <c r="D494">
        <v>73</v>
      </c>
      <c r="E494">
        <v>70</v>
      </c>
      <c r="F494">
        <v>99.3</v>
      </c>
    </row>
    <row r="495" spans="1:6" x14ac:dyDescent="0.25">
      <c r="A495" t="s">
        <v>4473</v>
      </c>
      <c r="B495" t="s">
        <v>3036</v>
      </c>
      <c r="C495">
        <v>110</v>
      </c>
      <c r="D495">
        <v>78</v>
      </c>
      <c r="E495">
        <v>67</v>
      </c>
      <c r="F495">
        <v>99.5</v>
      </c>
    </row>
    <row r="496" spans="1:6" x14ac:dyDescent="0.25">
      <c r="A496" t="s">
        <v>4474</v>
      </c>
      <c r="B496" t="s">
        <v>3038</v>
      </c>
      <c r="C496">
        <v>115</v>
      </c>
      <c r="D496">
        <v>82</v>
      </c>
      <c r="E496">
        <v>89</v>
      </c>
      <c r="F496">
        <v>98.6</v>
      </c>
    </row>
    <row r="497" spans="1:6" x14ac:dyDescent="0.25">
      <c r="A497" t="s">
        <v>4475</v>
      </c>
      <c r="B497" t="s">
        <v>3040</v>
      </c>
      <c r="C497">
        <v>138</v>
      </c>
      <c r="D497">
        <v>82</v>
      </c>
      <c r="E497">
        <v>60</v>
      </c>
      <c r="F497">
        <v>99.4</v>
      </c>
    </row>
    <row r="498" spans="1:6" x14ac:dyDescent="0.25">
      <c r="A498" t="s">
        <v>4476</v>
      </c>
      <c r="B498" t="s">
        <v>3042</v>
      </c>
      <c r="C498">
        <v>136</v>
      </c>
      <c r="D498">
        <v>85</v>
      </c>
      <c r="E498">
        <v>94</v>
      </c>
      <c r="F498">
        <v>98.4</v>
      </c>
    </row>
    <row r="499" spans="1:6" x14ac:dyDescent="0.25">
      <c r="A499" t="s">
        <v>4477</v>
      </c>
      <c r="B499" t="s">
        <v>3043</v>
      </c>
      <c r="C499">
        <v>135</v>
      </c>
      <c r="D499">
        <v>70</v>
      </c>
      <c r="E499">
        <v>92</v>
      </c>
      <c r="F499">
        <v>97.8</v>
      </c>
    </row>
    <row r="500" spans="1:6" x14ac:dyDescent="0.25">
      <c r="A500" t="s">
        <v>4478</v>
      </c>
      <c r="B500" t="s">
        <v>3045</v>
      </c>
      <c r="C500">
        <v>118</v>
      </c>
      <c r="D500">
        <v>74</v>
      </c>
      <c r="E500">
        <v>97</v>
      </c>
      <c r="F500">
        <v>98.7</v>
      </c>
    </row>
    <row r="501" spans="1:6" x14ac:dyDescent="0.25">
      <c r="A501" t="s">
        <v>4479</v>
      </c>
      <c r="B501" t="s">
        <v>3047</v>
      </c>
      <c r="C501">
        <v>115</v>
      </c>
      <c r="D501">
        <v>76</v>
      </c>
      <c r="E501">
        <v>77</v>
      </c>
      <c r="F501">
        <v>97.9</v>
      </c>
    </row>
  </sheetData>
  <pageMargins left="0.7" right="0.7" top="0.75" bottom="0.75" header="0.3" footer="0.3"/>
  <ignoredErrors>
    <ignoredError sqref="A1:F50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01"/>
  <sheetViews>
    <sheetView topLeftCell="A474" workbookViewId="0">
      <selection activeCell="E498" sqref="E498"/>
    </sheetView>
  </sheetViews>
  <sheetFormatPr defaultRowHeight="15.75" x14ac:dyDescent="0.25"/>
  <cols>
    <col min="4" max="4" width="13.625" bestFit="1" customWidth="1"/>
  </cols>
  <sheetData>
    <row r="1" spans="1:4" x14ac:dyDescent="0.25">
      <c r="A1" t="s">
        <v>4480</v>
      </c>
      <c r="B1" t="s">
        <v>2080</v>
      </c>
      <c r="C1" t="s">
        <v>3965</v>
      </c>
      <c r="D1" t="s">
        <v>4481</v>
      </c>
    </row>
    <row r="2" spans="1:4" x14ac:dyDescent="0.25">
      <c r="A2" t="s">
        <v>4482</v>
      </c>
      <c r="B2" t="s">
        <v>2085</v>
      </c>
      <c r="C2" t="s">
        <v>3967</v>
      </c>
      <c r="D2">
        <v>432.61</v>
      </c>
    </row>
    <row r="3" spans="1:4" x14ac:dyDescent="0.25">
      <c r="A3" t="s">
        <v>4483</v>
      </c>
      <c r="B3" t="s">
        <v>2090</v>
      </c>
      <c r="C3" t="s">
        <v>3969</v>
      </c>
      <c r="D3">
        <v>399.89</v>
      </c>
    </row>
    <row r="4" spans="1:4" x14ac:dyDescent="0.25">
      <c r="A4" t="s">
        <v>4484</v>
      </c>
      <c r="B4" t="s">
        <v>2094</v>
      </c>
      <c r="C4" t="s">
        <v>3967</v>
      </c>
      <c r="D4">
        <v>156.68</v>
      </c>
    </row>
    <row r="5" spans="1:4" x14ac:dyDescent="0.25">
      <c r="A5" t="s">
        <v>4485</v>
      </c>
      <c r="B5" t="s">
        <v>2098</v>
      </c>
      <c r="C5" t="s">
        <v>3969</v>
      </c>
      <c r="D5">
        <v>76.62</v>
      </c>
    </row>
    <row r="6" spans="1:4" x14ac:dyDescent="0.25">
      <c r="A6" t="s">
        <v>4486</v>
      </c>
      <c r="B6" t="s">
        <v>2101</v>
      </c>
      <c r="C6" t="s">
        <v>3971</v>
      </c>
      <c r="D6">
        <v>371.08</v>
      </c>
    </row>
    <row r="7" spans="1:4" x14ac:dyDescent="0.25">
      <c r="A7" t="s">
        <v>4487</v>
      </c>
      <c r="B7" t="s">
        <v>2105</v>
      </c>
      <c r="C7" t="s">
        <v>3967</v>
      </c>
      <c r="D7">
        <v>88.3</v>
      </c>
    </row>
    <row r="8" spans="1:4" x14ac:dyDescent="0.25">
      <c r="A8" t="s">
        <v>4488</v>
      </c>
      <c r="B8" t="s">
        <v>2109</v>
      </c>
      <c r="C8" t="s">
        <v>3967</v>
      </c>
      <c r="D8">
        <v>274.35000000000002</v>
      </c>
    </row>
    <row r="9" spans="1:4" x14ac:dyDescent="0.25">
      <c r="A9" t="s">
        <v>4489</v>
      </c>
      <c r="B9" t="s">
        <v>2112</v>
      </c>
      <c r="C9" t="s">
        <v>3969</v>
      </c>
      <c r="D9">
        <v>373.43</v>
      </c>
    </row>
    <row r="10" spans="1:4" x14ac:dyDescent="0.25">
      <c r="A10" t="s">
        <v>4490</v>
      </c>
      <c r="B10" t="s">
        <v>2115</v>
      </c>
      <c r="C10" t="s">
        <v>3973</v>
      </c>
      <c r="D10">
        <v>161.85</v>
      </c>
    </row>
    <row r="11" spans="1:4" x14ac:dyDescent="0.25">
      <c r="A11" t="s">
        <v>4491</v>
      </c>
      <c r="B11" t="s">
        <v>2118</v>
      </c>
      <c r="C11" t="s">
        <v>3969</v>
      </c>
      <c r="D11">
        <v>393.93</v>
      </c>
    </row>
    <row r="12" spans="1:4" x14ac:dyDescent="0.25">
      <c r="A12" t="s">
        <v>4492</v>
      </c>
      <c r="B12" t="s">
        <v>2120</v>
      </c>
      <c r="C12" t="s">
        <v>3971</v>
      </c>
      <c r="D12">
        <v>329.15</v>
      </c>
    </row>
    <row r="13" spans="1:4" x14ac:dyDescent="0.25">
      <c r="A13" t="s">
        <v>4493</v>
      </c>
      <c r="B13" t="s">
        <v>2122</v>
      </c>
      <c r="C13" t="s">
        <v>3969</v>
      </c>
      <c r="D13">
        <v>369.59</v>
      </c>
    </row>
    <row r="14" spans="1:4" x14ac:dyDescent="0.25">
      <c r="A14" t="s">
        <v>4494</v>
      </c>
      <c r="B14" t="s">
        <v>2125</v>
      </c>
      <c r="C14" t="s">
        <v>3967</v>
      </c>
      <c r="D14">
        <v>358.17</v>
      </c>
    </row>
    <row r="15" spans="1:4" x14ac:dyDescent="0.25">
      <c r="A15" t="s">
        <v>4495</v>
      </c>
      <c r="B15" t="s">
        <v>2128</v>
      </c>
      <c r="C15" t="s">
        <v>3967</v>
      </c>
      <c r="D15">
        <v>313.20999999999998</v>
      </c>
    </row>
    <row r="16" spans="1:4" x14ac:dyDescent="0.25">
      <c r="A16" t="s">
        <v>4496</v>
      </c>
      <c r="B16" t="s">
        <v>2131</v>
      </c>
      <c r="C16" t="s">
        <v>3973</v>
      </c>
      <c r="D16">
        <v>267.22000000000003</v>
      </c>
    </row>
    <row r="17" spans="1:4" x14ac:dyDescent="0.25">
      <c r="A17" t="s">
        <v>4497</v>
      </c>
      <c r="B17" t="s">
        <v>2134</v>
      </c>
      <c r="C17" t="s">
        <v>3973</v>
      </c>
      <c r="D17">
        <v>147.72</v>
      </c>
    </row>
    <row r="18" spans="1:4" x14ac:dyDescent="0.25">
      <c r="A18" t="s">
        <v>4498</v>
      </c>
      <c r="B18" t="s">
        <v>2137</v>
      </c>
      <c r="C18" t="s">
        <v>3971</v>
      </c>
      <c r="D18">
        <v>155.05000000000001</v>
      </c>
    </row>
    <row r="19" spans="1:4" x14ac:dyDescent="0.25">
      <c r="A19" t="s">
        <v>4499</v>
      </c>
      <c r="B19" t="s">
        <v>2140</v>
      </c>
      <c r="C19" t="s">
        <v>3971</v>
      </c>
      <c r="D19">
        <v>304.94</v>
      </c>
    </row>
    <row r="20" spans="1:4" x14ac:dyDescent="0.25">
      <c r="A20" t="s">
        <v>4500</v>
      </c>
      <c r="B20" t="s">
        <v>2142</v>
      </c>
      <c r="C20" t="s">
        <v>3971</v>
      </c>
      <c r="D20">
        <v>372.55</v>
      </c>
    </row>
    <row r="21" spans="1:4" x14ac:dyDescent="0.25">
      <c r="A21" t="s">
        <v>4501</v>
      </c>
      <c r="B21" t="s">
        <v>2144</v>
      </c>
      <c r="C21" t="s">
        <v>3967</v>
      </c>
      <c r="D21">
        <v>109.88</v>
      </c>
    </row>
    <row r="22" spans="1:4" x14ac:dyDescent="0.25">
      <c r="A22" t="s">
        <v>4502</v>
      </c>
      <c r="B22" t="s">
        <v>2146</v>
      </c>
      <c r="C22" t="s">
        <v>3969</v>
      </c>
      <c r="D22">
        <v>429.87</v>
      </c>
    </row>
    <row r="23" spans="1:4" x14ac:dyDescent="0.25">
      <c r="A23" t="s">
        <v>4503</v>
      </c>
      <c r="B23" t="s">
        <v>2149</v>
      </c>
      <c r="C23" t="s">
        <v>3969</v>
      </c>
      <c r="D23">
        <v>250.18</v>
      </c>
    </row>
    <row r="24" spans="1:4" x14ac:dyDescent="0.25">
      <c r="A24" t="s">
        <v>4504</v>
      </c>
      <c r="B24" t="s">
        <v>2151</v>
      </c>
      <c r="C24" t="s">
        <v>3967</v>
      </c>
      <c r="D24">
        <v>222.27</v>
      </c>
    </row>
    <row r="25" spans="1:4" x14ac:dyDescent="0.25">
      <c r="A25" t="s">
        <v>4505</v>
      </c>
      <c r="B25" t="s">
        <v>2154</v>
      </c>
      <c r="C25" t="s">
        <v>3969</v>
      </c>
      <c r="D25">
        <v>100.65</v>
      </c>
    </row>
    <row r="26" spans="1:4" x14ac:dyDescent="0.25">
      <c r="A26" t="s">
        <v>4506</v>
      </c>
      <c r="B26" t="s">
        <v>2156</v>
      </c>
      <c r="C26" t="s">
        <v>3967</v>
      </c>
      <c r="D26">
        <v>311.63</v>
      </c>
    </row>
    <row r="27" spans="1:4" x14ac:dyDescent="0.25">
      <c r="A27" t="s">
        <v>4507</v>
      </c>
      <c r="B27" t="s">
        <v>2159</v>
      </c>
      <c r="C27" t="s">
        <v>3973</v>
      </c>
      <c r="D27">
        <v>464.21</v>
      </c>
    </row>
    <row r="28" spans="1:4" x14ac:dyDescent="0.25">
      <c r="A28" t="s">
        <v>4508</v>
      </c>
      <c r="B28" t="s">
        <v>2161</v>
      </c>
      <c r="C28" t="s">
        <v>3969</v>
      </c>
      <c r="D28">
        <v>83.11</v>
      </c>
    </row>
    <row r="29" spans="1:4" x14ac:dyDescent="0.25">
      <c r="A29" t="s">
        <v>4509</v>
      </c>
      <c r="B29" t="s">
        <v>2164</v>
      </c>
      <c r="C29" t="s">
        <v>3967</v>
      </c>
      <c r="D29">
        <v>239.88</v>
      </c>
    </row>
    <row r="30" spans="1:4" x14ac:dyDescent="0.25">
      <c r="A30" t="s">
        <v>4510</v>
      </c>
      <c r="B30" t="s">
        <v>2166</v>
      </c>
      <c r="C30" t="s">
        <v>3969</v>
      </c>
      <c r="D30">
        <v>281.69</v>
      </c>
    </row>
    <row r="31" spans="1:4" x14ac:dyDescent="0.25">
      <c r="A31" t="s">
        <v>4511</v>
      </c>
      <c r="B31" t="s">
        <v>2168</v>
      </c>
      <c r="C31" t="s">
        <v>3973</v>
      </c>
      <c r="D31">
        <v>427.73</v>
      </c>
    </row>
    <row r="32" spans="1:4" x14ac:dyDescent="0.25">
      <c r="A32" t="s">
        <v>4512</v>
      </c>
      <c r="B32" t="s">
        <v>2171</v>
      </c>
      <c r="C32" t="s">
        <v>3973</v>
      </c>
      <c r="D32">
        <v>179.84</v>
      </c>
    </row>
    <row r="33" spans="1:4" x14ac:dyDescent="0.25">
      <c r="A33" t="s">
        <v>4513</v>
      </c>
      <c r="B33" t="s">
        <v>2173</v>
      </c>
      <c r="C33" t="s">
        <v>3967</v>
      </c>
      <c r="D33">
        <v>230.15</v>
      </c>
    </row>
    <row r="34" spans="1:4" x14ac:dyDescent="0.25">
      <c r="A34" t="s">
        <v>4514</v>
      </c>
      <c r="B34" t="s">
        <v>2175</v>
      </c>
      <c r="C34" t="s">
        <v>3969</v>
      </c>
      <c r="D34">
        <v>455.17</v>
      </c>
    </row>
    <row r="35" spans="1:4" x14ac:dyDescent="0.25">
      <c r="A35" t="s">
        <v>4515</v>
      </c>
      <c r="B35" t="s">
        <v>2177</v>
      </c>
      <c r="C35" t="s">
        <v>3967</v>
      </c>
      <c r="D35">
        <v>154.33000000000001</v>
      </c>
    </row>
    <row r="36" spans="1:4" x14ac:dyDescent="0.25">
      <c r="A36" t="s">
        <v>4516</v>
      </c>
      <c r="B36" t="s">
        <v>2179</v>
      </c>
      <c r="C36" t="s">
        <v>3969</v>
      </c>
      <c r="D36">
        <v>59.62</v>
      </c>
    </row>
    <row r="37" spans="1:4" x14ac:dyDescent="0.25">
      <c r="A37" t="s">
        <v>4517</v>
      </c>
      <c r="B37" t="s">
        <v>2182</v>
      </c>
      <c r="C37" t="s">
        <v>3969</v>
      </c>
      <c r="D37">
        <v>243.9</v>
      </c>
    </row>
    <row r="38" spans="1:4" x14ac:dyDescent="0.25">
      <c r="A38" t="s">
        <v>4518</v>
      </c>
      <c r="B38" t="s">
        <v>2184</v>
      </c>
      <c r="C38" t="s">
        <v>3967</v>
      </c>
      <c r="D38">
        <v>322.3</v>
      </c>
    </row>
    <row r="39" spans="1:4" x14ac:dyDescent="0.25">
      <c r="A39" t="s">
        <v>4519</v>
      </c>
      <c r="B39" t="s">
        <v>2187</v>
      </c>
      <c r="C39" t="s">
        <v>3971</v>
      </c>
      <c r="D39">
        <v>333.23</v>
      </c>
    </row>
    <row r="40" spans="1:4" x14ac:dyDescent="0.25">
      <c r="A40" t="s">
        <v>4520</v>
      </c>
      <c r="B40" t="s">
        <v>2189</v>
      </c>
      <c r="C40" t="s">
        <v>3967</v>
      </c>
      <c r="D40">
        <v>91.77</v>
      </c>
    </row>
    <row r="41" spans="1:4" x14ac:dyDescent="0.25">
      <c r="A41" t="s">
        <v>4521</v>
      </c>
      <c r="B41" t="s">
        <v>2191</v>
      </c>
      <c r="C41" t="s">
        <v>3973</v>
      </c>
      <c r="D41">
        <v>270.82</v>
      </c>
    </row>
    <row r="42" spans="1:4" x14ac:dyDescent="0.25">
      <c r="A42" t="s">
        <v>4522</v>
      </c>
      <c r="B42" t="s">
        <v>2193</v>
      </c>
      <c r="C42" t="s">
        <v>3969</v>
      </c>
      <c r="D42">
        <v>281.61</v>
      </c>
    </row>
    <row r="43" spans="1:4" x14ac:dyDescent="0.25">
      <c r="A43" t="s">
        <v>4523</v>
      </c>
      <c r="B43" t="s">
        <v>2195</v>
      </c>
      <c r="C43" t="s">
        <v>3967</v>
      </c>
      <c r="D43">
        <v>332.14</v>
      </c>
    </row>
    <row r="44" spans="1:4" x14ac:dyDescent="0.25">
      <c r="A44" t="s">
        <v>4524</v>
      </c>
      <c r="B44" t="s">
        <v>2198</v>
      </c>
      <c r="C44" t="s">
        <v>3969</v>
      </c>
      <c r="D44">
        <v>321.48</v>
      </c>
    </row>
    <row r="45" spans="1:4" x14ac:dyDescent="0.25">
      <c r="A45" t="s">
        <v>4525</v>
      </c>
      <c r="B45" t="s">
        <v>2200</v>
      </c>
      <c r="C45" t="s">
        <v>3973</v>
      </c>
      <c r="D45">
        <v>61.9</v>
      </c>
    </row>
    <row r="46" spans="1:4" x14ac:dyDescent="0.25">
      <c r="A46" t="s">
        <v>4526</v>
      </c>
      <c r="B46" t="s">
        <v>2203</v>
      </c>
      <c r="C46" t="s">
        <v>3967</v>
      </c>
      <c r="D46">
        <v>308.77999999999997</v>
      </c>
    </row>
    <row r="47" spans="1:4" x14ac:dyDescent="0.25">
      <c r="A47" t="s">
        <v>4527</v>
      </c>
      <c r="B47" t="s">
        <v>2204</v>
      </c>
      <c r="C47" t="s">
        <v>3971</v>
      </c>
      <c r="D47">
        <v>438.77</v>
      </c>
    </row>
    <row r="48" spans="1:4" x14ac:dyDescent="0.25">
      <c r="A48" t="s">
        <v>4528</v>
      </c>
      <c r="B48" t="s">
        <v>2205</v>
      </c>
      <c r="C48" t="s">
        <v>3973</v>
      </c>
      <c r="D48">
        <v>196.19</v>
      </c>
    </row>
    <row r="49" spans="1:4" x14ac:dyDescent="0.25">
      <c r="A49" t="s">
        <v>4529</v>
      </c>
      <c r="B49" t="s">
        <v>2207</v>
      </c>
      <c r="C49" t="s">
        <v>3969</v>
      </c>
      <c r="D49">
        <v>378.64</v>
      </c>
    </row>
    <row r="50" spans="1:4" x14ac:dyDescent="0.25">
      <c r="A50" t="s">
        <v>4530</v>
      </c>
      <c r="B50" t="s">
        <v>2209</v>
      </c>
      <c r="C50" t="s">
        <v>3967</v>
      </c>
      <c r="D50">
        <v>493.29</v>
      </c>
    </row>
    <row r="51" spans="1:4" x14ac:dyDescent="0.25">
      <c r="A51" t="s">
        <v>4531</v>
      </c>
      <c r="B51" t="s">
        <v>2211</v>
      </c>
      <c r="C51" t="s">
        <v>3967</v>
      </c>
      <c r="D51">
        <v>392.93</v>
      </c>
    </row>
    <row r="52" spans="1:4" x14ac:dyDescent="0.25">
      <c r="A52" t="s">
        <v>4532</v>
      </c>
      <c r="B52" t="s">
        <v>2213</v>
      </c>
      <c r="C52" t="s">
        <v>3969</v>
      </c>
      <c r="D52">
        <v>479.5</v>
      </c>
    </row>
    <row r="53" spans="1:4" x14ac:dyDescent="0.25">
      <c r="A53" t="s">
        <v>4533</v>
      </c>
      <c r="B53" t="s">
        <v>2215</v>
      </c>
      <c r="C53" t="s">
        <v>3969</v>
      </c>
      <c r="D53">
        <v>299.19</v>
      </c>
    </row>
    <row r="54" spans="1:4" x14ac:dyDescent="0.25">
      <c r="A54" t="s">
        <v>4534</v>
      </c>
      <c r="B54" t="s">
        <v>2218</v>
      </c>
      <c r="C54" t="s">
        <v>3967</v>
      </c>
      <c r="D54">
        <v>355.74</v>
      </c>
    </row>
    <row r="55" spans="1:4" x14ac:dyDescent="0.25">
      <c r="A55" t="s">
        <v>4535</v>
      </c>
      <c r="B55" t="s">
        <v>2220</v>
      </c>
      <c r="C55" t="s">
        <v>3969</v>
      </c>
      <c r="D55">
        <v>493.7</v>
      </c>
    </row>
    <row r="56" spans="1:4" x14ac:dyDescent="0.25">
      <c r="A56" t="s">
        <v>4536</v>
      </c>
      <c r="B56" t="s">
        <v>2222</v>
      </c>
      <c r="C56" t="s">
        <v>3969</v>
      </c>
      <c r="D56">
        <v>444.53</v>
      </c>
    </row>
    <row r="57" spans="1:4" x14ac:dyDescent="0.25">
      <c r="A57" t="s">
        <v>4537</v>
      </c>
      <c r="B57" t="s">
        <v>2224</v>
      </c>
      <c r="C57" t="s">
        <v>3973</v>
      </c>
      <c r="D57">
        <v>324.88</v>
      </c>
    </row>
    <row r="58" spans="1:4" x14ac:dyDescent="0.25">
      <c r="A58" t="s">
        <v>4538</v>
      </c>
      <c r="B58" t="s">
        <v>2226</v>
      </c>
      <c r="C58" t="s">
        <v>3969</v>
      </c>
      <c r="D58">
        <v>135.02000000000001</v>
      </c>
    </row>
    <row r="59" spans="1:4" x14ac:dyDescent="0.25">
      <c r="A59" t="s">
        <v>4539</v>
      </c>
      <c r="B59" t="s">
        <v>2229</v>
      </c>
      <c r="C59" t="s">
        <v>3967</v>
      </c>
      <c r="D59">
        <v>227.34</v>
      </c>
    </row>
    <row r="60" spans="1:4" x14ac:dyDescent="0.25">
      <c r="A60" t="s">
        <v>4540</v>
      </c>
      <c r="B60" t="s">
        <v>2231</v>
      </c>
      <c r="C60" t="s">
        <v>3969</v>
      </c>
      <c r="D60">
        <v>325.73</v>
      </c>
    </row>
    <row r="61" spans="1:4" x14ac:dyDescent="0.25">
      <c r="A61" t="s">
        <v>4541</v>
      </c>
      <c r="B61" t="s">
        <v>2233</v>
      </c>
      <c r="C61" t="s">
        <v>3973</v>
      </c>
      <c r="D61">
        <v>205.12</v>
      </c>
    </row>
    <row r="62" spans="1:4" x14ac:dyDescent="0.25">
      <c r="A62" t="s">
        <v>4542</v>
      </c>
      <c r="B62" t="s">
        <v>2234</v>
      </c>
      <c r="C62" t="s">
        <v>3967</v>
      </c>
      <c r="D62">
        <v>464.4</v>
      </c>
    </row>
    <row r="63" spans="1:4" x14ac:dyDescent="0.25">
      <c r="A63" t="s">
        <v>4543</v>
      </c>
      <c r="B63" t="s">
        <v>2236</v>
      </c>
      <c r="C63" t="s">
        <v>3967</v>
      </c>
      <c r="D63">
        <v>335.9</v>
      </c>
    </row>
    <row r="64" spans="1:4" x14ac:dyDescent="0.25">
      <c r="A64" t="s">
        <v>4544</v>
      </c>
      <c r="B64" t="s">
        <v>2238</v>
      </c>
      <c r="C64" t="s">
        <v>3969</v>
      </c>
      <c r="D64">
        <v>345.47</v>
      </c>
    </row>
    <row r="65" spans="1:4" x14ac:dyDescent="0.25">
      <c r="A65" t="s">
        <v>4545</v>
      </c>
      <c r="B65" t="s">
        <v>2240</v>
      </c>
      <c r="C65" t="s">
        <v>3969</v>
      </c>
      <c r="D65">
        <v>169.98</v>
      </c>
    </row>
    <row r="66" spans="1:4" x14ac:dyDescent="0.25">
      <c r="A66" t="s">
        <v>4546</v>
      </c>
      <c r="B66" t="s">
        <v>2242</v>
      </c>
      <c r="C66" t="s">
        <v>3973</v>
      </c>
      <c r="D66">
        <v>311.92</v>
      </c>
    </row>
    <row r="67" spans="1:4" x14ac:dyDescent="0.25">
      <c r="A67" t="s">
        <v>4547</v>
      </c>
      <c r="B67" t="s">
        <v>2244</v>
      </c>
      <c r="C67" t="s">
        <v>3967</v>
      </c>
      <c r="D67">
        <v>197.05</v>
      </c>
    </row>
    <row r="68" spans="1:4" x14ac:dyDescent="0.25">
      <c r="A68" t="s">
        <v>4548</v>
      </c>
      <c r="B68" t="s">
        <v>2246</v>
      </c>
      <c r="C68" t="s">
        <v>3971</v>
      </c>
      <c r="D68">
        <v>174.83</v>
      </c>
    </row>
    <row r="69" spans="1:4" x14ac:dyDescent="0.25">
      <c r="A69" t="s">
        <v>4549</v>
      </c>
      <c r="B69" t="s">
        <v>2249</v>
      </c>
      <c r="C69" t="s">
        <v>3967</v>
      </c>
      <c r="D69">
        <v>252.88</v>
      </c>
    </row>
    <row r="70" spans="1:4" x14ac:dyDescent="0.25">
      <c r="A70" t="s">
        <v>4550</v>
      </c>
      <c r="B70" t="s">
        <v>2251</v>
      </c>
      <c r="C70" t="s">
        <v>3971</v>
      </c>
      <c r="D70">
        <v>262.35000000000002</v>
      </c>
    </row>
    <row r="71" spans="1:4" x14ac:dyDescent="0.25">
      <c r="A71" t="s">
        <v>4551</v>
      </c>
      <c r="B71" t="s">
        <v>2253</v>
      </c>
      <c r="C71" t="s">
        <v>3973</v>
      </c>
      <c r="D71">
        <v>404.03</v>
      </c>
    </row>
    <row r="72" spans="1:4" x14ac:dyDescent="0.25">
      <c r="A72" t="s">
        <v>4552</v>
      </c>
      <c r="B72" t="s">
        <v>2255</v>
      </c>
      <c r="C72" t="s">
        <v>3971</v>
      </c>
      <c r="D72">
        <v>91.89</v>
      </c>
    </row>
    <row r="73" spans="1:4" x14ac:dyDescent="0.25">
      <c r="A73" t="s">
        <v>4553</v>
      </c>
      <c r="B73" t="s">
        <v>2257</v>
      </c>
      <c r="C73" t="s">
        <v>3967</v>
      </c>
      <c r="D73">
        <v>253.39</v>
      </c>
    </row>
    <row r="74" spans="1:4" x14ac:dyDescent="0.25">
      <c r="A74" t="s">
        <v>4554</v>
      </c>
      <c r="B74" t="s">
        <v>2260</v>
      </c>
      <c r="C74" t="s">
        <v>3967</v>
      </c>
      <c r="D74">
        <v>167.28</v>
      </c>
    </row>
    <row r="75" spans="1:4" x14ac:dyDescent="0.25">
      <c r="A75" t="s">
        <v>4555</v>
      </c>
      <c r="B75" t="s">
        <v>2262</v>
      </c>
      <c r="C75" t="s">
        <v>3969</v>
      </c>
      <c r="D75">
        <v>370.31</v>
      </c>
    </row>
    <row r="76" spans="1:4" x14ac:dyDescent="0.25">
      <c r="A76" t="s">
        <v>4556</v>
      </c>
      <c r="B76" t="s">
        <v>2264</v>
      </c>
      <c r="C76" t="s">
        <v>3967</v>
      </c>
      <c r="D76">
        <v>377.51</v>
      </c>
    </row>
    <row r="77" spans="1:4" x14ac:dyDescent="0.25">
      <c r="A77" t="s">
        <v>4557</v>
      </c>
      <c r="B77" t="s">
        <v>2266</v>
      </c>
      <c r="C77" t="s">
        <v>3971</v>
      </c>
      <c r="D77">
        <v>115.87</v>
      </c>
    </row>
    <row r="78" spans="1:4" x14ac:dyDescent="0.25">
      <c r="A78" t="s">
        <v>4558</v>
      </c>
      <c r="B78" t="s">
        <v>2268</v>
      </c>
      <c r="C78" t="s">
        <v>3969</v>
      </c>
      <c r="D78">
        <v>61.22</v>
      </c>
    </row>
    <row r="79" spans="1:4" x14ac:dyDescent="0.25">
      <c r="A79" t="s">
        <v>4559</v>
      </c>
      <c r="B79" t="s">
        <v>2269</v>
      </c>
      <c r="C79" t="s">
        <v>3973</v>
      </c>
      <c r="D79">
        <v>81.5</v>
      </c>
    </row>
    <row r="80" spans="1:4" x14ac:dyDescent="0.25">
      <c r="A80" t="s">
        <v>4560</v>
      </c>
      <c r="B80" t="s">
        <v>2271</v>
      </c>
      <c r="C80" t="s">
        <v>3969</v>
      </c>
      <c r="D80">
        <v>398.42</v>
      </c>
    </row>
    <row r="81" spans="1:4" x14ac:dyDescent="0.25">
      <c r="A81" t="s">
        <v>4561</v>
      </c>
      <c r="B81" t="s">
        <v>2273</v>
      </c>
      <c r="C81" t="s">
        <v>3973</v>
      </c>
      <c r="D81">
        <v>391.6</v>
      </c>
    </row>
    <row r="82" spans="1:4" x14ac:dyDescent="0.25">
      <c r="A82" t="s">
        <v>4562</v>
      </c>
      <c r="B82" t="s">
        <v>2275</v>
      </c>
      <c r="C82" t="s">
        <v>3973</v>
      </c>
      <c r="D82">
        <v>290.81</v>
      </c>
    </row>
    <row r="83" spans="1:4" x14ac:dyDescent="0.25">
      <c r="A83" t="s">
        <v>4563</v>
      </c>
      <c r="B83" t="s">
        <v>2277</v>
      </c>
      <c r="C83" t="s">
        <v>3971</v>
      </c>
      <c r="D83">
        <v>352.7</v>
      </c>
    </row>
    <row r="84" spans="1:4" x14ac:dyDescent="0.25">
      <c r="A84" t="s">
        <v>4564</v>
      </c>
      <c r="B84" t="s">
        <v>2279</v>
      </c>
      <c r="C84" t="s">
        <v>3969</v>
      </c>
      <c r="D84">
        <v>245.88</v>
      </c>
    </row>
    <row r="85" spans="1:4" x14ac:dyDescent="0.25">
      <c r="A85" t="s">
        <v>4565</v>
      </c>
      <c r="B85" t="s">
        <v>2281</v>
      </c>
      <c r="C85" t="s">
        <v>3969</v>
      </c>
      <c r="D85">
        <v>274.26</v>
      </c>
    </row>
    <row r="86" spans="1:4" x14ac:dyDescent="0.25">
      <c r="A86" t="s">
        <v>4566</v>
      </c>
      <c r="B86" t="s">
        <v>2283</v>
      </c>
      <c r="C86" t="s">
        <v>3967</v>
      </c>
      <c r="D86">
        <v>255.45</v>
      </c>
    </row>
    <row r="87" spans="1:4" x14ac:dyDescent="0.25">
      <c r="A87" t="s">
        <v>4567</v>
      </c>
      <c r="B87" t="s">
        <v>2284</v>
      </c>
      <c r="C87" t="s">
        <v>3967</v>
      </c>
      <c r="D87">
        <v>470.46</v>
      </c>
    </row>
    <row r="88" spans="1:4" x14ac:dyDescent="0.25">
      <c r="A88" t="s">
        <v>4568</v>
      </c>
      <c r="B88" t="s">
        <v>2286</v>
      </c>
      <c r="C88" t="s">
        <v>3967</v>
      </c>
      <c r="D88">
        <v>332.98</v>
      </c>
    </row>
    <row r="89" spans="1:4" x14ac:dyDescent="0.25">
      <c r="A89" t="s">
        <v>4569</v>
      </c>
      <c r="B89" t="s">
        <v>2288</v>
      </c>
      <c r="C89" t="s">
        <v>3967</v>
      </c>
      <c r="D89">
        <v>424.68</v>
      </c>
    </row>
    <row r="90" spans="1:4" x14ac:dyDescent="0.25">
      <c r="A90" t="s">
        <v>4570</v>
      </c>
      <c r="B90" t="s">
        <v>2290</v>
      </c>
      <c r="C90" t="s">
        <v>3969</v>
      </c>
      <c r="D90">
        <v>330.42</v>
      </c>
    </row>
    <row r="91" spans="1:4" x14ac:dyDescent="0.25">
      <c r="A91" t="s">
        <v>4571</v>
      </c>
      <c r="B91" t="s">
        <v>2292</v>
      </c>
      <c r="C91" t="s">
        <v>3973</v>
      </c>
      <c r="D91">
        <v>401.64</v>
      </c>
    </row>
    <row r="92" spans="1:4" x14ac:dyDescent="0.25">
      <c r="A92" t="s">
        <v>4572</v>
      </c>
      <c r="B92" t="s">
        <v>2294</v>
      </c>
      <c r="C92" t="s">
        <v>3969</v>
      </c>
      <c r="D92">
        <v>56.26</v>
      </c>
    </row>
    <row r="93" spans="1:4" x14ac:dyDescent="0.25">
      <c r="A93" t="s">
        <v>4573</v>
      </c>
      <c r="B93" t="s">
        <v>2296</v>
      </c>
      <c r="C93" t="s">
        <v>3973</v>
      </c>
      <c r="D93">
        <v>361.7</v>
      </c>
    </row>
    <row r="94" spans="1:4" x14ac:dyDescent="0.25">
      <c r="A94" t="s">
        <v>4574</v>
      </c>
      <c r="B94" t="s">
        <v>2298</v>
      </c>
      <c r="C94" t="s">
        <v>3973</v>
      </c>
      <c r="D94">
        <v>305.95999999999998</v>
      </c>
    </row>
    <row r="95" spans="1:4" x14ac:dyDescent="0.25">
      <c r="A95" t="s">
        <v>4575</v>
      </c>
      <c r="B95" t="s">
        <v>2300</v>
      </c>
      <c r="C95" t="s">
        <v>3973</v>
      </c>
      <c r="D95">
        <v>317.26</v>
      </c>
    </row>
    <row r="96" spans="1:4" x14ac:dyDescent="0.25">
      <c r="A96" t="s">
        <v>4576</v>
      </c>
      <c r="B96" t="s">
        <v>2302</v>
      </c>
      <c r="C96" t="s">
        <v>3969</v>
      </c>
      <c r="D96">
        <v>495.11</v>
      </c>
    </row>
    <row r="97" spans="1:4" x14ac:dyDescent="0.25">
      <c r="A97" t="s">
        <v>4577</v>
      </c>
      <c r="B97" t="s">
        <v>2304</v>
      </c>
      <c r="C97" t="s">
        <v>3971</v>
      </c>
      <c r="D97">
        <v>53.84</v>
      </c>
    </row>
    <row r="98" spans="1:4" x14ac:dyDescent="0.25">
      <c r="A98" t="s">
        <v>4578</v>
      </c>
      <c r="B98" t="s">
        <v>2306</v>
      </c>
      <c r="C98" t="s">
        <v>3967</v>
      </c>
      <c r="D98">
        <v>475.29</v>
      </c>
    </row>
    <row r="99" spans="1:4" x14ac:dyDescent="0.25">
      <c r="A99" t="s">
        <v>4579</v>
      </c>
      <c r="B99" t="s">
        <v>2308</v>
      </c>
      <c r="C99" t="s">
        <v>3967</v>
      </c>
      <c r="D99">
        <v>442.87</v>
      </c>
    </row>
    <row r="100" spans="1:4" x14ac:dyDescent="0.25">
      <c r="A100" t="s">
        <v>4580</v>
      </c>
      <c r="B100" t="s">
        <v>2310</v>
      </c>
      <c r="C100" t="s">
        <v>3967</v>
      </c>
      <c r="D100">
        <v>354.13</v>
      </c>
    </row>
    <row r="101" spans="1:4" x14ac:dyDescent="0.25">
      <c r="A101" t="s">
        <v>4581</v>
      </c>
      <c r="B101" t="s">
        <v>2312</v>
      </c>
      <c r="C101" t="s">
        <v>3967</v>
      </c>
      <c r="D101">
        <v>313.73</v>
      </c>
    </row>
    <row r="102" spans="1:4" x14ac:dyDescent="0.25">
      <c r="A102" t="s">
        <v>4582</v>
      </c>
      <c r="B102" t="s">
        <v>2314</v>
      </c>
      <c r="C102" t="s">
        <v>3969</v>
      </c>
      <c r="D102">
        <v>357.47</v>
      </c>
    </row>
    <row r="103" spans="1:4" x14ac:dyDescent="0.25">
      <c r="A103" t="s">
        <v>4583</v>
      </c>
      <c r="B103" t="s">
        <v>2316</v>
      </c>
      <c r="C103" t="s">
        <v>3967</v>
      </c>
      <c r="D103">
        <v>55.68</v>
      </c>
    </row>
    <row r="104" spans="1:4" x14ac:dyDescent="0.25">
      <c r="A104" t="s">
        <v>4584</v>
      </c>
      <c r="B104" t="s">
        <v>2319</v>
      </c>
      <c r="C104" t="s">
        <v>3967</v>
      </c>
      <c r="D104">
        <v>126.83</v>
      </c>
    </row>
    <row r="105" spans="1:4" x14ac:dyDescent="0.25">
      <c r="A105" t="s">
        <v>4585</v>
      </c>
      <c r="B105" t="s">
        <v>2321</v>
      </c>
      <c r="C105" t="s">
        <v>3971</v>
      </c>
      <c r="D105">
        <v>98.24</v>
      </c>
    </row>
    <row r="106" spans="1:4" x14ac:dyDescent="0.25">
      <c r="A106" t="s">
        <v>4586</v>
      </c>
      <c r="B106" t="s">
        <v>2322</v>
      </c>
      <c r="C106" t="s">
        <v>3967</v>
      </c>
      <c r="D106">
        <v>190.08</v>
      </c>
    </row>
    <row r="107" spans="1:4" x14ac:dyDescent="0.25">
      <c r="A107" t="s">
        <v>4587</v>
      </c>
      <c r="B107" t="s">
        <v>2324</v>
      </c>
      <c r="C107" t="s">
        <v>3971</v>
      </c>
      <c r="D107">
        <v>381.83</v>
      </c>
    </row>
    <row r="108" spans="1:4" x14ac:dyDescent="0.25">
      <c r="A108" t="s">
        <v>4588</v>
      </c>
      <c r="B108" t="s">
        <v>2326</v>
      </c>
      <c r="C108" t="s">
        <v>3971</v>
      </c>
      <c r="D108">
        <v>374.53</v>
      </c>
    </row>
    <row r="109" spans="1:4" x14ac:dyDescent="0.25">
      <c r="A109" t="s">
        <v>4589</v>
      </c>
      <c r="B109" t="s">
        <v>2328</v>
      </c>
      <c r="C109" t="s">
        <v>3971</v>
      </c>
      <c r="D109">
        <v>449.98</v>
      </c>
    </row>
    <row r="110" spans="1:4" x14ac:dyDescent="0.25">
      <c r="A110" t="s">
        <v>4590</v>
      </c>
      <c r="B110" t="s">
        <v>2330</v>
      </c>
      <c r="C110" t="s">
        <v>3969</v>
      </c>
      <c r="D110">
        <v>481.16</v>
      </c>
    </row>
    <row r="111" spans="1:4" x14ac:dyDescent="0.25">
      <c r="A111" t="s">
        <v>4591</v>
      </c>
      <c r="B111" t="s">
        <v>2332</v>
      </c>
      <c r="C111" t="s">
        <v>3971</v>
      </c>
      <c r="D111">
        <v>406.65</v>
      </c>
    </row>
    <row r="112" spans="1:4" x14ac:dyDescent="0.25">
      <c r="A112" t="s">
        <v>4592</v>
      </c>
      <c r="B112" t="s">
        <v>2334</v>
      </c>
      <c r="C112" t="s">
        <v>3969</v>
      </c>
      <c r="D112">
        <v>376.57</v>
      </c>
    </row>
    <row r="113" spans="1:4" x14ac:dyDescent="0.25">
      <c r="A113" t="s">
        <v>4593</v>
      </c>
      <c r="B113" t="s">
        <v>2336</v>
      </c>
      <c r="C113" t="s">
        <v>3971</v>
      </c>
      <c r="D113">
        <v>355.09</v>
      </c>
    </row>
    <row r="114" spans="1:4" x14ac:dyDescent="0.25">
      <c r="A114" t="s">
        <v>4594</v>
      </c>
      <c r="B114" t="s">
        <v>2338</v>
      </c>
      <c r="C114" t="s">
        <v>3971</v>
      </c>
      <c r="D114">
        <v>483.92</v>
      </c>
    </row>
    <row r="115" spans="1:4" x14ac:dyDescent="0.25">
      <c r="A115" t="s">
        <v>4595</v>
      </c>
      <c r="B115" t="s">
        <v>2340</v>
      </c>
      <c r="C115" t="s">
        <v>3971</v>
      </c>
      <c r="D115">
        <v>451.5</v>
      </c>
    </row>
    <row r="116" spans="1:4" x14ac:dyDescent="0.25">
      <c r="A116" t="s">
        <v>4596</v>
      </c>
      <c r="B116" t="s">
        <v>2342</v>
      </c>
      <c r="C116" t="s">
        <v>3969</v>
      </c>
      <c r="D116">
        <v>481.71</v>
      </c>
    </row>
    <row r="117" spans="1:4" x14ac:dyDescent="0.25">
      <c r="A117" t="s">
        <v>4597</v>
      </c>
      <c r="B117" t="s">
        <v>2344</v>
      </c>
      <c r="C117" t="s">
        <v>3967</v>
      </c>
      <c r="D117">
        <v>109.27</v>
      </c>
    </row>
    <row r="118" spans="1:4" x14ac:dyDescent="0.25">
      <c r="A118" t="s">
        <v>4598</v>
      </c>
      <c r="B118" t="s">
        <v>2346</v>
      </c>
      <c r="C118" t="s">
        <v>3967</v>
      </c>
      <c r="D118">
        <v>377.69</v>
      </c>
    </row>
    <row r="119" spans="1:4" x14ac:dyDescent="0.25">
      <c r="A119" t="s">
        <v>4599</v>
      </c>
      <c r="B119" t="s">
        <v>2348</v>
      </c>
      <c r="C119" t="s">
        <v>3973</v>
      </c>
      <c r="D119">
        <v>114.64</v>
      </c>
    </row>
    <row r="120" spans="1:4" x14ac:dyDescent="0.25">
      <c r="A120" t="s">
        <v>4600</v>
      </c>
      <c r="B120" t="s">
        <v>2350</v>
      </c>
      <c r="C120" t="s">
        <v>3973</v>
      </c>
      <c r="D120">
        <v>270.67</v>
      </c>
    </row>
    <row r="121" spans="1:4" x14ac:dyDescent="0.25">
      <c r="A121" t="s">
        <v>4601</v>
      </c>
      <c r="B121" t="s">
        <v>2352</v>
      </c>
      <c r="C121" t="s">
        <v>3971</v>
      </c>
      <c r="D121">
        <v>305.12</v>
      </c>
    </row>
    <row r="122" spans="1:4" x14ac:dyDescent="0.25">
      <c r="A122" t="s">
        <v>4602</v>
      </c>
      <c r="B122" t="s">
        <v>2354</v>
      </c>
      <c r="C122" t="s">
        <v>3967</v>
      </c>
      <c r="D122">
        <v>230.89</v>
      </c>
    </row>
    <row r="123" spans="1:4" x14ac:dyDescent="0.25">
      <c r="A123" t="s">
        <v>4603</v>
      </c>
      <c r="B123" t="s">
        <v>2356</v>
      </c>
      <c r="C123" t="s">
        <v>3971</v>
      </c>
      <c r="D123">
        <v>127.66</v>
      </c>
    </row>
    <row r="124" spans="1:4" x14ac:dyDescent="0.25">
      <c r="A124" t="s">
        <v>4604</v>
      </c>
      <c r="B124" t="s">
        <v>2357</v>
      </c>
      <c r="C124" t="s">
        <v>3967</v>
      </c>
      <c r="D124">
        <v>236.07</v>
      </c>
    </row>
    <row r="125" spans="1:4" x14ac:dyDescent="0.25">
      <c r="A125" t="s">
        <v>4605</v>
      </c>
      <c r="B125" t="s">
        <v>2359</v>
      </c>
      <c r="C125" t="s">
        <v>3973</v>
      </c>
      <c r="D125">
        <v>258.12</v>
      </c>
    </row>
    <row r="126" spans="1:4" x14ac:dyDescent="0.25">
      <c r="A126" t="s">
        <v>4606</v>
      </c>
      <c r="B126" t="s">
        <v>2361</v>
      </c>
      <c r="C126" t="s">
        <v>3967</v>
      </c>
      <c r="D126">
        <v>400.19</v>
      </c>
    </row>
    <row r="127" spans="1:4" x14ac:dyDescent="0.25">
      <c r="A127" t="s">
        <v>4607</v>
      </c>
      <c r="B127" t="s">
        <v>2363</v>
      </c>
      <c r="C127" t="s">
        <v>3973</v>
      </c>
      <c r="D127">
        <v>288.77999999999997</v>
      </c>
    </row>
    <row r="128" spans="1:4" x14ac:dyDescent="0.25">
      <c r="A128" t="s">
        <v>4608</v>
      </c>
      <c r="B128" t="s">
        <v>2365</v>
      </c>
      <c r="C128" t="s">
        <v>3973</v>
      </c>
      <c r="D128">
        <v>424.12</v>
      </c>
    </row>
    <row r="129" spans="1:4" x14ac:dyDescent="0.25">
      <c r="A129" t="s">
        <v>4609</v>
      </c>
      <c r="B129" t="s">
        <v>2367</v>
      </c>
      <c r="C129" t="s">
        <v>3967</v>
      </c>
      <c r="D129">
        <v>241.98</v>
      </c>
    </row>
    <row r="130" spans="1:4" x14ac:dyDescent="0.25">
      <c r="A130" t="s">
        <v>4610</v>
      </c>
      <c r="B130" t="s">
        <v>2369</v>
      </c>
      <c r="C130" t="s">
        <v>3971</v>
      </c>
      <c r="D130">
        <v>165.56</v>
      </c>
    </row>
    <row r="131" spans="1:4" x14ac:dyDescent="0.25">
      <c r="A131" t="s">
        <v>4611</v>
      </c>
      <c r="B131" t="s">
        <v>2371</v>
      </c>
      <c r="C131" t="s">
        <v>3971</v>
      </c>
      <c r="D131">
        <v>206.8</v>
      </c>
    </row>
    <row r="132" spans="1:4" x14ac:dyDescent="0.25">
      <c r="A132" t="s">
        <v>4612</v>
      </c>
      <c r="B132" t="s">
        <v>2372</v>
      </c>
      <c r="C132" t="s">
        <v>3967</v>
      </c>
      <c r="D132">
        <v>275.52999999999997</v>
      </c>
    </row>
    <row r="133" spans="1:4" x14ac:dyDescent="0.25">
      <c r="A133" t="s">
        <v>4613</v>
      </c>
      <c r="B133" t="s">
        <v>2374</v>
      </c>
      <c r="C133" t="s">
        <v>3967</v>
      </c>
      <c r="D133">
        <v>177.89</v>
      </c>
    </row>
    <row r="134" spans="1:4" x14ac:dyDescent="0.25">
      <c r="A134" t="s">
        <v>4614</v>
      </c>
      <c r="B134" t="s">
        <v>2376</v>
      </c>
      <c r="C134" t="s">
        <v>3967</v>
      </c>
      <c r="D134">
        <v>108.06</v>
      </c>
    </row>
    <row r="135" spans="1:4" x14ac:dyDescent="0.25">
      <c r="A135" t="s">
        <v>4615</v>
      </c>
      <c r="B135" t="s">
        <v>2378</v>
      </c>
      <c r="C135" t="s">
        <v>3971</v>
      </c>
      <c r="D135">
        <v>252.02</v>
      </c>
    </row>
    <row r="136" spans="1:4" x14ac:dyDescent="0.25">
      <c r="A136" t="s">
        <v>4616</v>
      </c>
      <c r="B136" t="s">
        <v>2380</v>
      </c>
      <c r="C136" t="s">
        <v>3971</v>
      </c>
      <c r="D136">
        <v>486.81</v>
      </c>
    </row>
    <row r="137" spans="1:4" x14ac:dyDescent="0.25">
      <c r="A137" t="s">
        <v>4617</v>
      </c>
      <c r="B137" t="s">
        <v>2382</v>
      </c>
      <c r="C137" t="s">
        <v>3973</v>
      </c>
      <c r="D137">
        <v>125.13</v>
      </c>
    </row>
    <row r="138" spans="1:4" x14ac:dyDescent="0.25">
      <c r="A138" t="s">
        <v>4618</v>
      </c>
      <c r="B138" t="s">
        <v>2384</v>
      </c>
      <c r="C138" t="s">
        <v>3969</v>
      </c>
      <c r="D138">
        <v>50.26</v>
      </c>
    </row>
    <row r="139" spans="1:4" x14ac:dyDescent="0.25">
      <c r="A139" t="s">
        <v>4619</v>
      </c>
      <c r="B139" t="s">
        <v>2386</v>
      </c>
      <c r="C139" t="s">
        <v>3967</v>
      </c>
      <c r="D139">
        <v>175.76</v>
      </c>
    </row>
    <row r="140" spans="1:4" x14ac:dyDescent="0.25">
      <c r="A140" t="s">
        <v>4620</v>
      </c>
      <c r="B140" t="s">
        <v>2388</v>
      </c>
      <c r="C140" t="s">
        <v>3967</v>
      </c>
      <c r="D140">
        <v>227.59</v>
      </c>
    </row>
    <row r="141" spans="1:4" x14ac:dyDescent="0.25">
      <c r="A141" t="s">
        <v>4621</v>
      </c>
      <c r="B141" t="s">
        <v>2390</v>
      </c>
      <c r="C141" t="s">
        <v>3971</v>
      </c>
      <c r="D141">
        <v>477.05</v>
      </c>
    </row>
    <row r="142" spans="1:4" x14ac:dyDescent="0.25">
      <c r="A142" t="s">
        <v>4622</v>
      </c>
      <c r="B142" t="s">
        <v>2392</v>
      </c>
      <c r="C142" t="s">
        <v>3967</v>
      </c>
      <c r="D142">
        <v>313.56</v>
      </c>
    </row>
    <row r="143" spans="1:4" x14ac:dyDescent="0.25">
      <c r="A143" t="s">
        <v>4623</v>
      </c>
      <c r="B143" t="s">
        <v>2394</v>
      </c>
      <c r="C143" t="s">
        <v>3971</v>
      </c>
      <c r="D143">
        <v>191.71</v>
      </c>
    </row>
    <row r="144" spans="1:4" x14ac:dyDescent="0.25">
      <c r="A144" t="s">
        <v>4624</v>
      </c>
      <c r="B144" t="s">
        <v>2396</v>
      </c>
      <c r="C144" t="s">
        <v>3967</v>
      </c>
      <c r="D144">
        <v>446.1</v>
      </c>
    </row>
    <row r="145" spans="1:4" x14ac:dyDescent="0.25">
      <c r="A145" t="s">
        <v>4625</v>
      </c>
      <c r="B145" t="s">
        <v>2398</v>
      </c>
      <c r="C145" t="s">
        <v>3967</v>
      </c>
      <c r="D145">
        <v>63.8</v>
      </c>
    </row>
    <row r="146" spans="1:4" x14ac:dyDescent="0.25">
      <c r="A146" t="s">
        <v>4626</v>
      </c>
      <c r="B146" t="s">
        <v>2399</v>
      </c>
      <c r="C146" t="s">
        <v>3967</v>
      </c>
      <c r="D146">
        <v>100.05</v>
      </c>
    </row>
    <row r="147" spans="1:4" x14ac:dyDescent="0.25">
      <c r="A147" t="s">
        <v>4627</v>
      </c>
      <c r="B147" t="s">
        <v>2400</v>
      </c>
      <c r="C147" t="s">
        <v>3967</v>
      </c>
      <c r="D147">
        <v>68.67</v>
      </c>
    </row>
    <row r="148" spans="1:4" x14ac:dyDescent="0.25">
      <c r="A148" t="s">
        <v>4628</v>
      </c>
      <c r="B148" t="s">
        <v>2402</v>
      </c>
      <c r="C148" t="s">
        <v>3969</v>
      </c>
      <c r="D148">
        <v>224.62</v>
      </c>
    </row>
    <row r="149" spans="1:4" x14ac:dyDescent="0.25">
      <c r="A149" t="s">
        <v>4629</v>
      </c>
      <c r="B149" t="s">
        <v>2404</v>
      </c>
      <c r="C149" t="s">
        <v>3969</v>
      </c>
      <c r="D149">
        <v>286.74</v>
      </c>
    </row>
    <row r="150" spans="1:4" x14ac:dyDescent="0.25">
      <c r="A150" t="s">
        <v>4630</v>
      </c>
      <c r="B150" t="s">
        <v>2406</v>
      </c>
      <c r="C150" t="s">
        <v>3969</v>
      </c>
      <c r="D150">
        <v>421.93</v>
      </c>
    </row>
    <row r="151" spans="1:4" x14ac:dyDescent="0.25">
      <c r="A151" t="s">
        <v>4631</v>
      </c>
      <c r="B151" t="s">
        <v>2408</v>
      </c>
      <c r="C151" t="s">
        <v>3969</v>
      </c>
      <c r="D151">
        <v>82.4</v>
      </c>
    </row>
    <row r="152" spans="1:4" x14ac:dyDescent="0.25">
      <c r="A152" t="s">
        <v>4632</v>
      </c>
      <c r="B152" t="s">
        <v>2410</v>
      </c>
      <c r="C152" t="s">
        <v>3971</v>
      </c>
      <c r="D152">
        <v>479.87</v>
      </c>
    </row>
    <row r="153" spans="1:4" x14ac:dyDescent="0.25">
      <c r="A153" t="s">
        <v>4633</v>
      </c>
      <c r="B153" t="s">
        <v>2412</v>
      </c>
      <c r="C153" t="s">
        <v>3967</v>
      </c>
      <c r="D153">
        <v>379.68</v>
      </c>
    </row>
    <row r="154" spans="1:4" x14ac:dyDescent="0.25">
      <c r="A154" t="s">
        <v>4634</v>
      </c>
      <c r="B154" t="s">
        <v>2414</v>
      </c>
      <c r="C154" t="s">
        <v>3967</v>
      </c>
      <c r="D154">
        <v>493.37</v>
      </c>
    </row>
    <row r="155" spans="1:4" x14ac:dyDescent="0.25">
      <c r="A155" t="s">
        <v>4635</v>
      </c>
      <c r="B155" t="s">
        <v>2416</v>
      </c>
      <c r="C155" t="s">
        <v>3971</v>
      </c>
      <c r="D155">
        <v>117.19</v>
      </c>
    </row>
    <row r="156" spans="1:4" x14ac:dyDescent="0.25">
      <c r="A156" t="s">
        <v>4636</v>
      </c>
      <c r="B156" t="s">
        <v>2418</v>
      </c>
      <c r="C156" t="s">
        <v>3973</v>
      </c>
      <c r="D156">
        <v>112.66</v>
      </c>
    </row>
    <row r="157" spans="1:4" x14ac:dyDescent="0.25">
      <c r="A157" t="s">
        <v>4637</v>
      </c>
      <c r="B157" t="s">
        <v>2420</v>
      </c>
      <c r="C157" t="s">
        <v>3967</v>
      </c>
      <c r="D157">
        <v>451.04</v>
      </c>
    </row>
    <row r="158" spans="1:4" x14ac:dyDescent="0.25">
      <c r="A158" t="s">
        <v>4638</v>
      </c>
      <c r="B158" t="s">
        <v>2422</v>
      </c>
      <c r="C158" t="s">
        <v>3967</v>
      </c>
      <c r="D158">
        <v>272.93</v>
      </c>
    </row>
    <row r="159" spans="1:4" x14ac:dyDescent="0.25">
      <c r="A159" t="s">
        <v>4639</v>
      </c>
      <c r="B159" t="s">
        <v>2424</v>
      </c>
      <c r="C159" t="s">
        <v>3971</v>
      </c>
      <c r="D159">
        <v>363.31</v>
      </c>
    </row>
    <row r="160" spans="1:4" x14ac:dyDescent="0.25">
      <c r="A160" t="s">
        <v>4640</v>
      </c>
      <c r="B160" t="s">
        <v>2426</v>
      </c>
      <c r="C160" t="s">
        <v>3973</v>
      </c>
      <c r="D160">
        <v>276.64</v>
      </c>
    </row>
    <row r="161" spans="1:4" x14ac:dyDescent="0.25">
      <c r="A161" t="s">
        <v>4641</v>
      </c>
      <c r="B161" t="s">
        <v>2427</v>
      </c>
      <c r="C161" t="s">
        <v>3973</v>
      </c>
      <c r="D161">
        <v>93.14</v>
      </c>
    </row>
    <row r="162" spans="1:4" x14ac:dyDescent="0.25">
      <c r="A162" t="s">
        <v>4642</v>
      </c>
      <c r="B162" t="s">
        <v>2429</v>
      </c>
      <c r="C162" t="s">
        <v>3969</v>
      </c>
      <c r="D162">
        <v>384.34</v>
      </c>
    </row>
    <row r="163" spans="1:4" x14ac:dyDescent="0.25">
      <c r="A163" t="s">
        <v>4643</v>
      </c>
      <c r="B163" t="s">
        <v>2431</v>
      </c>
      <c r="C163" t="s">
        <v>3971</v>
      </c>
      <c r="D163">
        <v>371.52</v>
      </c>
    </row>
    <row r="164" spans="1:4" x14ac:dyDescent="0.25">
      <c r="A164" t="s">
        <v>4644</v>
      </c>
      <c r="B164" t="s">
        <v>2433</v>
      </c>
      <c r="C164" t="s">
        <v>3967</v>
      </c>
      <c r="D164">
        <v>423.81</v>
      </c>
    </row>
    <row r="165" spans="1:4" x14ac:dyDescent="0.25">
      <c r="A165" t="s">
        <v>4645</v>
      </c>
      <c r="B165" t="s">
        <v>2435</v>
      </c>
      <c r="C165" t="s">
        <v>3973</v>
      </c>
      <c r="D165">
        <v>124.92</v>
      </c>
    </row>
    <row r="166" spans="1:4" x14ac:dyDescent="0.25">
      <c r="A166" t="s">
        <v>4646</v>
      </c>
      <c r="B166" t="s">
        <v>2437</v>
      </c>
      <c r="C166" t="s">
        <v>3973</v>
      </c>
      <c r="D166">
        <v>233.7</v>
      </c>
    </row>
    <row r="167" spans="1:4" x14ac:dyDescent="0.25">
      <c r="A167" t="s">
        <v>4647</v>
      </c>
      <c r="B167" t="s">
        <v>2439</v>
      </c>
      <c r="C167" t="s">
        <v>3969</v>
      </c>
      <c r="D167">
        <v>58.54</v>
      </c>
    </row>
    <row r="168" spans="1:4" x14ac:dyDescent="0.25">
      <c r="A168" t="s">
        <v>4648</v>
      </c>
      <c r="B168" t="s">
        <v>2441</v>
      </c>
      <c r="C168" t="s">
        <v>3969</v>
      </c>
      <c r="D168">
        <v>64.400000000000006</v>
      </c>
    </row>
    <row r="169" spans="1:4" x14ac:dyDescent="0.25">
      <c r="A169" t="s">
        <v>4649</v>
      </c>
      <c r="B169" t="s">
        <v>2443</v>
      </c>
      <c r="C169" t="s">
        <v>3969</v>
      </c>
      <c r="D169">
        <v>99.36</v>
      </c>
    </row>
    <row r="170" spans="1:4" x14ac:dyDescent="0.25">
      <c r="A170" t="s">
        <v>4650</v>
      </c>
      <c r="B170" t="s">
        <v>2445</v>
      </c>
      <c r="C170" t="s">
        <v>3971</v>
      </c>
      <c r="D170">
        <v>128.91999999999999</v>
      </c>
    </row>
    <row r="171" spans="1:4" x14ac:dyDescent="0.25">
      <c r="A171" t="s">
        <v>4651</v>
      </c>
      <c r="B171" t="s">
        <v>2447</v>
      </c>
      <c r="C171" t="s">
        <v>3967</v>
      </c>
      <c r="D171">
        <v>496.51</v>
      </c>
    </row>
    <row r="172" spans="1:4" x14ac:dyDescent="0.25">
      <c r="A172" t="s">
        <v>4652</v>
      </c>
      <c r="B172" t="s">
        <v>2449</v>
      </c>
      <c r="C172" t="s">
        <v>3973</v>
      </c>
      <c r="D172">
        <v>107.37</v>
      </c>
    </row>
    <row r="173" spans="1:4" x14ac:dyDescent="0.25">
      <c r="A173" t="s">
        <v>4653</v>
      </c>
      <c r="B173" t="s">
        <v>2451</v>
      </c>
      <c r="C173" t="s">
        <v>3971</v>
      </c>
      <c r="D173">
        <v>198.77</v>
      </c>
    </row>
    <row r="174" spans="1:4" x14ac:dyDescent="0.25">
      <c r="A174" t="s">
        <v>4654</v>
      </c>
      <c r="B174" t="s">
        <v>2453</v>
      </c>
      <c r="C174" t="s">
        <v>3971</v>
      </c>
      <c r="D174">
        <v>432.74</v>
      </c>
    </row>
    <row r="175" spans="1:4" x14ac:dyDescent="0.25">
      <c r="A175" t="s">
        <v>4655</v>
      </c>
      <c r="B175" t="s">
        <v>2455</v>
      </c>
      <c r="C175" t="s">
        <v>3971</v>
      </c>
      <c r="D175">
        <v>237.59</v>
      </c>
    </row>
    <row r="176" spans="1:4" x14ac:dyDescent="0.25">
      <c r="A176" t="s">
        <v>4656</v>
      </c>
      <c r="B176" t="s">
        <v>2457</v>
      </c>
      <c r="C176" t="s">
        <v>3971</v>
      </c>
      <c r="D176">
        <v>286.08</v>
      </c>
    </row>
    <row r="177" spans="1:4" x14ac:dyDescent="0.25">
      <c r="A177" t="s">
        <v>4657</v>
      </c>
      <c r="B177" t="s">
        <v>2459</v>
      </c>
      <c r="C177" t="s">
        <v>3969</v>
      </c>
      <c r="D177">
        <v>458.44</v>
      </c>
    </row>
    <row r="178" spans="1:4" x14ac:dyDescent="0.25">
      <c r="A178" t="s">
        <v>4658</v>
      </c>
      <c r="B178" t="s">
        <v>2461</v>
      </c>
      <c r="C178" t="s">
        <v>3973</v>
      </c>
      <c r="D178">
        <v>165.44</v>
      </c>
    </row>
    <row r="179" spans="1:4" x14ac:dyDescent="0.25">
      <c r="A179" t="s">
        <v>4659</v>
      </c>
      <c r="B179" t="s">
        <v>2463</v>
      </c>
      <c r="C179" t="s">
        <v>3967</v>
      </c>
      <c r="D179">
        <v>199.95</v>
      </c>
    </row>
    <row r="180" spans="1:4" x14ac:dyDescent="0.25">
      <c r="A180" t="s">
        <v>4660</v>
      </c>
      <c r="B180" t="s">
        <v>2465</v>
      </c>
      <c r="C180" t="s">
        <v>3967</v>
      </c>
      <c r="D180">
        <v>363.64</v>
      </c>
    </row>
    <row r="181" spans="1:4" x14ac:dyDescent="0.25">
      <c r="A181" t="s">
        <v>4661</v>
      </c>
      <c r="B181" t="s">
        <v>2467</v>
      </c>
      <c r="C181" t="s">
        <v>3969</v>
      </c>
      <c r="D181">
        <v>170.02</v>
      </c>
    </row>
    <row r="182" spans="1:4" x14ac:dyDescent="0.25">
      <c r="A182" t="s">
        <v>4662</v>
      </c>
      <c r="B182" t="s">
        <v>2469</v>
      </c>
      <c r="C182" t="s">
        <v>3973</v>
      </c>
      <c r="D182">
        <v>59.35</v>
      </c>
    </row>
    <row r="183" spans="1:4" x14ac:dyDescent="0.25">
      <c r="A183" t="s">
        <v>4663</v>
      </c>
      <c r="B183" t="s">
        <v>2471</v>
      </c>
      <c r="C183" t="s">
        <v>3967</v>
      </c>
      <c r="D183">
        <v>413.44</v>
      </c>
    </row>
    <row r="184" spans="1:4" x14ac:dyDescent="0.25">
      <c r="A184" t="s">
        <v>4664</v>
      </c>
      <c r="B184" t="s">
        <v>2473</v>
      </c>
      <c r="C184" t="s">
        <v>3967</v>
      </c>
      <c r="D184">
        <v>226.68</v>
      </c>
    </row>
    <row r="185" spans="1:4" x14ac:dyDescent="0.25">
      <c r="A185" t="s">
        <v>4665</v>
      </c>
      <c r="B185" t="s">
        <v>2475</v>
      </c>
      <c r="C185" t="s">
        <v>3973</v>
      </c>
      <c r="D185">
        <v>81.8</v>
      </c>
    </row>
    <row r="186" spans="1:4" x14ac:dyDescent="0.25">
      <c r="A186" t="s">
        <v>4666</v>
      </c>
      <c r="B186" t="s">
        <v>2477</v>
      </c>
      <c r="C186" t="s">
        <v>3967</v>
      </c>
      <c r="D186">
        <v>422.3</v>
      </c>
    </row>
    <row r="187" spans="1:4" x14ac:dyDescent="0.25">
      <c r="A187" t="s">
        <v>4667</v>
      </c>
      <c r="B187" t="s">
        <v>2479</v>
      </c>
      <c r="C187" t="s">
        <v>3969</v>
      </c>
      <c r="D187">
        <v>416.87</v>
      </c>
    </row>
    <row r="188" spans="1:4" x14ac:dyDescent="0.25">
      <c r="A188" t="s">
        <v>4668</v>
      </c>
      <c r="B188" t="s">
        <v>2481</v>
      </c>
      <c r="C188" t="s">
        <v>3973</v>
      </c>
      <c r="D188">
        <v>222.12</v>
      </c>
    </row>
    <row r="189" spans="1:4" x14ac:dyDescent="0.25">
      <c r="A189" t="s">
        <v>4669</v>
      </c>
      <c r="B189" t="s">
        <v>2482</v>
      </c>
      <c r="C189" t="s">
        <v>3971</v>
      </c>
      <c r="D189">
        <v>289.74</v>
      </c>
    </row>
    <row r="190" spans="1:4" x14ac:dyDescent="0.25">
      <c r="A190" t="s">
        <v>4670</v>
      </c>
      <c r="B190" t="s">
        <v>2484</v>
      </c>
      <c r="C190" t="s">
        <v>3969</v>
      </c>
      <c r="D190">
        <v>252.69</v>
      </c>
    </row>
    <row r="191" spans="1:4" x14ac:dyDescent="0.25">
      <c r="A191" t="s">
        <v>4671</v>
      </c>
      <c r="B191" t="s">
        <v>2486</v>
      </c>
      <c r="C191" t="s">
        <v>3973</v>
      </c>
      <c r="D191">
        <v>87.92</v>
      </c>
    </row>
    <row r="192" spans="1:4" x14ac:dyDescent="0.25">
      <c r="A192" t="s">
        <v>4672</v>
      </c>
      <c r="B192" t="s">
        <v>2488</v>
      </c>
      <c r="C192" t="s">
        <v>3967</v>
      </c>
      <c r="D192">
        <v>105.88</v>
      </c>
    </row>
    <row r="193" spans="1:4" x14ac:dyDescent="0.25">
      <c r="A193" t="s">
        <v>4673</v>
      </c>
      <c r="B193" t="s">
        <v>2490</v>
      </c>
      <c r="C193" t="s">
        <v>3973</v>
      </c>
      <c r="D193">
        <v>155.44999999999999</v>
      </c>
    </row>
    <row r="194" spans="1:4" x14ac:dyDescent="0.25">
      <c r="A194" t="s">
        <v>4674</v>
      </c>
      <c r="B194" t="s">
        <v>2492</v>
      </c>
      <c r="C194" t="s">
        <v>3969</v>
      </c>
      <c r="D194">
        <v>50.46</v>
      </c>
    </row>
    <row r="195" spans="1:4" x14ac:dyDescent="0.25">
      <c r="A195" t="s">
        <v>4675</v>
      </c>
      <c r="B195" t="s">
        <v>2494</v>
      </c>
      <c r="C195" t="s">
        <v>3973</v>
      </c>
      <c r="D195">
        <v>68.989999999999995</v>
      </c>
    </row>
    <row r="196" spans="1:4" x14ac:dyDescent="0.25">
      <c r="A196" t="s">
        <v>4676</v>
      </c>
      <c r="B196" t="s">
        <v>2496</v>
      </c>
      <c r="C196" t="s">
        <v>3969</v>
      </c>
      <c r="D196">
        <v>221.27</v>
      </c>
    </row>
    <row r="197" spans="1:4" x14ac:dyDescent="0.25">
      <c r="A197" t="s">
        <v>4677</v>
      </c>
      <c r="B197" t="s">
        <v>2497</v>
      </c>
      <c r="C197" t="s">
        <v>3973</v>
      </c>
      <c r="D197">
        <v>96.4</v>
      </c>
    </row>
    <row r="198" spans="1:4" x14ac:dyDescent="0.25">
      <c r="A198" t="s">
        <v>4678</v>
      </c>
      <c r="B198" t="s">
        <v>2499</v>
      </c>
      <c r="C198" t="s">
        <v>3971</v>
      </c>
      <c r="D198">
        <v>403.58</v>
      </c>
    </row>
    <row r="199" spans="1:4" x14ac:dyDescent="0.25">
      <c r="A199" t="s">
        <v>4679</v>
      </c>
      <c r="B199" t="s">
        <v>2501</v>
      </c>
      <c r="C199" t="s">
        <v>3967</v>
      </c>
      <c r="D199">
        <v>202.32</v>
      </c>
    </row>
    <row r="200" spans="1:4" x14ac:dyDescent="0.25">
      <c r="A200" t="s">
        <v>4680</v>
      </c>
      <c r="B200" t="s">
        <v>2502</v>
      </c>
      <c r="C200" t="s">
        <v>3971</v>
      </c>
      <c r="D200">
        <v>385.25</v>
      </c>
    </row>
    <row r="201" spans="1:4" x14ac:dyDescent="0.25">
      <c r="A201" t="s">
        <v>4681</v>
      </c>
      <c r="B201" t="s">
        <v>2503</v>
      </c>
      <c r="C201" t="s">
        <v>3973</v>
      </c>
      <c r="D201">
        <v>484.98</v>
      </c>
    </row>
    <row r="202" spans="1:4" x14ac:dyDescent="0.25">
      <c r="A202" t="s">
        <v>4682</v>
      </c>
      <c r="B202" t="s">
        <v>2505</v>
      </c>
      <c r="C202" t="s">
        <v>3967</v>
      </c>
      <c r="D202">
        <v>243.56</v>
      </c>
    </row>
    <row r="203" spans="1:4" x14ac:dyDescent="0.25">
      <c r="A203" t="s">
        <v>4683</v>
      </c>
      <c r="B203" t="s">
        <v>2507</v>
      </c>
      <c r="C203" t="s">
        <v>3967</v>
      </c>
      <c r="D203">
        <v>263.32</v>
      </c>
    </row>
    <row r="204" spans="1:4" x14ac:dyDescent="0.25">
      <c r="A204" t="s">
        <v>4684</v>
      </c>
      <c r="B204" t="s">
        <v>2509</v>
      </c>
      <c r="C204" t="s">
        <v>3971</v>
      </c>
      <c r="D204">
        <v>71.069999999999993</v>
      </c>
    </row>
    <row r="205" spans="1:4" x14ac:dyDescent="0.25">
      <c r="A205" t="s">
        <v>4685</v>
      </c>
      <c r="B205" t="s">
        <v>2511</v>
      </c>
      <c r="C205" t="s">
        <v>3973</v>
      </c>
      <c r="D205">
        <v>377.73</v>
      </c>
    </row>
    <row r="206" spans="1:4" x14ac:dyDescent="0.25">
      <c r="A206" t="s">
        <v>4686</v>
      </c>
      <c r="B206" t="s">
        <v>2513</v>
      </c>
      <c r="C206" t="s">
        <v>3973</v>
      </c>
      <c r="D206">
        <v>470.46</v>
      </c>
    </row>
    <row r="207" spans="1:4" x14ac:dyDescent="0.25">
      <c r="A207" t="s">
        <v>4687</v>
      </c>
      <c r="B207" t="s">
        <v>2515</v>
      </c>
      <c r="C207" t="s">
        <v>3971</v>
      </c>
      <c r="D207">
        <v>340.44</v>
      </c>
    </row>
    <row r="208" spans="1:4" x14ac:dyDescent="0.25">
      <c r="A208" t="s">
        <v>4688</v>
      </c>
      <c r="B208" t="s">
        <v>2517</v>
      </c>
      <c r="C208" t="s">
        <v>3967</v>
      </c>
      <c r="D208">
        <v>91.68</v>
      </c>
    </row>
    <row r="209" spans="1:4" x14ac:dyDescent="0.25">
      <c r="A209" t="s">
        <v>4689</v>
      </c>
      <c r="B209" t="s">
        <v>2519</v>
      </c>
      <c r="C209" t="s">
        <v>3969</v>
      </c>
      <c r="D209">
        <v>481.84</v>
      </c>
    </row>
    <row r="210" spans="1:4" x14ac:dyDescent="0.25">
      <c r="A210" t="s">
        <v>4690</v>
      </c>
      <c r="B210" t="s">
        <v>2521</v>
      </c>
      <c r="C210" t="s">
        <v>3971</v>
      </c>
      <c r="D210">
        <v>498.45</v>
      </c>
    </row>
    <row r="211" spans="1:4" x14ac:dyDescent="0.25">
      <c r="A211" t="s">
        <v>4691</v>
      </c>
      <c r="B211" t="s">
        <v>2523</v>
      </c>
      <c r="C211" t="s">
        <v>3967</v>
      </c>
      <c r="D211">
        <v>71.97</v>
      </c>
    </row>
    <row r="212" spans="1:4" x14ac:dyDescent="0.25">
      <c r="A212" t="s">
        <v>4692</v>
      </c>
      <c r="B212" t="s">
        <v>2525</v>
      </c>
      <c r="C212" t="s">
        <v>3969</v>
      </c>
      <c r="D212">
        <v>126.35</v>
      </c>
    </row>
    <row r="213" spans="1:4" x14ac:dyDescent="0.25">
      <c r="A213" t="s">
        <v>4693</v>
      </c>
      <c r="B213" t="s">
        <v>2527</v>
      </c>
      <c r="C213" t="s">
        <v>3971</v>
      </c>
      <c r="D213">
        <v>479.34</v>
      </c>
    </row>
    <row r="214" spans="1:4" x14ac:dyDescent="0.25">
      <c r="A214" t="s">
        <v>4694</v>
      </c>
      <c r="B214" t="s">
        <v>2529</v>
      </c>
      <c r="C214" t="s">
        <v>3969</v>
      </c>
      <c r="D214">
        <v>494.34</v>
      </c>
    </row>
    <row r="215" spans="1:4" x14ac:dyDescent="0.25">
      <c r="A215" t="s">
        <v>4695</v>
      </c>
      <c r="B215" t="s">
        <v>2531</v>
      </c>
      <c r="C215" t="s">
        <v>3969</v>
      </c>
      <c r="D215">
        <v>114.86</v>
      </c>
    </row>
    <row r="216" spans="1:4" x14ac:dyDescent="0.25">
      <c r="A216" t="s">
        <v>4696</v>
      </c>
      <c r="B216" t="s">
        <v>2533</v>
      </c>
      <c r="C216" t="s">
        <v>3967</v>
      </c>
      <c r="D216">
        <v>97.34</v>
      </c>
    </row>
    <row r="217" spans="1:4" x14ac:dyDescent="0.25">
      <c r="A217" t="s">
        <v>4697</v>
      </c>
      <c r="B217" t="s">
        <v>2535</v>
      </c>
      <c r="C217" t="s">
        <v>3971</v>
      </c>
      <c r="D217">
        <v>373.48</v>
      </c>
    </row>
    <row r="218" spans="1:4" x14ac:dyDescent="0.25">
      <c r="A218" t="s">
        <v>4698</v>
      </c>
      <c r="B218" t="s">
        <v>2537</v>
      </c>
      <c r="C218" t="s">
        <v>3973</v>
      </c>
      <c r="D218">
        <v>173.52</v>
      </c>
    </row>
    <row r="219" spans="1:4" x14ac:dyDescent="0.25">
      <c r="A219" t="s">
        <v>4699</v>
      </c>
      <c r="B219" t="s">
        <v>2539</v>
      </c>
      <c r="C219" t="s">
        <v>3973</v>
      </c>
      <c r="D219">
        <v>105.14</v>
      </c>
    </row>
    <row r="220" spans="1:4" x14ac:dyDescent="0.25">
      <c r="A220" t="s">
        <v>4700</v>
      </c>
      <c r="B220" t="s">
        <v>2541</v>
      </c>
      <c r="C220" t="s">
        <v>3967</v>
      </c>
      <c r="D220">
        <v>447.97</v>
      </c>
    </row>
    <row r="221" spans="1:4" x14ac:dyDescent="0.25">
      <c r="A221" t="s">
        <v>4701</v>
      </c>
      <c r="B221" t="s">
        <v>2543</v>
      </c>
      <c r="C221" t="s">
        <v>3967</v>
      </c>
      <c r="D221">
        <v>321.63</v>
      </c>
    </row>
    <row r="222" spans="1:4" x14ac:dyDescent="0.25">
      <c r="A222" t="s">
        <v>4702</v>
      </c>
      <c r="B222" t="s">
        <v>2545</v>
      </c>
      <c r="C222" t="s">
        <v>3971</v>
      </c>
      <c r="D222">
        <v>54.23</v>
      </c>
    </row>
    <row r="223" spans="1:4" x14ac:dyDescent="0.25">
      <c r="A223" t="s">
        <v>4703</v>
      </c>
      <c r="B223" t="s">
        <v>2547</v>
      </c>
      <c r="C223" t="s">
        <v>3973</v>
      </c>
      <c r="D223">
        <v>426.02</v>
      </c>
    </row>
    <row r="224" spans="1:4" x14ac:dyDescent="0.25">
      <c r="A224" t="s">
        <v>4704</v>
      </c>
      <c r="B224" t="s">
        <v>2549</v>
      </c>
      <c r="C224" t="s">
        <v>3971</v>
      </c>
      <c r="D224">
        <v>304.01</v>
      </c>
    </row>
    <row r="225" spans="1:4" x14ac:dyDescent="0.25">
      <c r="A225" t="s">
        <v>4705</v>
      </c>
      <c r="B225" t="s">
        <v>2551</v>
      </c>
      <c r="C225" t="s">
        <v>3971</v>
      </c>
      <c r="D225">
        <v>265.76</v>
      </c>
    </row>
    <row r="226" spans="1:4" x14ac:dyDescent="0.25">
      <c r="A226" t="s">
        <v>4706</v>
      </c>
      <c r="B226" t="s">
        <v>2553</v>
      </c>
      <c r="C226" t="s">
        <v>3967</v>
      </c>
      <c r="D226">
        <v>357.07</v>
      </c>
    </row>
    <row r="227" spans="1:4" x14ac:dyDescent="0.25">
      <c r="A227" t="s">
        <v>4707</v>
      </c>
      <c r="B227" t="s">
        <v>2554</v>
      </c>
      <c r="C227" t="s">
        <v>3971</v>
      </c>
      <c r="D227">
        <v>50.6</v>
      </c>
    </row>
    <row r="228" spans="1:4" x14ac:dyDescent="0.25">
      <c r="A228" t="s">
        <v>4708</v>
      </c>
      <c r="B228" t="s">
        <v>2556</v>
      </c>
      <c r="C228" t="s">
        <v>3973</v>
      </c>
      <c r="D228">
        <v>437.71</v>
      </c>
    </row>
    <row r="229" spans="1:4" x14ac:dyDescent="0.25">
      <c r="A229" t="s">
        <v>4709</v>
      </c>
      <c r="B229" t="s">
        <v>2558</v>
      </c>
      <c r="C229" t="s">
        <v>3973</v>
      </c>
      <c r="D229">
        <v>331.61</v>
      </c>
    </row>
    <row r="230" spans="1:4" x14ac:dyDescent="0.25">
      <c r="A230" t="s">
        <v>4710</v>
      </c>
      <c r="B230" t="s">
        <v>2560</v>
      </c>
      <c r="C230" t="s">
        <v>3967</v>
      </c>
      <c r="D230">
        <v>347.05</v>
      </c>
    </row>
    <row r="231" spans="1:4" x14ac:dyDescent="0.25">
      <c r="A231" t="s">
        <v>4711</v>
      </c>
      <c r="B231" t="s">
        <v>2562</v>
      </c>
      <c r="C231" t="s">
        <v>3971</v>
      </c>
      <c r="D231">
        <v>264.42</v>
      </c>
    </row>
    <row r="232" spans="1:4" x14ac:dyDescent="0.25">
      <c r="A232" t="s">
        <v>4712</v>
      </c>
      <c r="B232" t="s">
        <v>2564</v>
      </c>
      <c r="C232" t="s">
        <v>3967</v>
      </c>
      <c r="D232">
        <v>314.98</v>
      </c>
    </row>
    <row r="233" spans="1:4" x14ac:dyDescent="0.25">
      <c r="A233" t="s">
        <v>4713</v>
      </c>
      <c r="B233" t="s">
        <v>2566</v>
      </c>
      <c r="C233" t="s">
        <v>3973</v>
      </c>
      <c r="D233">
        <v>281.08999999999997</v>
      </c>
    </row>
    <row r="234" spans="1:4" x14ac:dyDescent="0.25">
      <c r="A234" t="s">
        <v>4714</v>
      </c>
      <c r="B234" t="s">
        <v>2568</v>
      </c>
      <c r="C234" t="s">
        <v>3969</v>
      </c>
      <c r="D234">
        <v>327.12</v>
      </c>
    </row>
    <row r="235" spans="1:4" x14ac:dyDescent="0.25">
      <c r="A235" t="s">
        <v>4715</v>
      </c>
      <c r="B235" t="s">
        <v>2570</v>
      </c>
      <c r="C235" t="s">
        <v>3973</v>
      </c>
      <c r="D235">
        <v>475.61</v>
      </c>
    </row>
    <row r="236" spans="1:4" x14ac:dyDescent="0.25">
      <c r="A236" t="s">
        <v>4716</v>
      </c>
      <c r="B236" t="s">
        <v>2572</v>
      </c>
      <c r="C236" t="s">
        <v>3971</v>
      </c>
      <c r="D236">
        <v>210.03</v>
      </c>
    </row>
    <row r="237" spans="1:4" x14ac:dyDescent="0.25">
      <c r="A237" t="s">
        <v>4717</v>
      </c>
      <c r="B237" t="s">
        <v>2574</v>
      </c>
      <c r="C237" t="s">
        <v>3973</v>
      </c>
      <c r="D237">
        <v>258</v>
      </c>
    </row>
    <row r="238" spans="1:4" x14ac:dyDescent="0.25">
      <c r="A238" t="s">
        <v>4718</v>
      </c>
      <c r="B238" t="s">
        <v>2576</v>
      </c>
      <c r="C238" t="s">
        <v>3967</v>
      </c>
      <c r="D238">
        <v>180.85</v>
      </c>
    </row>
    <row r="239" spans="1:4" x14ac:dyDescent="0.25">
      <c r="A239" t="s">
        <v>4719</v>
      </c>
      <c r="B239" t="s">
        <v>2578</v>
      </c>
      <c r="C239" t="s">
        <v>3969</v>
      </c>
      <c r="D239">
        <v>286.76</v>
      </c>
    </row>
    <row r="240" spans="1:4" x14ac:dyDescent="0.25">
      <c r="A240" t="s">
        <v>4720</v>
      </c>
      <c r="B240" t="s">
        <v>2580</v>
      </c>
      <c r="C240" t="s">
        <v>3971</v>
      </c>
      <c r="D240">
        <v>384.55</v>
      </c>
    </row>
    <row r="241" spans="1:4" x14ac:dyDescent="0.25">
      <c r="A241" t="s">
        <v>4721</v>
      </c>
      <c r="B241" t="s">
        <v>2582</v>
      </c>
      <c r="C241" t="s">
        <v>3967</v>
      </c>
      <c r="D241">
        <v>273.08</v>
      </c>
    </row>
    <row r="242" spans="1:4" x14ac:dyDescent="0.25">
      <c r="A242" t="s">
        <v>4722</v>
      </c>
      <c r="B242" t="s">
        <v>2583</v>
      </c>
      <c r="C242" t="s">
        <v>3967</v>
      </c>
      <c r="D242">
        <v>51.34</v>
      </c>
    </row>
    <row r="243" spans="1:4" x14ac:dyDescent="0.25">
      <c r="A243" t="s">
        <v>4723</v>
      </c>
      <c r="B243" t="s">
        <v>2585</v>
      </c>
      <c r="C243" t="s">
        <v>3973</v>
      </c>
      <c r="D243">
        <v>230.93</v>
      </c>
    </row>
    <row r="244" spans="1:4" x14ac:dyDescent="0.25">
      <c r="A244" t="s">
        <v>4724</v>
      </c>
      <c r="B244" t="s">
        <v>2586</v>
      </c>
      <c r="C244" t="s">
        <v>3969</v>
      </c>
      <c r="D244">
        <v>476.58</v>
      </c>
    </row>
    <row r="245" spans="1:4" x14ac:dyDescent="0.25">
      <c r="A245" t="s">
        <v>4725</v>
      </c>
      <c r="B245" t="s">
        <v>2588</v>
      </c>
      <c r="C245" t="s">
        <v>3973</v>
      </c>
      <c r="D245">
        <v>196.39</v>
      </c>
    </row>
    <row r="246" spans="1:4" x14ac:dyDescent="0.25">
      <c r="A246" t="s">
        <v>4726</v>
      </c>
      <c r="B246" t="s">
        <v>2590</v>
      </c>
      <c r="C246" t="s">
        <v>3967</v>
      </c>
      <c r="D246">
        <v>487.23</v>
      </c>
    </row>
    <row r="247" spans="1:4" x14ac:dyDescent="0.25">
      <c r="A247" t="s">
        <v>4727</v>
      </c>
      <c r="B247" t="s">
        <v>2592</v>
      </c>
      <c r="C247" t="s">
        <v>3967</v>
      </c>
      <c r="D247">
        <v>170.58</v>
      </c>
    </row>
    <row r="248" spans="1:4" x14ac:dyDescent="0.25">
      <c r="A248" t="s">
        <v>4728</v>
      </c>
      <c r="B248" t="s">
        <v>2594</v>
      </c>
      <c r="C248" t="s">
        <v>3969</v>
      </c>
      <c r="D248">
        <v>284.2</v>
      </c>
    </row>
    <row r="249" spans="1:4" x14ac:dyDescent="0.25">
      <c r="A249" t="s">
        <v>4729</v>
      </c>
      <c r="B249" t="s">
        <v>2596</v>
      </c>
      <c r="C249" t="s">
        <v>3967</v>
      </c>
      <c r="D249">
        <v>439.2</v>
      </c>
    </row>
    <row r="250" spans="1:4" x14ac:dyDescent="0.25">
      <c r="A250" t="s">
        <v>4730</v>
      </c>
      <c r="B250" t="s">
        <v>2598</v>
      </c>
      <c r="C250" t="s">
        <v>3969</v>
      </c>
      <c r="D250">
        <v>413.65</v>
      </c>
    </row>
    <row r="251" spans="1:4" x14ac:dyDescent="0.25">
      <c r="A251" t="s">
        <v>4731</v>
      </c>
      <c r="B251" t="s">
        <v>2600</v>
      </c>
      <c r="C251" t="s">
        <v>3971</v>
      </c>
      <c r="D251">
        <v>256.58999999999997</v>
      </c>
    </row>
    <row r="252" spans="1:4" x14ac:dyDescent="0.25">
      <c r="A252" t="s">
        <v>4732</v>
      </c>
      <c r="B252" t="s">
        <v>2602</v>
      </c>
      <c r="C252" t="s">
        <v>3973</v>
      </c>
      <c r="D252">
        <v>329.68</v>
      </c>
    </row>
    <row r="253" spans="1:4" x14ac:dyDescent="0.25">
      <c r="A253" t="s">
        <v>4733</v>
      </c>
      <c r="B253" t="s">
        <v>2604</v>
      </c>
      <c r="C253" t="s">
        <v>3971</v>
      </c>
      <c r="D253">
        <v>306.89999999999998</v>
      </c>
    </row>
    <row r="254" spans="1:4" x14ac:dyDescent="0.25">
      <c r="A254" t="s">
        <v>4734</v>
      </c>
      <c r="B254" t="s">
        <v>2606</v>
      </c>
      <c r="C254" t="s">
        <v>3969</v>
      </c>
      <c r="D254">
        <v>105.27</v>
      </c>
    </row>
    <row r="255" spans="1:4" x14ac:dyDescent="0.25">
      <c r="A255" t="s">
        <v>4735</v>
      </c>
      <c r="B255" t="s">
        <v>2608</v>
      </c>
      <c r="C255" t="s">
        <v>3973</v>
      </c>
      <c r="D255">
        <v>470.85</v>
      </c>
    </row>
    <row r="256" spans="1:4" x14ac:dyDescent="0.25">
      <c r="A256" t="s">
        <v>4736</v>
      </c>
      <c r="B256" t="s">
        <v>2610</v>
      </c>
      <c r="C256" t="s">
        <v>3973</v>
      </c>
      <c r="D256">
        <v>426.34</v>
      </c>
    </row>
    <row r="257" spans="1:4" x14ac:dyDescent="0.25">
      <c r="A257" t="s">
        <v>4737</v>
      </c>
      <c r="B257" t="s">
        <v>2612</v>
      </c>
      <c r="C257" t="s">
        <v>3967</v>
      </c>
      <c r="D257">
        <v>395.03</v>
      </c>
    </row>
    <row r="258" spans="1:4" x14ac:dyDescent="0.25">
      <c r="A258" t="s">
        <v>4738</v>
      </c>
      <c r="B258" t="s">
        <v>2614</v>
      </c>
      <c r="C258" t="s">
        <v>3971</v>
      </c>
      <c r="D258">
        <v>93.02</v>
      </c>
    </row>
    <row r="259" spans="1:4" x14ac:dyDescent="0.25">
      <c r="A259" t="s">
        <v>4739</v>
      </c>
      <c r="B259" t="s">
        <v>2615</v>
      </c>
      <c r="C259" t="s">
        <v>3967</v>
      </c>
      <c r="D259">
        <v>56.25</v>
      </c>
    </row>
    <row r="260" spans="1:4" x14ac:dyDescent="0.25">
      <c r="A260" t="s">
        <v>4740</v>
      </c>
      <c r="B260" t="s">
        <v>2617</v>
      </c>
      <c r="C260" t="s">
        <v>3973</v>
      </c>
      <c r="D260">
        <v>188.18</v>
      </c>
    </row>
    <row r="261" spans="1:4" x14ac:dyDescent="0.25">
      <c r="A261" t="s">
        <v>4741</v>
      </c>
      <c r="B261" t="s">
        <v>2619</v>
      </c>
      <c r="C261" t="s">
        <v>3973</v>
      </c>
      <c r="D261">
        <v>415.4</v>
      </c>
    </row>
    <row r="262" spans="1:4" x14ac:dyDescent="0.25">
      <c r="A262" t="s">
        <v>4742</v>
      </c>
      <c r="B262" t="s">
        <v>2621</v>
      </c>
      <c r="C262" t="s">
        <v>3971</v>
      </c>
      <c r="D262">
        <v>298.52</v>
      </c>
    </row>
    <row r="263" spans="1:4" x14ac:dyDescent="0.25">
      <c r="A263" t="s">
        <v>4743</v>
      </c>
      <c r="B263" t="s">
        <v>2623</v>
      </c>
      <c r="C263" t="s">
        <v>3967</v>
      </c>
      <c r="D263">
        <v>472.39</v>
      </c>
    </row>
    <row r="264" spans="1:4" x14ac:dyDescent="0.25">
      <c r="A264" t="s">
        <v>4744</v>
      </c>
      <c r="B264" t="s">
        <v>2625</v>
      </c>
      <c r="C264" t="s">
        <v>3973</v>
      </c>
      <c r="D264">
        <v>380.64</v>
      </c>
    </row>
    <row r="265" spans="1:4" x14ac:dyDescent="0.25">
      <c r="A265" t="s">
        <v>4745</v>
      </c>
      <c r="B265" t="s">
        <v>2627</v>
      </c>
      <c r="C265" t="s">
        <v>3971</v>
      </c>
      <c r="D265">
        <v>135.31</v>
      </c>
    </row>
    <row r="266" spans="1:4" x14ac:dyDescent="0.25">
      <c r="A266" t="s">
        <v>4746</v>
      </c>
      <c r="B266" t="s">
        <v>2629</v>
      </c>
      <c r="C266" t="s">
        <v>3967</v>
      </c>
      <c r="D266">
        <v>209.22</v>
      </c>
    </row>
    <row r="267" spans="1:4" x14ac:dyDescent="0.25">
      <c r="A267" t="s">
        <v>4747</v>
      </c>
      <c r="B267" t="s">
        <v>2631</v>
      </c>
      <c r="C267" t="s">
        <v>3969</v>
      </c>
      <c r="D267">
        <v>181.06</v>
      </c>
    </row>
    <row r="268" spans="1:4" x14ac:dyDescent="0.25">
      <c r="A268" t="s">
        <v>4748</v>
      </c>
      <c r="B268" t="s">
        <v>2633</v>
      </c>
      <c r="C268" t="s">
        <v>3973</v>
      </c>
      <c r="D268">
        <v>436.47</v>
      </c>
    </row>
    <row r="269" spans="1:4" x14ac:dyDescent="0.25">
      <c r="A269" t="s">
        <v>4749</v>
      </c>
      <c r="B269" t="s">
        <v>2635</v>
      </c>
      <c r="C269" t="s">
        <v>3967</v>
      </c>
      <c r="D269">
        <v>267.85000000000002</v>
      </c>
    </row>
    <row r="270" spans="1:4" x14ac:dyDescent="0.25">
      <c r="A270" t="s">
        <v>4750</v>
      </c>
      <c r="B270" t="s">
        <v>2637</v>
      </c>
      <c r="C270" t="s">
        <v>3971</v>
      </c>
      <c r="D270">
        <v>327.36</v>
      </c>
    </row>
    <row r="271" spans="1:4" x14ac:dyDescent="0.25">
      <c r="A271" t="s">
        <v>4751</v>
      </c>
      <c r="B271" t="s">
        <v>2639</v>
      </c>
      <c r="C271" t="s">
        <v>3967</v>
      </c>
      <c r="D271">
        <v>223.32</v>
      </c>
    </row>
    <row r="272" spans="1:4" x14ac:dyDescent="0.25">
      <c r="A272" t="s">
        <v>4752</v>
      </c>
      <c r="B272" t="s">
        <v>2641</v>
      </c>
      <c r="C272" t="s">
        <v>3971</v>
      </c>
      <c r="D272">
        <v>343.26</v>
      </c>
    </row>
    <row r="273" spans="1:4" x14ac:dyDescent="0.25">
      <c r="A273" t="s">
        <v>4753</v>
      </c>
      <c r="B273" t="s">
        <v>2642</v>
      </c>
      <c r="C273" t="s">
        <v>3973</v>
      </c>
      <c r="D273">
        <v>89.51</v>
      </c>
    </row>
    <row r="274" spans="1:4" x14ac:dyDescent="0.25">
      <c r="A274" t="s">
        <v>4754</v>
      </c>
      <c r="B274" t="s">
        <v>2644</v>
      </c>
      <c r="C274" t="s">
        <v>3971</v>
      </c>
      <c r="D274">
        <v>254.45</v>
      </c>
    </row>
    <row r="275" spans="1:4" x14ac:dyDescent="0.25">
      <c r="A275" t="s">
        <v>4755</v>
      </c>
      <c r="B275" t="s">
        <v>2646</v>
      </c>
      <c r="C275" t="s">
        <v>3969</v>
      </c>
      <c r="D275">
        <v>197.4</v>
      </c>
    </row>
    <row r="276" spans="1:4" x14ac:dyDescent="0.25">
      <c r="A276" t="s">
        <v>4756</v>
      </c>
      <c r="B276" t="s">
        <v>2648</v>
      </c>
      <c r="C276" t="s">
        <v>3971</v>
      </c>
      <c r="D276">
        <v>150.13999999999999</v>
      </c>
    </row>
    <row r="277" spans="1:4" x14ac:dyDescent="0.25">
      <c r="A277" t="s">
        <v>4757</v>
      </c>
      <c r="B277" t="s">
        <v>2650</v>
      </c>
      <c r="C277" t="s">
        <v>3973</v>
      </c>
      <c r="D277">
        <v>440.43</v>
      </c>
    </row>
    <row r="278" spans="1:4" x14ac:dyDescent="0.25">
      <c r="A278" t="s">
        <v>4758</v>
      </c>
      <c r="B278" t="s">
        <v>2652</v>
      </c>
      <c r="C278" t="s">
        <v>3973</v>
      </c>
      <c r="D278">
        <v>380.2</v>
      </c>
    </row>
    <row r="279" spans="1:4" x14ac:dyDescent="0.25">
      <c r="A279" t="s">
        <v>4759</v>
      </c>
      <c r="B279" t="s">
        <v>2654</v>
      </c>
      <c r="C279" t="s">
        <v>3969</v>
      </c>
      <c r="D279">
        <v>349.57</v>
      </c>
    </row>
    <row r="280" spans="1:4" x14ac:dyDescent="0.25">
      <c r="A280" t="s">
        <v>4760</v>
      </c>
      <c r="B280" t="s">
        <v>2656</v>
      </c>
      <c r="C280" t="s">
        <v>3971</v>
      </c>
      <c r="D280">
        <v>67.98</v>
      </c>
    </row>
    <row r="281" spans="1:4" x14ac:dyDescent="0.25">
      <c r="A281" t="s">
        <v>4761</v>
      </c>
      <c r="B281" t="s">
        <v>2658</v>
      </c>
      <c r="C281" t="s">
        <v>3969</v>
      </c>
      <c r="D281">
        <v>186.22</v>
      </c>
    </row>
    <row r="282" spans="1:4" x14ac:dyDescent="0.25">
      <c r="A282" t="s">
        <v>4762</v>
      </c>
      <c r="B282" t="s">
        <v>2660</v>
      </c>
      <c r="C282" t="s">
        <v>3969</v>
      </c>
      <c r="D282">
        <v>179.7</v>
      </c>
    </row>
    <row r="283" spans="1:4" x14ac:dyDescent="0.25">
      <c r="A283" t="s">
        <v>4763</v>
      </c>
      <c r="B283" t="s">
        <v>2662</v>
      </c>
      <c r="C283" t="s">
        <v>3969</v>
      </c>
      <c r="D283">
        <v>353.27</v>
      </c>
    </row>
    <row r="284" spans="1:4" x14ac:dyDescent="0.25">
      <c r="A284" t="s">
        <v>4764</v>
      </c>
      <c r="B284" t="s">
        <v>2664</v>
      </c>
      <c r="C284" t="s">
        <v>3971</v>
      </c>
      <c r="D284">
        <v>208.51</v>
      </c>
    </row>
    <row r="285" spans="1:4" x14ac:dyDescent="0.25">
      <c r="A285" t="s">
        <v>4765</v>
      </c>
      <c r="B285" t="s">
        <v>2666</v>
      </c>
      <c r="C285" t="s">
        <v>3973</v>
      </c>
      <c r="D285">
        <v>155.06</v>
      </c>
    </row>
    <row r="286" spans="1:4" x14ac:dyDescent="0.25">
      <c r="A286" t="s">
        <v>4766</v>
      </c>
      <c r="B286" t="s">
        <v>2668</v>
      </c>
      <c r="C286" t="s">
        <v>3969</v>
      </c>
      <c r="D286">
        <v>403.82</v>
      </c>
    </row>
    <row r="287" spans="1:4" x14ac:dyDescent="0.25">
      <c r="A287" t="s">
        <v>4767</v>
      </c>
      <c r="B287" t="s">
        <v>2670</v>
      </c>
      <c r="C287" t="s">
        <v>3973</v>
      </c>
      <c r="D287">
        <v>341.44</v>
      </c>
    </row>
    <row r="288" spans="1:4" x14ac:dyDescent="0.25">
      <c r="A288" t="s">
        <v>4768</v>
      </c>
      <c r="B288" t="s">
        <v>2672</v>
      </c>
      <c r="C288" t="s">
        <v>3969</v>
      </c>
      <c r="D288">
        <v>358.43</v>
      </c>
    </row>
    <row r="289" spans="1:4" x14ac:dyDescent="0.25">
      <c r="A289" t="s">
        <v>4769</v>
      </c>
      <c r="B289" t="s">
        <v>2674</v>
      </c>
      <c r="C289" t="s">
        <v>3967</v>
      </c>
      <c r="D289">
        <v>114.38</v>
      </c>
    </row>
    <row r="290" spans="1:4" x14ac:dyDescent="0.25">
      <c r="A290" t="s">
        <v>4770</v>
      </c>
      <c r="B290" t="s">
        <v>2675</v>
      </c>
      <c r="C290" t="s">
        <v>3973</v>
      </c>
      <c r="D290">
        <v>460.07</v>
      </c>
    </row>
    <row r="291" spans="1:4" x14ac:dyDescent="0.25">
      <c r="A291" t="s">
        <v>4771</v>
      </c>
      <c r="B291" t="s">
        <v>2677</v>
      </c>
      <c r="C291" t="s">
        <v>3971</v>
      </c>
      <c r="D291">
        <v>315.05</v>
      </c>
    </row>
    <row r="292" spans="1:4" x14ac:dyDescent="0.25">
      <c r="A292" t="s">
        <v>4772</v>
      </c>
      <c r="B292" t="s">
        <v>2679</v>
      </c>
      <c r="C292" t="s">
        <v>3967</v>
      </c>
      <c r="D292">
        <v>455.95</v>
      </c>
    </row>
    <row r="293" spans="1:4" x14ac:dyDescent="0.25">
      <c r="A293" t="s">
        <v>4773</v>
      </c>
      <c r="B293" t="s">
        <v>2681</v>
      </c>
      <c r="C293" t="s">
        <v>3969</v>
      </c>
      <c r="D293">
        <v>461.21</v>
      </c>
    </row>
    <row r="294" spans="1:4" x14ac:dyDescent="0.25">
      <c r="A294" t="s">
        <v>4774</v>
      </c>
      <c r="B294" t="s">
        <v>2682</v>
      </c>
      <c r="C294" t="s">
        <v>3973</v>
      </c>
      <c r="D294">
        <v>75.42</v>
      </c>
    </row>
    <row r="295" spans="1:4" x14ac:dyDescent="0.25">
      <c r="A295" t="s">
        <v>4775</v>
      </c>
      <c r="B295" t="s">
        <v>2684</v>
      </c>
      <c r="C295" t="s">
        <v>3971</v>
      </c>
      <c r="D295">
        <v>118.34</v>
      </c>
    </row>
    <row r="296" spans="1:4" x14ac:dyDescent="0.25">
      <c r="A296" t="s">
        <v>4776</v>
      </c>
      <c r="B296" t="s">
        <v>2685</v>
      </c>
      <c r="C296" t="s">
        <v>3967</v>
      </c>
      <c r="D296">
        <v>267</v>
      </c>
    </row>
    <row r="297" spans="1:4" x14ac:dyDescent="0.25">
      <c r="A297" t="s">
        <v>4777</v>
      </c>
      <c r="B297" t="s">
        <v>2687</v>
      </c>
      <c r="C297" t="s">
        <v>3967</v>
      </c>
      <c r="D297">
        <v>219.32</v>
      </c>
    </row>
    <row r="298" spans="1:4" x14ac:dyDescent="0.25">
      <c r="A298" t="s">
        <v>4778</v>
      </c>
      <c r="B298" t="s">
        <v>2689</v>
      </c>
      <c r="C298" t="s">
        <v>3969</v>
      </c>
      <c r="D298">
        <v>142.80000000000001</v>
      </c>
    </row>
    <row r="299" spans="1:4" x14ac:dyDescent="0.25">
      <c r="A299" t="s">
        <v>4779</v>
      </c>
      <c r="B299" t="s">
        <v>2690</v>
      </c>
      <c r="C299" t="s">
        <v>3967</v>
      </c>
      <c r="D299">
        <v>476.16</v>
      </c>
    </row>
    <row r="300" spans="1:4" x14ac:dyDescent="0.25">
      <c r="A300" t="s">
        <v>4780</v>
      </c>
      <c r="B300" t="s">
        <v>2692</v>
      </c>
      <c r="C300" t="s">
        <v>3973</v>
      </c>
      <c r="D300">
        <v>60.24</v>
      </c>
    </row>
    <row r="301" spans="1:4" x14ac:dyDescent="0.25">
      <c r="A301" t="s">
        <v>4781</v>
      </c>
      <c r="B301" t="s">
        <v>2694</v>
      </c>
      <c r="C301" t="s">
        <v>3967</v>
      </c>
      <c r="D301">
        <v>274.70999999999998</v>
      </c>
    </row>
    <row r="302" spans="1:4" x14ac:dyDescent="0.25">
      <c r="A302" t="s">
        <v>4782</v>
      </c>
      <c r="B302" t="s">
        <v>2696</v>
      </c>
      <c r="C302" t="s">
        <v>3973</v>
      </c>
      <c r="D302">
        <v>165.86</v>
      </c>
    </row>
    <row r="303" spans="1:4" x14ac:dyDescent="0.25">
      <c r="A303" t="s">
        <v>4783</v>
      </c>
      <c r="B303" t="s">
        <v>2698</v>
      </c>
      <c r="C303" t="s">
        <v>3971</v>
      </c>
      <c r="D303">
        <v>227.14</v>
      </c>
    </row>
    <row r="304" spans="1:4" x14ac:dyDescent="0.25">
      <c r="A304" t="s">
        <v>4784</v>
      </c>
      <c r="B304" t="s">
        <v>2700</v>
      </c>
      <c r="C304" t="s">
        <v>3969</v>
      </c>
      <c r="D304">
        <v>225</v>
      </c>
    </row>
    <row r="305" spans="1:4" x14ac:dyDescent="0.25">
      <c r="A305" t="s">
        <v>4785</v>
      </c>
      <c r="B305" t="s">
        <v>2701</v>
      </c>
      <c r="C305" t="s">
        <v>3969</v>
      </c>
      <c r="D305">
        <v>499.36</v>
      </c>
    </row>
    <row r="306" spans="1:4" x14ac:dyDescent="0.25">
      <c r="A306" t="s">
        <v>4786</v>
      </c>
      <c r="B306" t="s">
        <v>2703</v>
      </c>
      <c r="C306" t="s">
        <v>3967</v>
      </c>
      <c r="D306">
        <v>362.93</v>
      </c>
    </row>
    <row r="307" spans="1:4" x14ac:dyDescent="0.25">
      <c r="A307" t="s">
        <v>4787</v>
      </c>
      <c r="B307" t="s">
        <v>2704</v>
      </c>
      <c r="C307" t="s">
        <v>3973</v>
      </c>
      <c r="D307">
        <v>293.10000000000002</v>
      </c>
    </row>
    <row r="308" spans="1:4" x14ac:dyDescent="0.25">
      <c r="A308" t="s">
        <v>4788</v>
      </c>
      <c r="B308" t="s">
        <v>2706</v>
      </c>
      <c r="C308" t="s">
        <v>3969</v>
      </c>
      <c r="D308">
        <v>112.65</v>
      </c>
    </row>
    <row r="309" spans="1:4" x14ac:dyDescent="0.25">
      <c r="A309" t="s">
        <v>4789</v>
      </c>
      <c r="B309" t="s">
        <v>2708</v>
      </c>
      <c r="C309" t="s">
        <v>3969</v>
      </c>
      <c r="D309">
        <v>90.89</v>
      </c>
    </row>
    <row r="310" spans="1:4" x14ac:dyDescent="0.25">
      <c r="A310" t="s">
        <v>4790</v>
      </c>
      <c r="B310" t="s">
        <v>2710</v>
      </c>
      <c r="C310" t="s">
        <v>3969</v>
      </c>
      <c r="D310">
        <v>365.27</v>
      </c>
    </row>
    <row r="311" spans="1:4" x14ac:dyDescent="0.25">
      <c r="A311" t="s">
        <v>4791</v>
      </c>
      <c r="B311" t="s">
        <v>2712</v>
      </c>
      <c r="C311" t="s">
        <v>3967</v>
      </c>
      <c r="D311">
        <v>233.23</v>
      </c>
    </row>
    <row r="312" spans="1:4" x14ac:dyDescent="0.25">
      <c r="A312" t="s">
        <v>4792</v>
      </c>
      <c r="B312" t="s">
        <v>2714</v>
      </c>
      <c r="C312" t="s">
        <v>3969</v>
      </c>
      <c r="D312">
        <v>150.99</v>
      </c>
    </row>
    <row r="313" spans="1:4" x14ac:dyDescent="0.25">
      <c r="A313" t="s">
        <v>4793</v>
      </c>
      <c r="B313" t="s">
        <v>2716</v>
      </c>
      <c r="C313" t="s">
        <v>3969</v>
      </c>
      <c r="D313">
        <v>298.81</v>
      </c>
    </row>
    <row r="314" spans="1:4" x14ac:dyDescent="0.25">
      <c r="A314" t="s">
        <v>4794</v>
      </c>
      <c r="B314" t="s">
        <v>2717</v>
      </c>
      <c r="C314" t="s">
        <v>3969</v>
      </c>
      <c r="D314">
        <v>55.78</v>
      </c>
    </row>
    <row r="315" spans="1:4" x14ac:dyDescent="0.25">
      <c r="A315" t="s">
        <v>4795</v>
      </c>
      <c r="B315" t="s">
        <v>2719</v>
      </c>
      <c r="C315" t="s">
        <v>3967</v>
      </c>
      <c r="D315">
        <v>353.21</v>
      </c>
    </row>
    <row r="316" spans="1:4" x14ac:dyDescent="0.25">
      <c r="A316" t="s">
        <v>4796</v>
      </c>
      <c r="B316" t="s">
        <v>2720</v>
      </c>
      <c r="C316" t="s">
        <v>3969</v>
      </c>
      <c r="D316">
        <v>370.43</v>
      </c>
    </row>
    <row r="317" spans="1:4" x14ac:dyDescent="0.25">
      <c r="A317" t="s">
        <v>4797</v>
      </c>
      <c r="B317" t="s">
        <v>2722</v>
      </c>
      <c r="C317" t="s">
        <v>3971</v>
      </c>
      <c r="D317">
        <v>130.26</v>
      </c>
    </row>
    <row r="318" spans="1:4" x14ac:dyDescent="0.25">
      <c r="A318" t="s">
        <v>4798</v>
      </c>
      <c r="B318" t="s">
        <v>2724</v>
      </c>
      <c r="C318" t="s">
        <v>3973</v>
      </c>
      <c r="D318">
        <v>97.51</v>
      </c>
    </row>
    <row r="319" spans="1:4" x14ac:dyDescent="0.25">
      <c r="A319" t="s">
        <v>4799</v>
      </c>
      <c r="B319" t="s">
        <v>2726</v>
      </c>
      <c r="C319" t="s">
        <v>3967</v>
      </c>
      <c r="D319">
        <v>94.83</v>
      </c>
    </row>
    <row r="320" spans="1:4" x14ac:dyDescent="0.25">
      <c r="A320" t="s">
        <v>4800</v>
      </c>
      <c r="B320" t="s">
        <v>2728</v>
      </c>
      <c r="C320" t="s">
        <v>3967</v>
      </c>
      <c r="D320">
        <v>428.66</v>
      </c>
    </row>
    <row r="321" spans="1:4" x14ac:dyDescent="0.25">
      <c r="A321" t="s">
        <v>4801</v>
      </c>
      <c r="B321" t="s">
        <v>2730</v>
      </c>
      <c r="C321" t="s">
        <v>3969</v>
      </c>
      <c r="D321">
        <v>250.64</v>
      </c>
    </row>
    <row r="322" spans="1:4" x14ac:dyDescent="0.25">
      <c r="A322" t="s">
        <v>4802</v>
      </c>
      <c r="B322" t="s">
        <v>2732</v>
      </c>
      <c r="C322" t="s">
        <v>3967</v>
      </c>
      <c r="D322">
        <v>458.84</v>
      </c>
    </row>
    <row r="323" spans="1:4" x14ac:dyDescent="0.25">
      <c r="A323" t="s">
        <v>4803</v>
      </c>
      <c r="B323" t="s">
        <v>2733</v>
      </c>
      <c r="C323" t="s">
        <v>3969</v>
      </c>
      <c r="D323">
        <v>390.66</v>
      </c>
    </row>
    <row r="324" spans="1:4" x14ac:dyDescent="0.25">
      <c r="A324" t="s">
        <v>4804</v>
      </c>
      <c r="B324" t="s">
        <v>2735</v>
      </c>
      <c r="C324" t="s">
        <v>3971</v>
      </c>
      <c r="D324">
        <v>465.72</v>
      </c>
    </row>
    <row r="325" spans="1:4" x14ac:dyDescent="0.25">
      <c r="A325" t="s">
        <v>4805</v>
      </c>
      <c r="B325" t="s">
        <v>2737</v>
      </c>
      <c r="C325" t="s">
        <v>3967</v>
      </c>
      <c r="D325">
        <v>487.1</v>
      </c>
    </row>
    <row r="326" spans="1:4" x14ac:dyDescent="0.25">
      <c r="A326" t="s">
        <v>4806</v>
      </c>
      <c r="B326" t="s">
        <v>2739</v>
      </c>
      <c r="C326" t="s">
        <v>3973</v>
      </c>
      <c r="D326">
        <v>204.76</v>
      </c>
    </row>
    <row r="327" spans="1:4" x14ac:dyDescent="0.25">
      <c r="A327" t="s">
        <v>4807</v>
      </c>
      <c r="B327" t="s">
        <v>2740</v>
      </c>
      <c r="C327" t="s">
        <v>3967</v>
      </c>
      <c r="D327">
        <v>237.74</v>
      </c>
    </row>
    <row r="328" spans="1:4" x14ac:dyDescent="0.25">
      <c r="A328" t="s">
        <v>4808</v>
      </c>
      <c r="B328" t="s">
        <v>2742</v>
      </c>
      <c r="C328" t="s">
        <v>3971</v>
      </c>
      <c r="D328">
        <v>162.6</v>
      </c>
    </row>
    <row r="329" spans="1:4" x14ac:dyDescent="0.25">
      <c r="A329" t="s">
        <v>4809</v>
      </c>
      <c r="B329" t="s">
        <v>2743</v>
      </c>
      <c r="C329" t="s">
        <v>3969</v>
      </c>
      <c r="D329">
        <v>329.38</v>
      </c>
    </row>
    <row r="330" spans="1:4" x14ac:dyDescent="0.25">
      <c r="A330" t="s">
        <v>4810</v>
      </c>
      <c r="B330" t="s">
        <v>2745</v>
      </c>
      <c r="C330" t="s">
        <v>3973</v>
      </c>
      <c r="D330">
        <v>128.84</v>
      </c>
    </row>
    <row r="331" spans="1:4" x14ac:dyDescent="0.25">
      <c r="A331" t="s">
        <v>4811</v>
      </c>
      <c r="B331" t="s">
        <v>2747</v>
      </c>
      <c r="C331" t="s">
        <v>3973</v>
      </c>
      <c r="D331">
        <v>414.08</v>
      </c>
    </row>
    <row r="332" spans="1:4" x14ac:dyDescent="0.25">
      <c r="A332" t="s">
        <v>4812</v>
      </c>
      <c r="B332" t="s">
        <v>2749</v>
      </c>
      <c r="C332" t="s">
        <v>3971</v>
      </c>
      <c r="D332">
        <v>162.76</v>
      </c>
    </row>
    <row r="333" spans="1:4" x14ac:dyDescent="0.25">
      <c r="A333" t="s">
        <v>4813</v>
      </c>
      <c r="B333" t="s">
        <v>2751</v>
      </c>
      <c r="C333" t="s">
        <v>3971</v>
      </c>
      <c r="D333">
        <v>402.02</v>
      </c>
    </row>
    <row r="334" spans="1:4" x14ac:dyDescent="0.25">
      <c r="A334" t="s">
        <v>4814</v>
      </c>
      <c r="B334" t="s">
        <v>2753</v>
      </c>
      <c r="C334" t="s">
        <v>3973</v>
      </c>
      <c r="D334">
        <v>383.42</v>
      </c>
    </row>
    <row r="335" spans="1:4" x14ac:dyDescent="0.25">
      <c r="A335" t="s">
        <v>4815</v>
      </c>
      <c r="B335" t="s">
        <v>2755</v>
      </c>
      <c r="C335" t="s">
        <v>3967</v>
      </c>
      <c r="D335">
        <v>425.09</v>
      </c>
    </row>
    <row r="336" spans="1:4" x14ac:dyDescent="0.25">
      <c r="A336" t="s">
        <v>4816</v>
      </c>
      <c r="B336" t="s">
        <v>2757</v>
      </c>
      <c r="C336" t="s">
        <v>3969</v>
      </c>
      <c r="D336">
        <v>318.52999999999997</v>
      </c>
    </row>
    <row r="337" spans="1:4" x14ac:dyDescent="0.25">
      <c r="A337" t="s">
        <v>4817</v>
      </c>
      <c r="B337" t="s">
        <v>2759</v>
      </c>
      <c r="C337" t="s">
        <v>3967</v>
      </c>
      <c r="D337">
        <v>469.1</v>
      </c>
    </row>
    <row r="338" spans="1:4" x14ac:dyDescent="0.25">
      <c r="A338" t="s">
        <v>4818</v>
      </c>
      <c r="B338" t="s">
        <v>2761</v>
      </c>
      <c r="C338" t="s">
        <v>3971</v>
      </c>
      <c r="D338">
        <v>403.15</v>
      </c>
    </row>
    <row r="339" spans="1:4" x14ac:dyDescent="0.25">
      <c r="A339" t="s">
        <v>4819</v>
      </c>
      <c r="B339" t="s">
        <v>2763</v>
      </c>
      <c r="C339" t="s">
        <v>3973</v>
      </c>
      <c r="D339">
        <v>489.48</v>
      </c>
    </row>
    <row r="340" spans="1:4" x14ac:dyDescent="0.25">
      <c r="A340" t="s">
        <v>4820</v>
      </c>
      <c r="B340" t="s">
        <v>2765</v>
      </c>
      <c r="C340" t="s">
        <v>3971</v>
      </c>
      <c r="D340">
        <v>221.8</v>
      </c>
    </row>
    <row r="341" spans="1:4" x14ac:dyDescent="0.25">
      <c r="A341" t="s">
        <v>4821</v>
      </c>
      <c r="B341" t="s">
        <v>2767</v>
      </c>
      <c r="C341" t="s">
        <v>3973</v>
      </c>
      <c r="D341">
        <v>119.77</v>
      </c>
    </row>
    <row r="342" spans="1:4" x14ac:dyDescent="0.25">
      <c r="A342" t="s">
        <v>4822</v>
      </c>
      <c r="B342" t="s">
        <v>2768</v>
      </c>
      <c r="C342" t="s">
        <v>3969</v>
      </c>
      <c r="D342">
        <v>250.82</v>
      </c>
    </row>
    <row r="343" spans="1:4" x14ac:dyDescent="0.25">
      <c r="A343" t="s">
        <v>4823</v>
      </c>
      <c r="B343" t="s">
        <v>2770</v>
      </c>
      <c r="C343" t="s">
        <v>3971</v>
      </c>
      <c r="D343">
        <v>407.89</v>
      </c>
    </row>
    <row r="344" spans="1:4" x14ac:dyDescent="0.25">
      <c r="A344" t="s">
        <v>4824</v>
      </c>
      <c r="B344" t="s">
        <v>2772</v>
      </c>
      <c r="C344" t="s">
        <v>3969</v>
      </c>
      <c r="D344">
        <v>139.38999999999999</v>
      </c>
    </row>
    <row r="345" spans="1:4" x14ac:dyDescent="0.25">
      <c r="A345" t="s">
        <v>4825</v>
      </c>
      <c r="B345" t="s">
        <v>2774</v>
      </c>
      <c r="C345" t="s">
        <v>3973</v>
      </c>
      <c r="D345">
        <v>464.02</v>
      </c>
    </row>
    <row r="346" spans="1:4" x14ac:dyDescent="0.25">
      <c r="A346" t="s">
        <v>4826</v>
      </c>
      <c r="B346" t="s">
        <v>2776</v>
      </c>
      <c r="C346" t="s">
        <v>3973</v>
      </c>
      <c r="D346">
        <v>111.55</v>
      </c>
    </row>
    <row r="347" spans="1:4" x14ac:dyDescent="0.25">
      <c r="A347" t="s">
        <v>4827</v>
      </c>
      <c r="B347" t="s">
        <v>2778</v>
      </c>
      <c r="C347" t="s">
        <v>3969</v>
      </c>
      <c r="D347">
        <v>418.01</v>
      </c>
    </row>
    <row r="348" spans="1:4" x14ac:dyDescent="0.25">
      <c r="A348" t="s">
        <v>4828</v>
      </c>
      <c r="B348" t="s">
        <v>2779</v>
      </c>
      <c r="C348" t="s">
        <v>3973</v>
      </c>
      <c r="D348">
        <v>476.13</v>
      </c>
    </row>
    <row r="349" spans="1:4" x14ac:dyDescent="0.25">
      <c r="A349" t="s">
        <v>4829</v>
      </c>
      <c r="B349" t="s">
        <v>2781</v>
      </c>
      <c r="C349" t="s">
        <v>3971</v>
      </c>
      <c r="D349">
        <v>133.30000000000001</v>
      </c>
    </row>
    <row r="350" spans="1:4" x14ac:dyDescent="0.25">
      <c r="A350" t="s">
        <v>4830</v>
      </c>
      <c r="B350" t="s">
        <v>2783</v>
      </c>
      <c r="C350" t="s">
        <v>3969</v>
      </c>
      <c r="D350">
        <v>468</v>
      </c>
    </row>
    <row r="351" spans="1:4" x14ac:dyDescent="0.25">
      <c r="A351" t="s">
        <v>4831</v>
      </c>
      <c r="B351" t="s">
        <v>2784</v>
      </c>
      <c r="C351" t="s">
        <v>3971</v>
      </c>
      <c r="D351">
        <v>393.57</v>
      </c>
    </row>
    <row r="352" spans="1:4" x14ac:dyDescent="0.25">
      <c r="A352" t="s">
        <v>4832</v>
      </c>
      <c r="B352" t="s">
        <v>2785</v>
      </c>
      <c r="C352" t="s">
        <v>3969</v>
      </c>
      <c r="D352">
        <v>348.31</v>
      </c>
    </row>
    <row r="353" spans="1:4" x14ac:dyDescent="0.25">
      <c r="A353" t="s">
        <v>4833</v>
      </c>
      <c r="B353" t="s">
        <v>2787</v>
      </c>
      <c r="C353" t="s">
        <v>3969</v>
      </c>
      <c r="D353">
        <v>111.4</v>
      </c>
    </row>
    <row r="354" spans="1:4" x14ac:dyDescent="0.25">
      <c r="A354" t="s">
        <v>4834</v>
      </c>
      <c r="B354" t="s">
        <v>2789</v>
      </c>
      <c r="C354" t="s">
        <v>3971</v>
      </c>
      <c r="D354">
        <v>373.8</v>
      </c>
    </row>
    <row r="355" spans="1:4" x14ac:dyDescent="0.25">
      <c r="A355" t="s">
        <v>4835</v>
      </c>
      <c r="B355" t="s">
        <v>2791</v>
      </c>
      <c r="C355" t="s">
        <v>3971</v>
      </c>
      <c r="D355">
        <v>254.71</v>
      </c>
    </row>
    <row r="356" spans="1:4" x14ac:dyDescent="0.25">
      <c r="A356" t="s">
        <v>4836</v>
      </c>
      <c r="B356" t="s">
        <v>2792</v>
      </c>
      <c r="C356" t="s">
        <v>3969</v>
      </c>
      <c r="D356">
        <v>299.38</v>
      </c>
    </row>
    <row r="357" spans="1:4" x14ac:dyDescent="0.25">
      <c r="A357" t="s">
        <v>4837</v>
      </c>
      <c r="B357" t="s">
        <v>2794</v>
      </c>
      <c r="C357" t="s">
        <v>3967</v>
      </c>
      <c r="D357">
        <v>247.74</v>
      </c>
    </row>
    <row r="358" spans="1:4" x14ac:dyDescent="0.25">
      <c r="A358" t="s">
        <v>4838</v>
      </c>
      <c r="B358" t="s">
        <v>2796</v>
      </c>
      <c r="C358" t="s">
        <v>3969</v>
      </c>
      <c r="D358">
        <v>442.44</v>
      </c>
    </row>
    <row r="359" spans="1:4" x14ac:dyDescent="0.25">
      <c r="A359" t="s">
        <v>4839</v>
      </c>
      <c r="B359" t="s">
        <v>2798</v>
      </c>
      <c r="C359" t="s">
        <v>3967</v>
      </c>
      <c r="D359">
        <v>189.07</v>
      </c>
    </row>
    <row r="360" spans="1:4" x14ac:dyDescent="0.25">
      <c r="A360" t="s">
        <v>4840</v>
      </c>
      <c r="B360" t="s">
        <v>2800</v>
      </c>
      <c r="C360" t="s">
        <v>3973</v>
      </c>
      <c r="D360">
        <v>493.62</v>
      </c>
    </row>
    <row r="361" spans="1:4" x14ac:dyDescent="0.25">
      <c r="A361" t="s">
        <v>4841</v>
      </c>
      <c r="B361" t="s">
        <v>2802</v>
      </c>
      <c r="C361" t="s">
        <v>3969</v>
      </c>
      <c r="D361">
        <v>222.92</v>
      </c>
    </row>
    <row r="362" spans="1:4" x14ac:dyDescent="0.25">
      <c r="A362" t="s">
        <v>4842</v>
      </c>
      <c r="B362" t="s">
        <v>2803</v>
      </c>
      <c r="C362" t="s">
        <v>3971</v>
      </c>
      <c r="D362">
        <v>370.78</v>
      </c>
    </row>
    <row r="363" spans="1:4" x14ac:dyDescent="0.25">
      <c r="A363" t="s">
        <v>4843</v>
      </c>
      <c r="B363" t="s">
        <v>2805</v>
      </c>
      <c r="C363" t="s">
        <v>3971</v>
      </c>
      <c r="D363">
        <v>348.71</v>
      </c>
    </row>
    <row r="364" spans="1:4" x14ac:dyDescent="0.25">
      <c r="A364" t="s">
        <v>4844</v>
      </c>
      <c r="B364" t="s">
        <v>2807</v>
      </c>
      <c r="C364" t="s">
        <v>3969</v>
      </c>
      <c r="D364">
        <v>55.11</v>
      </c>
    </row>
    <row r="365" spans="1:4" x14ac:dyDescent="0.25">
      <c r="A365" t="s">
        <v>4845</v>
      </c>
      <c r="B365" t="s">
        <v>2809</v>
      </c>
      <c r="C365" t="s">
        <v>3967</v>
      </c>
      <c r="D365">
        <v>213.09</v>
      </c>
    </row>
    <row r="366" spans="1:4" x14ac:dyDescent="0.25">
      <c r="A366" t="s">
        <v>4846</v>
      </c>
      <c r="B366" t="s">
        <v>2810</v>
      </c>
      <c r="C366" t="s">
        <v>3971</v>
      </c>
      <c r="D366">
        <v>94.83</v>
      </c>
    </row>
    <row r="367" spans="1:4" x14ac:dyDescent="0.25">
      <c r="A367" t="s">
        <v>4847</v>
      </c>
      <c r="B367" t="s">
        <v>2812</v>
      </c>
      <c r="C367" t="s">
        <v>3967</v>
      </c>
      <c r="D367">
        <v>76.13</v>
      </c>
    </row>
    <row r="368" spans="1:4" x14ac:dyDescent="0.25">
      <c r="A368" t="s">
        <v>4848</v>
      </c>
      <c r="B368" t="s">
        <v>2814</v>
      </c>
      <c r="C368" t="s">
        <v>3971</v>
      </c>
      <c r="D368">
        <v>219.06</v>
      </c>
    </row>
    <row r="369" spans="1:4" x14ac:dyDescent="0.25">
      <c r="A369" t="s">
        <v>4849</v>
      </c>
      <c r="B369" t="s">
        <v>2816</v>
      </c>
      <c r="C369" t="s">
        <v>3969</v>
      </c>
      <c r="D369">
        <v>349.21</v>
      </c>
    </row>
    <row r="370" spans="1:4" x14ac:dyDescent="0.25">
      <c r="A370" t="s">
        <v>4850</v>
      </c>
      <c r="B370" t="s">
        <v>2818</v>
      </c>
      <c r="C370" t="s">
        <v>3971</v>
      </c>
      <c r="D370">
        <v>377.65</v>
      </c>
    </row>
    <row r="371" spans="1:4" x14ac:dyDescent="0.25">
      <c r="A371" t="s">
        <v>4851</v>
      </c>
      <c r="B371" t="s">
        <v>2820</v>
      </c>
      <c r="C371" t="s">
        <v>3971</v>
      </c>
      <c r="D371">
        <v>54.56</v>
      </c>
    </row>
    <row r="372" spans="1:4" x14ac:dyDescent="0.25">
      <c r="A372" t="s">
        <v>4852</v>
      </c>
      <c r="B372" t="s">
        <v>2822</v>
      </c>
      <c r="C372" t="s">
        <v>3973</v>
      </c>
      <c r="D372">
        <v>488.08</v>
      </c>
    </row>
    <row r="373" spans="1:4" x14ac:dyDescent="0.25">
      <c r="A373" t="s">
        <v>4853</v>
      </c>
      <c r="B373" t="s">
        <v>2824</v>
      </c>
      <c r="C373" t="s">
        <v>3971</v>
      </c>
      <c r="D373">
        <v>225.63</v>
      </c>
    </row>
    <row r="374" spans="1:4" x14ac:dyDescent="0.25">
      <c r="A374" t="s">
        <v>4854</v>
      </c>
      <c r="B374" t="s">
        <v>2826</v>
      </c>
      <c r="C374" t="s">
        <v>3971</v>
      </c>
      <c r="D374">
        <v>344.81</v>
      </c>
    </row>
    <row r="375" spans="1:4" x14ac:dyDescent="0.25">
      <c r="A375" t="s">
        <v>4855</v>
      </c>
      <c r="B375" t="s">
        <v>2828</v>
      </c>
      <c r="C375" t="s">
        <v>3971</v>
      </c>
      <c r="D375">
        <v>200.49</v>
      </c>
    </row>
    <row r="376" spans="1:4" x14ac:dyDescent="0.25">
      <c r="A376" t="s">
        <v>4856</v>
      </c>
      <c r="B376" t="s">
        <v>2830</v>
      </c>
      <c r="C376" t="s">
        <v>3971</v>
      </c>
      <c r="D376">
        <v>101.13</v>
      </c>
    </row>
    <row r="377" spans="1:4" x14ac:dyDescent="0.25">
      <c r="A377" t="s">
        <v>4857</v>
      </c>
      <c r="B377" t="s">
        <v>2831</v>
      </c>
      <c r="C377" t="s">
        <v>3967</v>
      </c>
      <c r="D377">
        <v>77.489999999999995</v>
      </c>
    </row>
    <row r="378" spans="1:4" x14ac:dyDescent="0.25">
      <c r="A378" t="s">
        <v>4858</v>
      </c>
      <c r="B378" t="s">
        <v>2832</v>
      </c>
      <c r="C378" t="s">
        <v>3973</v>
      </c>
      <c r="D378">
        <v>79.73</v>
      </c>
    </row>
    <row r="379" spans="1:4" x14ac:dyDescent="0.25">
      <c r="A379" t="s">
        <v>4859</v>
      </c>
      <c r="B379" t="s">
        <v>2834</v>
      </c>
      <c r="C379" t="s">
        <v>3973</v>
      </c>
      <c r="D379">
        <v>444.08</v>
      </c>
    </row>
    <row r="380" spans="1:4" x14ac:dyDescent="0.25">
      <c r="A380" t="s">
        <v>4860</v>
      </c>
      <c r="B380" t="s">
        <v>2836</v>
      </c>
      <c r="C380" t="s">
        <v>3967</v>
      </c>
      <c r="D380">
        <v>242.61</v>
      </c>
    </row>
    <row r="381" spans="1:4" x14ac:dyDescent="0.25">
      <c r="A381" t="s">
        <v>4861</v>
      </c>
      <c r="B381" t="s">
        <v>2838</v>
      </c>
      <c r="C381" t="s">
        <v>3967</v>
      </c>
      <c r="D381">
        <v>421.62</v>
      </c>
    </row>
    <row r="382" spans="1:4" x14ac:dyDescent="0.25">
      <c r="A382" t="s">
        <v>4862</v>
      </c>
      <c r="B382" t="s">
        <v>2839</v>
      </c>
      <c r="C382" t="s">
        <v>3973</v>
      </c>
      <c r="D382">
        <v>52.68</v>
      </c>
    </row>
    <row r="383" spans="1:4" x14ac:dyDescent="0.25">
      <c r="A383" t="s">
        <v>4863</v>
      </c>
      <c r="B383" t="s">
        <v>2841</v>
      </c>
      <c r="C383" t="s">
        <v>3971</v>
      </c>
      <c r="D383">
        <v>107.17</v>
      </c>
    </row>
    <row r="384" spans="1:4" x14ac:dyDescent="0.25">
      <c r="A384" t="s">
        <v>4864</v>
      </c>
      <c r="B384" t="s">
        <v>2843</v>
      </c>
      <c r="C384" t="s">
        <v>3973</v>
      </c>
      <c r="D384">
        <v>416.87</v>
      </c>
    </row>
    <row r="385" spans="1:4" x14ac:dyDescent="0.25">
      <c r="A385" t="s">
        <v>4865</v>
      </c>
      <c r="B385" t="s">
        <v>2845</v>
      </c>
      <c r="C385" t="s">
        <v>3969</v>
      </c>
      <c r="D385">
        <v>497.94</v>
      </c>
    </row>
    <row r="386" spans="1:4" x14ac:dyDescent="0.25">
      <c r="A386" t="s">
        <v>4866</v>
      </c>
      <c r="B386" t="s">
        <v>2847</v>
      </c>
      <c r="C386" t="s">
        <v>3971</v>
      </c>
      <c r="D386">
        <v>68.34</v>
      </c>
    </row>
    <row r="387" spans="1:4" x14ac:dyDescent="0.25">
      <c r="A387" t="s">
        <v>4867</v>
      </c>
      <c r="B387" t="s">
        <v>2849</v>
      </c>
      <c r="C387" t="s">
        <v>3973</v>
      </c>
      <c r="D387">
        <v>347.73</v>
      </c>
    </row>
    <row r="388" spans="1:4" x14ac:dyDescent="0.25">
      <c r="A388" t="s">
        <v>4868</v>
      </c>
      <c r="B388" t="s">
        <v>2851</v>
      </c>
      <c r="C388" t="s">
        <v>3969</v>
      </c>
      <c r="D388">
        <v>179.42</v>
      </c>
    </row>
    <row r="389" spans="1:4" x14ac:dyDescent="0.25">
      <c r="A389" t="s">
        <v>4869</v>
      </c>
      <c r="B389" t="s">
        <v>2853</v>
      </c>
      <c r="C389" t="s">
        <v>3973</v>
      </c>
      <c r="D389">
        <v>83.15</v>
      </c>
    </row>
    <row r="390" spans="1:4" x14ac:dyDescent="0.25">
      <c r="A390" t="s">
        <v>4870</v>
      </c>
      <c r="B390" t="s">
        <v>2855</v>
      </c>
      <c r="C390" t="s">
        <v>3969</v>
      </c>
      <c r="D390">
        <v>65.69</v>
      </c>
    </row>
    <row r="391" spans="1:4" x14ac:dyDescent="0.25">
      <c r="A391" t="s">
        <v>4871</v>
      </c>
      <c r="B391" t="s">
        <v>2857</v>
      </c>
      <c r="C391" t="s">
        <v>3967</v>
      </c>
      <c r="D391">
        <v>379.87</v>
      </c>
    </row>
    <row r="392" spans="1:4" x14ac:dyDescent="0.25">
      <c r="A392" t="s">
        <v>4872</v>
      </c>
      <c r="B392" t="s">
        <v>2858</v>
      </c>
      <c r="C392" t="s">
        <v>3967</v>
      </c>
      <c r="D392">
        <v>80.599999999999994</v>
      </c>
    </row>
    <row r="393" spans="1:4" x14ac:dyDescent="0.25">
      <c r="A393" t="s">
        <v>4873</v>
      </c>
      <c r="B393" t="s">
        <v>2860</v>
      </c>
      <c r="C393" t="s">
        <v>3971</v>
      </c>
      <c r="D393">
        <v>324.35000000000002</v>
      </c>
    </row>
    <row r="394" spans="1:4" x14ac:dyDescent="0.25">
      <c r="A394" t="s">
        <v>4874</v>
      </c>
      <c r="B394" t="s">
        <v>2862</v>
      </c>
      <c r="C394" t="s">
        <v>3971</v>
      </c>
      <c r="D394">
        <v>415.32</v>
      </c>
    </row>
    <row r="395" spans="1:4" x14ac:dyDescent="0.25">
      <c r="A395" t="s">
        <v>4875</v>
      </c>
      <c r="B395" t="s">
        <v>2864</v>
      </c>
      <c r="C395" t="s">
        <v>3971</v>
      </c>
      <c r="D395">
        <v>356.63</v>
      </c>
    </row>
    <row r="396" spans="1:4" x14ac:dyDescent="0.25">
      <c r="A396" t="s">
        <v>4876</v>
      </c>
      <c r="B396" t="s">
        <v>2866</v>
      </c>
      <c r="C396" t="s">
        <v>3973</v>
      </c>
      <c r="D396">
        <v>236.8</v>
      </c>
    </row>
    <row r="397" spans="1:4" x14ac:dyDescent="0.25">
      <c r="A397" t="s">
        <v>4877</v>
      </c>
      <c r="B397" t="s">
        <v>2867</v>
      </c>
      <c r="C397" t="s">
        <v>3967</v>
      </c>
      <c r="D397">
        <v>338.51</v>
      </c>
    </row>
    <row r="398" spans="1:4" x14ac:dyDescent="0.25">
      <c r="A398" t="s">
        <v>4878</v>
      </c>
      <c r="B398" t="s">
        <v>2869</v>
      </c>
      <c r="C398" t="s">
        <v>3971</v>
      </c>
      <c r="D398">
        <v>232.62</v>
      </c>
    </row>
    <row r="399" spans="1:4" x14ac:dyDescent="0.25">
      <c r="A399" t="s">
        <v>4879</v>
      </c>
      <c r="B399" t="s">
        <v>2871</v>
      </c>
      <c r="C399" t="s">
        <v>3973</v>
      </c>
      <c r="D399">
        <v>196.27</v>
      </c>
    </row>
    <row r="400" spans="1:4" x14ac:dyDescent="0.25">
      <c r="A400" t="s">
        <v>4880</v>
      </c>
      <c r="B400" t="s">
        <v>2873</v>
      </c>
      <c r="C400" t="s">
        <v>3967</v>
      </c>
      <c r="D400">
        <v>220.48</v>
      </c>
    </row>
    <row r="401" spans="1:4" x14ac:dyDescent="0.25">
      <c r="A401" t="s">
        <v>4881</v>
      </c>
      <c r="B401" t="s">
        <v>2874</v>
      </c>
      <c r="C401" t="s">
        <v>3967</v>
      </c>
      <c r="D401">
        <v>161.52000000000001</v>
      </c>
    </row>
    <row r="402" spans="1:4" x14ac:dyDescent="0.25">
      <c r="A402" t="s">
        <v>4882</v>
      </c>
      <c r="B402" t="s">
        <v>2876</v>
      </c>
      <c r="C402" t="s">
        <v>3967</v>
      </c>
      <c r="D402">
        <v>473.93</v>
      </c>
    </row>
    <row r="403" spans="1:4" x14ac:dyDescent="0.25">
      <c r="A403" t="s">
        <v>4883</v>
      </c>
      <c r="B403" t="s">
        <v>2878</v>
      </c>
      <c r="C403" t="s">
        <v>3973</v>
      </c>
      <c r="D403">
        <v>191.91</v>
      </c>
    </row>
    <row r="404" spans="1:4" x14ac:dyDescent="0.25">
      <c r="A404" t="s">
        <v>4884</v>
      </c>
      <c r="B404" t="s">
        <v>2880</v>
      </c>
      <c r="C404" t="s">
        <v>3967</v>
      </c>
      <c r="D404">
        <v>208.44</v>
      </c>
    </row>
    <row r="405" spans="1:4" x14ac:dyDescent="0.25">
      <c r="A405" t="s">
        <v>4885</v>
      </c>
      <c r="B405" t="s">
        <v>2881</v>
      </c>
      <c r="C405" t="s">
        <v>3973</v>
      </c>
      <c r="D405">
        <v>427.14</v>
      </c>
    </row>
    <row r="406" spans="1:4" x14ac:dyDescent="0.25">
      <c r="A406" t="s">
        <v>4886</v>
      </c>
      <c r="B406" t="s">
        <v>2882</v>
      </c>
      <c r="C406" t="s">
        <v>3969</v>
      </c>
      <c r="D406">
        <v>339.84</v>
      </c>
    </row>
    <row r="407" spans="1:4" x14ac:dyDescent="0.25">
      <c r="A407" t="s">
        <v>4887</v>
      </c>
      <c r="B407" t="s">
        <v>2884</v>
      </c>
      <c r="C407" t="s">
        <v>3969</v>
      </c>
      <c r="D407">
        <v>478.23</v>
      </c>
    </row>
    <row r="408" spans="1:4" x14ac:dyDescent="0.25">
      <c r="A408" t="s">
        <v>4888</v>
      </c>
      <c r="B408" t="s">
        <v>2885</v>
      </c>
      <c r="C408" t="s">
        <v>3971</v>
      </c>
      <c r="D408">
        <v>390.59</v>
      </c>
    </row>
    <row r="409" spans="1:4" x14ac:dyDescent="0.25">
      <c r="A409" t="s">
        <v>4889</v>
      </c>
      <c r="B409" t="s">
        <v>2886</v>
      </c>
      <c r="C409" t="s">
        <v>3969</v>
      </c>
      <c r="D409">
        <v>239.94</v>
      </c>
    </row>
    <row r="410" spans="1:4" x14ac:dyDescent="0.25">
      <c r="A410" t="s">
        <v>4890</v>
      </c>
      <c r="B410" t="s">
        <v>2888</v>
      </c>
      <c r="C410" t="s">
        <v>3967</v>
      </c>
      <c r="D410">
        <v>398.21</v>
      </c>
    </row>
    <row r="411" spans="1:4" x14ac:dyDescent="0.25">
      <c r="A411" t="s">
        <v>4891</v>
      </c>
      <c r="B411" t="s">
        <v>2889</v>
      </c>
      <c r="C411" t="s">
        <v>3967</v>
      </c>
      <c r="D411">
        <v>368.55</v>
      </c>
    </row>
    <row r="412" spans="1:4" x14ac:dyDescent="0.25">
      <c r="A412" t="s">
        <v>4892</v>
      </c>
      <c r="B412" t="s">
        <v>2890</v>
      </c>
      <c r="C412" t="s">
        <v>3973</v>
      </c>
      <c r="D412">
        <v>490.26</v>
      </c>
    </row>
    <row r="413" spans="1:4" x14ac:dyDescent="0.25">
      <c r="A413" t="s">
        <v>4893</v>
      </c>
      <c r="B413" t="s">
        <v>2892</v>
      </c>
      <c r="C413" t="s">
        <v>3973</v>
      </c>
      <c r="D413">
        <v>169.93</v>
      </c>
    </row>
    <row r="414" spans="1:4" x14ac:dyDescent="0.25">
      <c r="A414" t="s">
        <v>4894</v>
      </c>
      <c r="B414" t="s">
        <v>2893</v>
      </c>
      <c r="C414" t="s">
        <v>3973</v>
      </c>
      <c r="D414">
        <v>60.84</v>
      </c>
    </row>
    <row r="415" spans="1:4" x14ac:dyDescent="0.25">
      <c r="A415" t="s">
        <v>4895</v>
      </c>
      <c r="B415" t="s">
        <v>2895</v>
      </c>
      <c r="C415" t="s">
        <v>3969</v>
      </c>
      <c r="D415">
        <v>70.569999999999993</v>
      </c>
    </row>
    <row r="416" spans="1:4" x14ac:dyDescent="0.25">
      <c r="A416" t="s">
        <v>4896</v>
      </c>
      <c r="B416" t="s">
        <v>2897</v>
      </c>
      <c r="C416" t="s">
        <v>3967</v>
      </c>
      <c r="D416">
        <v>442.46</v>
      </c>
    </row>
    <row r="417" spans="1:4" x14ac:dyDescent="0.25">
      <c r="A417" t="s">
        <v>4897</v>
      </c>
      <c r="B417" t="s">
        <v>2899</v>
      </c>
      <c r="C417" t="s">
        <v>3973</v>
      </c>
      <c r="D417">
        <v>177.42</v>
      </c>
    </row>
    <row r="418" spans="1:4" x14ac:dyDescent="0.25">
      <c r="A418" t="s">
        <v>4898</v>
      </c>
      <c r="B418" t="s">
        <v>2901</v>
      </c>
      <c r="C418" t="s">
        <v>3971</v>
      </c>
      <c r="D418">
        <v>317.77</v>
      </c>
    </row>
    <row r="419" spans="1:4" x14ac:dyDescent="0.25">
      <c r="A419" t="s">
        <v>4899</v>
      </c>
      <c r="B419" t="s">
        <v>2903</v>
      </c>
      <c r="C419" t="s">
        <v>3967</v>
      </c>
      <c r="D419">
        <v>444.72</v>
      </c>
    </row>
    <row r="420" spans="1:4" x14ac:dyDescent="0.25">
      <c r="A420" t="s">
        <v>4900</v>
      </c>
      <c r="B420" t="s">
        <v>2905</v>
      </c>
      <c r="C420" t="s">
        <v>3967</v>
      </c>
      <c r="D420">
        <v>416.09</v>
      </c>
    </row>
    <row r="421" spans="1:4" x14ac:dyDescent="0.25">
      <c r="A421" t="s">
        <v>4901</v>
      </c>
      <c r="B421" t="s">
        <v>2907</v>
      </c>
      <c r="C421" t="s">
        <v>3967</v>
      </c>
      <c r="D421">
        <v>204.42</v>
      </c>
    </row>
    <row r="422" spans="1:4" x14ac:dyDescent="0.25">
      <c r="A422" t="s">
        <v>4902</v>
      </c>
      <c r="B422" t="s">
        <v>2909</v>
      </c>
      <c r="C422" t="s">
        <v>3967</v>
      </c>
      <c r="D422">
        <v>292.44</v>
      </c>
    </row>
    <row r="423" spans="1:4" x14ac:dyDescent="0.25">
      <c r="A423" t="s">
        <v>4903</v>
      </c>
      <c r="B423" t="s">
        <v>2911</v>
      </c>
      <c r="C423" t="s">
        <v>3973</v>
      </c>
      <c r="D423">
        <v>177.92</v>
      </c>
    </row>
    <row r="424" spans="1:4" x14ac:dyDescent="0.25">
      <c r="A424" t="s">
        <v>4904</v>
      </c>
      <c r="B424" t="s">
        <v>2912</v>
      </c>
      <c r="C424" t="s">
        <v>3967</v>
      </c>
      <c r="D424">
        <v>479.5</v>
      </c>
    </row>
    <row r="425" spans="1:4" x14ac:dyDescent="0.25">
      <c r="A425" t="s">
        <v>4905</v>
      </c>
      <c r="B425" t="s">
        <v>2914</v>
      </c>
      <c r="C425" t="s">
        <v>3973</v>
      </c>
      <c r="D425">
        <v>478.64</v>
      </c>
    </row>
    <row r="426" spans="1:4" x14ac:dyDescent="0.25">
      <c r="A426" t="s">
        <v>4906</v>
      </c>
      <c r="B426" t="s">
        <v>2916</v>
      </c>
      <c r="C426" t="s">
        <v>3969</v>
      </c>
      <c r="D426">
        <v>304.44</v>
      </c>
    </row>
    <row r="427" spans="1:4" x14ac:dyDescent="0.25">
      <c r="A427" t="s">
        <v>4907</v>
      </c>
      <c r="B427" t="s">
        <v>2917</v>
      </c>
      <c r="C427" t="s">
        <v>3969</v>
      </c>
      <c r="D427">
        <v>227.05</v>
      </c>
    </row>
    <row r="428" spans="1:4" x14ac:dyDescent="0.25">
      <c r="A428" t="s">
        <v>4908</v>
      </c>
      <c r="B428" t="s">
        <v>2919</v>
      </c>
      <c r="C428" t="s">
        <v>3969</v>
      </c>
      <c r="D428">
        <v>120.29</v>
      </c>
    </row>
    <row r="429" spans="1:4" x14ac:dyDescent="0.25">
      <c r="A429" t="s">
        <v>4909</v>
      </c>
      <c r="B429" t="s">
        <v>2920</v>
      </c>
      <c r="C429" t="s">
        <v>3971</v>
      </c>
      <c r="D429">
        <v>466.83</v>
      </c>
    </row>
    <row r="430" spans="1:4" x14ac:dyDescent="0.25">
      <c r="A430" t="s">
        <v>4910</v>
      </c>
      <c r="B430" t="s">
        <v>2922</v>
      </c>
      <c r="C430" t="s">
        <v>3973</v>
      </c>
      <c r="D430">
        <v>297.69</v>
      </c>
    </row>
    <row r="431" spans="1:4" x14ac:dyDescent="0.25">
      <c r="A431" t="s">
        <v>4911</v>
      </c>
      <c r="B431" t="s">
        <v>2924</v>
      </c>
      <c r="C431" t="s">
        <v>3969</v>
      </c>
      <c r="D431">
        <v>274.72000000000003</v>
      </c>
    </row>
    <row r="432" spans="1:4" x14ac:dyDescent="0.25">
      <c r="A432" t="s">
        <v>4912</v>
      </c>
      <c r="B432" t="s">
        <v>2925</v>
      </c>
      <c r="C432" t="s">
        <v>3971</v>
      </c>
      <c r="D432">
        <v>103.96</v>
      </c>
    </row>
    <row r="433" spans="1:4" x14ac:dyDescent="0.25">
      <c r="A433" t="s">
        <v>4913</v>
      </c>
      <c r="B433" t="s">
        <v>2927</v>
      </c>
      <c r="C433" t="s">
        <v>3967</v>
      </c>
      <c r="D433">
        <v>413.65</v>
      </c>
    </row>
    <row r="434" spans="1:4" x14ac:dyDescent="0.25">
      <c r="A434" t="s">
        <v>4914</v>
      </c>
      <c r="B434" t="s">
        <v>2929</v>
      </c>
      <c r="C434" t="s">
        <v>3971</v>
      </c>
      <c r="D434">
        <v>428.62</v>
      </c>
    </row>
    <row r="435" spans="1:4" x14ac:dyDescent="0.25">
      <c r="A435" t="s">
        <v>4915</v>
      </c>
      <c r="B435" t="s">
        <v>2931</v>
      </c>
      <c r="C435" t="s">
        <v>3967</v>
      </c>
      <c r="D435">
        <v>255.3</v>
      </c>
    </row>
    <row r="436" spans="1:4" x14ac:dyDescent="0.25">
      <c r="A436" t="s">
        <v>4916</v>
      </c>
      <c r="B436" t="s">
        <v>2933</v>
      </c>
      <c r="C436" t="s">
        <v>3967</v>
      </c>
      <c r="D436">
        <v>105.32</v>
      </c>
    </row>
    <row r="437" spans="1:4" x14ac:dyDescent="0.25">
      <c r="A437" t="s">
        <v>4917</v>
      </c>
      <c r="B437" t="s">
        <v>2934</v>
      </c>
      <c r="C437" t="s">
        <v>3969</v>
      </c>
      <c r="D437">
        <v>459.33</v>
      </c>
    </row>
    <row r="438" spans="1:4" x14ac:dyDescent="0.25">
      <c r="A438" t="s">
        <v>4918</v>
      </c>
      <c r="B438" t="s">
        <v>2935</v>
      </c>
      <c r="C438" t="s">
        <v>3967</v>
      </c>
      <c r="D438">
        <v>229.31</v>
      </c>
    </row>
    <row r="439" spans="1:4" x14ac:dyDescent="0.25">
      <c r="A439" t="s">
        <v>4919</v>
      </c>
      <c r="B439" t="s">
        <v>2936</v>
      </c>
      <c r="C439" t="s">
        <v>3967</v>
      </c>
      <c r="D439">
        <v>464.51</v>
      </c>
    </row>
    <row r="440" spans="1:4" x14ac:dyDescent="0.25">
      <c r="A440" t="s">
        <v>4920</v>
      </c>
      <c r="B440" t="s">
        <v>2937</v>
      </c>
      <c r="C440" t="s">
        <v>3971</v>
      </c>
      <c r="D440">
        <v>253.12</v>
      </c>
    </row>
    <row r="441" spans="1:4" x14ac:dyDescent="0.25">
      <c r="A441" t="s">
        <v>4921</v>
      </c>
      <c r="B441" t="s">
        <v>2938</v>
      </c>
      <c r="C441" t="s">
        <v>3973</v>
      </c>
      <c r="D441">
        <v>273.55</v>
      </c>
    </row>
    <row r="442" spans="1:4" x14ac:dyDescent="0.25">
      <c r="A442" t="s">
        <v>4922</v>
      </c>
      <c r="B442" t="s">
        <v>2940</v>
      </c>
      <c r="C442" t="s">
        <v>3973</v>
      </c>
      <c r="D442">
        <v>353.04</v>
      </c>
    </row>
    <row r="443" spans="1:4" x14ac:dyDescent="0.25">
      <c r="A443" t="s">
        <v>4923</v>
      </c>
      <c r="B443" t="s">
        <v>2942</v>
      </c>
      <c r="C443" t="s">
        <v>3967</v>
      </c>
      <c r="D443">
        <v>482.31</v>
      </c>
    </row>
    <row r="444" spans="1:4" x14ac:dyDescent="0.25">
      <c r="A444" t="s">
        <v>4924</v>
      </c>
      <c r="B444" t="s">
        <v>2944</v>
      </c>
      <c r="C444" t="s">
        <v>3969</v>
      </c>
      <c r="D444">
        <v>287.5</v>
      </c>
    </row>
    <row r="445" spans="1:4" x14ac:dyDescent="0.25">
      <c r="A445" t="s">
        <v>4925</v>
      </c>
      <c r="B445" t="s">
        <v>2946</v>
      </c>
      <c r="C445" t="s">
        <v>3969</v>
      </c>
      <c r="D445">
        <v>361.7</v>
      </c>
    </row>
    <row r="446" spans="1:4" x14ac:dyDescent="0.25">
      <c r="A446" t="s">
        <v>4926</v>
      </c>
      <c r="B446" t="s">
        <v>2948</v>
      </c>
      <c r="C446" t="s">
        <v>3971</v>
      </c>
      <c r="D446">
        <v>366</v>
      </c>
    </row>
    <row r="447" spans="1:4" x14ac:dyDescent="0.25">
      <c r="A447" t="s">
        <v>4927</v>
      </c>
      <c r="B447" t="s">
        <v>2949</v>
      </c>
      <c r="C447" t="s">
        <v>3973</v>
      </c>
      <c r="D447">
        <v>355.54</v>
      </c>
    </row>
    <row r="448" spans="1:4" x14ac:dyDescent="0.25">
      <c r="A448" t="s">
        <v>4928</v>
      </c>
      <c r="B448" t="s">
        <v>2951</v>
      </c>
      <c r="C448" t="s">
        <v>3967</v>
      </c>
      <c r="D448">
        <v>135.24</v>
      </c>
    </row>
    <row r="449" spans="1:4" x14ac:dyDescent="0.25">
      <c r="A449" t="s">
        <v>4929</v>
      </c>
      <c r="B449" t="s">
        <v>2953</v>
      </c>
      <c r="C449" t="s">
        <v>3971</v>
      </c>
      <c r="D449">
        <v>154.46</v>
      </c>
    </row>
    <row r="450" spans="1:4" x14ac:dyDescent="0.25">
      <c r="A450" t="s">
        <v>4930</v>
      </c>
      <c r="B450" t="s">
        <v>2954</v>
      </c>
      <c r="C450" t="s">
        <v>3967</v>
      </c>
      <c r="D450">
        <v>170.45</v>
      </c>
    </row>
    <row r="451" spans="1:4" x14ac:dyDescent="0.25">
      <c r="A451" t="s">
        <v>4931</v>
      </c>
      <c r="B451" t="s">
        <v>2956</v>
      </c>
      <c r="C451" t="s">
        <v>3973</v>
      </c>
      <c r="D451">
        <v>416.75</v>
      </c>
    </row>
    <row r="452" spans="1:4" x14ac:dyDescent="0.25">
      <c r="A452" t="s">
        <v>4932</v>
      </c>
      <c r="B452" t="s">
        <v>2957</v>
      </c>
      <c r="C452" t="s">
        <v>3973</v>
      </c>
      <c r="D452">
        <v>454.4</v>
      </c>
    </row>
    <row r="453" spans="1:4" x14ac:dyDescent="0.25">
      <c r="A453" t="s">
        <v>4933</v>
      </c>
      <c r="B453" t="s">
        <v>2959</v>
      </c>
      <c r="C453" t="s">
        <v>3971</v>
      </c>
      <c r="D453">
        <v>412.59</v>
      </c>
    </row>
    <row r="454" spans="1:4" x14ac:dyDescent="0.25">
      <c r="A454" t="s">
        <v>4934</v>
      </c>
      <c r="B454" t="s">
        <v>2961</v>
      </c>
      <c r="C454" t="s">
        <v>3973</v>
      </c>
      <c r="D454">
        <v>313.98</v>
      </c>
    </row>
    <row r="455" spans="1:4" x14ac:dyDescent="0.25">
      <c r="A455" t="s">
        <v>4935</v>
      </c>
      <c r="B455" t="s">
        <v>2963</v>
      </c>
      <c r="C455" t="s">
        <v>3969</v>
      </c>
      <c r="D455">
        <v>144.88999999999999</v>
      </c>
    </row>
    <row r="456" spans="1:4" x14ac:dyDescent="0.25">
      <c r="A456" t="s">
        <v>4936</v>
      </c>
      <c r="B456" t="s">
        <v>2965</v>
      </c>
      <c r="C456" t="s">
        <v>3973</v>
      </c>
      <c r="D456">
        <v>400.09</v>
      </c>
    </row>
    <row r="457" spans="1:4" x14ac:dyDescent="0.25">
      <c r="A457" t="s">
        <v>4937</v>
      </c>
      <c r="B457" t="s">
        <v>2967</v>
      </c>
      <c r="C457" t="s">
        <v>3967</v>
      </c>
      <c r="D457">
        <v>287.37</v>
      </c>
    </row>
    <row r="458" spans="1:4" x14ac:dyDescent="0.25">
      <c r="A458" t="s">
        <v>4938</v>
      </c>
      <c r="B458" t="s">
        <v>2969</v>
      </c>
      <c r="C458" t="s">
        <v>3969</v>
      </c>
      <c r="D458">
        <v>150.82</v>
      </c>
    </row>
    <row r="459" spans="1:4" x14ac:dyDescent="0.25">
      <c r="A459" t="s">
        <v>4939</v>
      </c>
      <c r="B459" t="s">
        <v>2971</v>
      </c>
      <c r="C459" t="s">
        <v>3971</v>
      </c>
      <c r="D459">
        <v>212.89</v>
      </c>
    </row>
    <row r="460" spans="1:4" x14ac:dyDescent="0.25">
      <c r="A460" t="s">
        <v>4940</v>
      </c>
      <c r="B460" t="s">
        <v>2973</v>
      </c>
      <c r="C460" t="s">
        <v>3969</v>
      </c>
      <c r="D460">
        <v>73</v>
      </c>
    </row>
    <row r="461" spans="1:4" x14ac:dyDescent="0.25">
      <c r="A461" t="s">
        <v>4941</v>
      </c>
      <c r="B461" t="s">
        <v>2975</v>
      </c>
      <c r="C461" t="s">
        <v>3969</v>
      </c>
      <c r="D461">
        <v>281.73</v>
      </c>
    </row>
    <row r="462" spans="1:4" x14ac:dyDescent="0.25">
      <c r="A462" t="s">
        <v>4942</v>
      </c>
      <c r="B462" t="s">
        <v>2977</v>
      </c>
      <c r="C462" t="s">
        <v>3967</v>
      </c>
      <c r="D462">
        <v>142.77000000000001</v>
      </c>
    </row>
    <row r="463" spans="1:4" x14ac:dyDescent="0.25">
      <c r="A463" t="s">
        <v>4943</v>
      </c>
      <c r="B463" t="s">
        <v>2978</v>
      </c>
      <c r="C463" t="s">
        <v>3971</v>
      </c>
      <c r="D463">
        <v>258.99</v>
      </c>
    </row>
    <row r="464" spans="1:4" x14ac:dyDescent="0.25">
      <c r="A464" t="s">
        <v>4944</v>
      </c>
      <c r="B464" t="s">
        <v>2980</v>
      </c>
      <c r="C464" t="s">
        <v>3971</v>
      </c>
      <c r="D464">
        <v>395.07</v>
      </c>
    </row>
    <row r="465" spans="1:4" x14ac:dyDescent="0.25">
      <c r="A465" t="s">
        <v>4945</v>
      </c>
      <c r="B465" t="s">
        <v>2981</v>
      </c>
      <c r="C465" t="s">
        <v>3967</v>
      </c>
      <c r="D465">
        <v>69.7</v>
      </c>
    </row>
    <row r="466" spans="1:4" x14ac:dyDescent="0.25">
      <c r="A466" t="s">
        <v>4946</v>
      </c>
      <c r="B466" t="s">
        <v>2983</v>
      </c>
      <c r="C466" t="s">
        <v>3969</v>
      </c>
      <c r="D466">
        <v>88.42</v>
      </c>
    </row>
    <row r="467" spans="1:4" x14ac:dyDescent="0.25">
      <c r="A467" t="s">
        <v>4947</v>
      </c>
      <c r="B467" t="s">
        <v>2985</v>
      </c>
      <c r="C467" t="s">
        <v>3969</v>
      </c>
      <c r="D467">
        <v>269.31</v>
      </c>
    </row>
    <row r="468" spans="1:4" x14ac:dyDescent="0.25">
      <c r="A468" t="s">
        <v>4948</v>
      </c>
      <c r="B468" t="s">
        <v>2986</v>
      </c>
      <c r="C468" t="s">
        <v>3971</v>
      </c>
      <c r="D468">
        <v>173.69</v>
      </c>
    </row>
    <row r="469" spans="1:4" x14ac:dyDescent="0.25">
      <c r="A469" t="s">
        <v>4949</v>
      </c>
      <c r="B469" t="s">
        <v>2987</v>
      </c>
      <c r="C469" t="s">
        <v>3969</v>
      </c>
      <c r="D469">
        <v>397.6</v>
      </c>
    </row>
    <row r="470" spans="1:4" x14ac:dyDescent="0.25">
      <c r="A470" t="s">
        <v>4950</v>
      </c>
      <c r="B470" t="s">
        <v>2989</v>
      </c>
      <c r="C470" t="s">
        <v>3969</v>
      </c>
      <c r="D470">
        <v>226.23</v>
      </c>
    </row>
    <row r="471" spans="1:4" x14ac:dyDescent="0.25">
      <c r="A471" t="s">
        <v>4951</v>
      </c>
      <c r="B471" t="s">
        <v>2991</v>
      </c>
      <c r="C471" t="s">
        <v>3973</v>
      </c>
      <c r="D471">
        <v>235.09</v>
      </c>
    </row>
    <row r="472" spans="1:4" x14ac:dyDescent="0.25">
      <c r="A472" t="s">
        <v>4952</v>
      </c>
      <c r="B472" t="s">
        <v>2992</v>
      </c>
      <c r="C472" t="s">
        <v>3967</v>
      </c>
      <c r="D472">
        <v>444.94</v>
      </c>
    </row>
    <row r="473" spans="1:4" x14ac:dyDescent="0.25">
      <c r="A473" t="s">
        <v>4953</v>
      </c>
      <c r="B473" t="s">
        <v>2994</v>
      </c>
      <c r="C473" t="s">
        <v>3967</v>
      </c>
      <c r="D473">
        <v>480.81</v>
      </c>
    </row>
    <row r="474" spans="1:4" x14ac:dyDescent="0.25">
      <c r="A474" t="s">
        <v>4954</v>
      </c>
      <c r="B474" t="s">
        <v>2996</v>
      </c>
      <c r="C474" t="s">
        <v>3969</v>
      </c>
      <c r="D474">
        <v>397.05</v>
      </c>
    </row>
    <row r="475" spans="1:4" x14ac:dyDescent="0.25">
      <c r="A475" t="s">
        <v>4955</v>
      </c>
      <c r="B475" t="s">
        <v>2998</v>
      </c>
      <c r="C475" t="s">
        <v>3971</v>
      </c>
      <c r="D475">
        <v>335.79</v>
      </c>
    </row>
    <row r="476" spans="1:4" x14ac:dyDescent="0.25">
      <c r="A476" t="s">
        <v>4956</v>
      </c>
      <c r="B476" t="s">
        <v>3000</v>
      </c>
      <c r="C476" t="s">
        <v>3971</v>
      </c>
      <c r="D476">
        <v>463.18</v>
      </c>
    </row>
    <row r="477" spans="1:4" x14ac:dyDescent="0.25">
      <c r="A477" t="s">
        <v>4957</v>
      </c>
      <c r="B477" t="s">
        <v>3002</v>
      </c>
      <c r="C477" t="s">
        <v>3971</v>
      </c>
      <c r="D477">
        <v>122.55</v>
      </c>
    </row>
    <row r="478" spans="1:4" x14ac:dyDescent="0.25">
      <c r="A478" t="s">
        <v>4958</v>
      </c>
      <c r="B478" t="s">
        <v>3004</v>
      </c>
      <c r="C478" t="s">
        <v>3969</v>
      </c>
      <c r="D478">
        <v>103.03</v>
      </c>
    </row>
    <row r="479" spans="1:4" x14ac:dyDescent="0.25">
      <c r="A479" t="s">
        <v>4959</v>
      </c>
      <c r="B479" t="s">
        <v>3006</v>
      </c>
      <c r="C479" t="s">
        <v>3967</v>
      </c>
      <c r="D479">
        <v>321.56</v>
      </c>
    </row>
    <row r="480" spans="1:4" x14ac:dyDescent="0.25">
      <c r="A480" t="s">
        <v>4960</v>
      </c>
      <c r="B480" t="s">
        <v>3007</v>
      </c>
      <c r="C480" t="s">
        <v>3969</v>
      </c>
      <c r="D480">
        <v>299.76</v>
      </c>
    </row>
    <row r="481" spans="1:4" x14ac:dyDescent="0.25">
      <c r="A481" t="s">
        <v>4961</v>
      </c>
      <c r="B481" t="s">
        <v>3009</v>
      </c>
      <c r="C481" t="s">
        <v>3973</v>
      </c>
      <c r="D481">
        <v>133.56</v>
      </c>
    </row>
    <row r="482" spans="1:4" x14ac:dyDescent="0.25">
      <c r="A482" t="s">
        <v>4962</v>
      </c>
      <c r="B482" t="s">
        <v>3011</v>
      </c>
      <c r="C482" t="s">
        <v>3969</v>
      </c>
      <c r="D482">
        <v>417.21</v>
      </c>
    </row>
    <row r="483" spans="1:4" x14ac:dyDescent="0.25">
      <c r="A483" t="s">
        <v>4963</v>
      </c>
      <c r="B483" t="s">
        <v>3013</v>
      </c>
      <c r="C483" t="s">
        <v>3973</v>
      </c>
      <c r="D483">
        <v>301.05</v>
      </c>
    </row>
    <row r="484" spans="1:4" x14ac:dyDescent="0.25">
      <c r="A484" t="s">
        <v>4964</v>
      </c>
      <c r="B484" t="s">
        <v>3014</v>
      </c>
      <c r="C484" t="s">
        <v>3967</v>
      </c>
      <c r="D484">
        <v>411.84</v>
      </c>
    </row>
    <row r="485" spans="1:4" x14ac:dyDescent="0.25">
      <c r="A485" t="s">
        <v>4965</v>
      </c>
      <c r="B485" t="s">
        <v>3016</v>
      </c>
      <c r="C485" t="s">
        <v>3973</v>
      </c>
      <c r="D485">
        <v>201.84</v>
      </c>
    </row>
    <row r="486" spans="1:4" x14ac:dyDescent="0.25">
      <c r="A486" t="s">
        <v>4966</v>
      </c>
      <c r="B486" t="s">
        <v>3018</v>
      </c>
      <c r="C486" t="s">
        <v>3973</v>
      </c>
      <c r="D486">
        <v>74.739999999999995</v>
      </c>
    </row>
    <row r="487" spans="1:4" x14ac:dyDescent="0.25">
      <c r="A487" t="s">
        <v>4967</v>
      </c>
      <c r="B487" t="s">
        <v>3020</v>
      </c>
      <c r="C487" t="s">
        <v>3967</v>
      </c>
      <c r="D487">
        <v>408.5</v>
      </c>
    </row>
    <row r="488" spans="1:4" x14ac:dyDescent="0.25">
      <c r="A488" t="s">
        <v>4968</v>
      </c>
      <c r="B488" t="s">
        <v>3022</v>
      </c>
      <c r="C488" t="s">
        <v>3971</v>
      </c>
      <c r="D488">
        <v>243.67</v>
      </c>
    </row>
    <row r="489" spans="1:4" x14ac:dyDescent="0.25">
      <c r="A489" t="s">
        <v>4969</v>
      </c>
      <c r="B489" t="s">
        <v>3024</v>
      </c>
      <c r="C489" t="s">
        <v>3973</v>
      </c>
      <c r="D489">
        <v>195.4</v>
      </c>
    </row>
    <row r="490" spans="1:4" x14ac:dyDescent="0.25">
      <c r="A490" t="s">
        <v>4970</v>
      </c>
      <c r="B490" t="s">
        <v>3026</v>
      </c>
      <c r="C490" t="s">
        <v>3969</v>
      </c>
      <c r="D490">
        <v>69.989999999999995</v>
      </c>
    </row>
    <row r="491" spans="1:4" x14ac:dyDescent="0.25">
      <c r="A491" t="s">
        <v>4971</v>
      </c>
      <c r="B491" t="s">
        <v>3028</v>
      </c>
      <c r="C491" t="s">
        <v>3971</v>
      </c>
      <c r="D491">
        <v>269.87</v>
      </c>
    </row>
    <row r="492" spans="1:4" x14ac:dyDescent="0.25">
      <c r="A492" t="s">
        <v>4972</v>
      </c>
      <c r="B492" t="s">
        <v>3030</v>
      </c>
      <c r="C492" t="s">
        <v>3973</v>
      </c>
      <c r="D492">
        <v>301.79000000000002</v>
      </c>
    </row>
    <row r="493" spans="1:4" x14ac:dyDescent="0.25">
      <c r="A493" t="s">
        <v>4973</v>
      </c>
      <c r="B493" t="s">
        <v>3032</v>
      </c>
      <c r="C493" t="s">
        <v>3971</v>
      </c>
      <c r="D493">
        <v>135.04</v>
      </c>
    </row>
    <row r="494" spans="1:4" x14ac:dyDescent="0.25">
      <c r="A494" t="s">
        <v>4974</v>
      </c>
      <c r="B494" t="s">
        <v>3034</v>
      </c>
      <c r="C494" t="s">
        <v>3971</v>
      </c>
      <c r="D494">
        <v>150.51</v>
      </c>
    </row>
    <row r="495" spans="1:4" x14ac:dyDescent="0.25">
      <c r="A495" t="s">
        <v>4975</v>
      </c>
      <c r="B495" t="s">
        <v>3036</v>
      </c>
      <c r="C495" t="s">
        <v>3967</v>
      </c>
      <c r="D495">
        <v>54</v>
      </c>
    </row>
    <row r="496" spans="1:4" x14ac:dyDescent="0.25">
      <c r="A496" t="s">
        <v>4976</v>
      </c>
      <c r="B496" t="s">
        <v>3038</v>
      </c>
      <c r="C496" t="s">
        <v>3971</v>
      </c>
      <c r="D496">
        <v>451.26</v>
      </c>
    </row>
    <row r="497" spans="1:4" x14ac:dyDescent="0.25">
      <c r="A497" t="s">
        <v>4977</v>
      </c>
      <c r="B497" t="s">
        <v>3040</v>
      </c>
      <c r="C497" t="s">
        <v>3973</v>
      </c>
      <c r="D497">
        <v>282.16000000000003</v>
      </c>
    </row>
    <row r="498" spans="1:4" x14ac:dyDescent="0.25">
      <c r="A498" t="s">
        <v>4978</v>
      </c>
      <c r="B498" t="s">
        <v>3042</v>
      </c>
      <c r="C498" t="s">
        <v>3969</v>
      </c>
      <c r="D498">
        <v>492.88</v>
      </c>
    </row>
    <row r="499" spans="1:4" x14ac:dyDescent="0.25">
      <c r="A499" t="s">
        <v>4979</v>
      </c>
      <c r="B499" t="s">
        <v>3043</v>
      </c>
      <c r="C499" t="s">
        <v>3969</v>
      </c>
      <c r="D499">
        <v>198.7</v>
      </c>
    </row>
    <row r="500" spans="1:4" x14ac:dyDescent="0.25">
      <c r="A500" t="s">
        <v>4980</v>
      </c>
      <c r="B500" t="s">
        <v>3045</v>
      </c>
      <c r="C500" t="s">
        <v>3973</v>
      </c>
      <c r="D500">
        <v>381.74</v>
      </c>
    </row>
    <row r="501" spans="1:4" x14ac:dyDescent="0.25">
      <c r="A501" t="s">
        <v>4981</v>
      </c>
      <c r="B501" t="s">
        <v>3047</v>
      </c>
      <c r="C501" t="s">
        <v>3973</v>
      </c>
      <c r="D501">
        <v>74.56</v>
      </c>
    </row>
  </sheetData>
  <pageMargins left="0.7" right="0.7" top="0.75" bottom="0.75" header="0.3" footer="0.3"/>
  <ignoredErrors>
    <ignoredError sqref="A1:D50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01"/>
  <sheetViews>
    <sheetView topLeftCell="A397" zoomScale="160" zoomScaleNormal="160" workbookViewId="0">
      <selection activeCell="G397" sqref="G397"/>
    </sheetView>
  </sheetViews>
  <sheetFormatPr defaultRowHeight="15.75" x14ac:dyDescent="0.25"/>
  <sheetData>
    <row r="1" spans="1:6" x14ac:dyDescent="0.25">
      <c r="A1" t="s">
        <v>5041</v>
      </c>
      <c r="B1" t="s">
        <v>4480</v>
      </c>
      <c r="C1" t="s">
        <v>5042</v>
      </c>
      <c r="D1" t="s">
        <v>5043</v>
      </c>
      <c r="E1" t="s">
        <v>5044</v>
      </c>
      <c r="F1" t="s">
        <v>5045</v>
      </c>
    </row>
    <row r="2" spans="1:6" x14ac:dyDescent="0.25">
      <c r="A2" t="s">
        <v>5046</v>
      </c>
      <c r="B2" t="s">
        <v>4482</v>
      </c>
      <c r="C2" t="s">
        <v>5047</v>
      </c>
      <c r="D2">
        <v>432.61</v>
      </c>
      <c r="E2">
        <v>372.0446</v>
      </c>
      <c r="F2" t="s">
        <v>5048</v>
      </c>
    </row>
    <row r="3" spans="1:6" x14ac:dyDescent="0.25">
      <c r="A3" t="s">
        <v>5049</v>
      </c>
      <c r="B3" t="s">
        <v>4483</v>
      </c>
      <c r="C3" t="s">
        <v>5047</v>
      </c>
      <c r="D3">
        <v>399.89</v>
      </c>
      <c r="E3">
        <v>323.91090000000003</v>
      </c>
      <c r="F3" t="s">
        <v>5048</v>
      </c>
    </row>
    <row r="4" spans="1:6" x14ac:dyDescent="0.25">
      <c r="A4" t="s">
        <v>5050</v>
      </c>
      <c r="B4" t="s">
        <v>4484</v>
      </c>
      <c r="C4" t="s">
        <v>5047</v>
      </c>
      <c r="D4">
        <v>156.68</v>
      </c>
      <c r="E4">
        <v>131.6112</v>
      </c>
      <c r="F4" t="s">
        <v>5048</v>
      </c>
    </row>
    <row r="5" spans="1:6" x14ac:dyDescent="0.25">
      <c r="A5" t="s">
        <v>5051</v>
      </c>
      <c r="B5" t="s">
        <v>4485</v>
      </c>
      <c r="C5" t="s">
        <v>5047</v>
      </c>
      <c r="D5">
        <v>76.62</v>
      </c>
      <c r="E5">
        <v>62.062200000000004</v>
      </c>
      <c r="F5" t="s">
        <v>5048</v>
      </c>
    </row>
    <row r="6" spans="1:6" x14ac:dyDescent="0.25">
      <c r="A6" t="s">
        <v>5052</v>
      </c>
      <c r="B6" t="s">
        <v>4486</v>
      </c>
      <c r="C6" t="s">
        <v>5047</v>
      </c>
      <c r="D6">
        <v>371.08</v>
      </c>
      <c r="E6">
        <v>278.31</v>
      </c>
      <c r="F6" t="s">
        <v>5048</v>
      </c>
    </row>
    <row r="7" spans="1:6" x14ac:dyDescent="0.25">
      <c r="A7" t="s">
        <v>5053</v>
      </c>
      <c r="B7" t="s">
        <v>4487</v>
      </c>
      <c r="C7" t="s">
        <v>5047</v>
      </c>
      <c r="D7">
        <v>88.3</v>
      </c>
      <c r="E7">
        <v>77.703999999999994</v>
      </c>
      <c r="F7" t="s">
        <v>5048</v>
      </c>
    </row>
    <row r="8" spans="1:6" x14ac:dyDescent="0.25">
      <c r="A8" t="s">
        <v>5054</v>
      </c>
      <c r="B8" t="s">
        <v>4488</v>
      </c>
      <c r="C8" t="s">
        <v>5047</v>
      </c>
      <c r="D8">
        <v>274.35000000000002</v>
      </c>
      <c r="E8">
        <v>244.17150000000004</v>
      </c>
      <c r="F8" t="s">
        <v>5048</v>
      </c>
    </row>
    <row r="9" spans="1:6" x14ac:dyDescent="0.25">
      <c r="A9" t="s">
        <v>5055</v>
      </c>
      <c r="B9" t="s">
        <v>4490</v>
      </c>
      <c r="C9" t="s">
        <v>5047</v>
      </c>
      <c r="D9">
        <v>161.85</v>
      </c>
      <c r="E9">
        <v>142.428</v>
      </c>
      <c r="F9" t="s">
        <v>5048</v>
      </c>
    </row>
    <row r="10" spans="1:6" x14ac:dyDescent="0.25">
      <c r="A10" t="s">
        <v>5056</v>
      </c>
      <c r="B10" t="s">
        <v>4491</v>
      </c>
      <c r="C10" t="s">
        <v>5047</v>
      </c>
      <c r="D10">
        <v>393.93</v>
      </c>
      <c r="E10">
        <v>342.71910000000003</v>
      </c>
      <c r="F10" t="s">
        <v>5048</v>
      </c>
    </row>
    <row r="11" spans="1:6" x14ac:dyDescent="0.25">
      <c r="A11" t="s">
        <v>5057</v>
      </c>
      <c r="B11" t="s">
        <v>4493</v>
      </c>
      <c r="C11" t="s">
        <v>5047</v>
      </c>
      <c r="D11">
        <v>369.59</v>
      </c>
      <c r="E11">
        <v>295.67199999999997</v>
      </c>
      <c r="F11" t="s">
        <v>5048</v>
      </c>
    </row>
    <row r="12" spans="1:6" x14ac:dyDescent="0.25">
      <c r="A12" t="s">
        <v>5058</v>
      </c>
      <c r="B12" t="s">
        <v>4494</v>
      </c>
      <c r="C12" t="s">
        <v>5047</v>
      </c>
      <c r="D12">
        <v>358.17</v>
      </c>
      <c r="E12">
        <v>268.6275</v>
      </c>
      <c r="F12" t="s">
        <v>5048</v>
      </c>
    </row>
    <row r="13" spans="1:6" x14ac:dyDescent="0.25">
      <c r="A13" t="s">
        <v>5059</v>
      </c>
      <c r="B13" t="s">
        <v>4495</v>
      </c>
      <c r="C13" t="s">
        <v>5047</v>
      </c>
      <c r="D13">
        <v>313.20999999999998</v>
      </c>
      <c r="E13">
        <v>263.09639999999996</v>
      </c>
      <c r="F13" t="s">
        <v>5048</v>
      </c>
    </row>
    <row r="14" spans="1:6" x14ac:dyDescent="0.25">
      <c r="A14" t="s">
        <v>5060</v>
      </c>
      <c r="B14" t="s">
        <v>4496</v>
      </c>
      <c r="C14" t="s">
        <v>5047</v>
      </c>
      <c r="D14">
        <v>267.22000000000003</v>
      </c>
      <c r="E14">
        <v>229.80920000000003</v>
      </c>
      <c r="F14" t="s">
        <v>5048</v>
      </c>
    </row>
    <row r="15" spans="1:6" x14ac:dyDescent="0.25">
      <c r="A15" t="s">
        <v>5061</v>
      </c>
      <c r="B15" t="s">
        <v>4497</v>
      </c>
      <c r="C15" t="s">
        <v>5047</v>
      </c>
      <c r="D15">
        <v>147.72</v>
      </c>
      <c r="E15">
        <v>129.99359999999999</v>
      </c>
      <c r="F15" t="s">
        <v>5048</v>
      </c>
    </row>
    <row r="16" spans="1:6" x14ac:dyDescent="0.25">
      <c r="A16" t="s">
        <v>5062</v>
      </c>
      <c r="B16" t="s">
        <v>4498</v>
      </c>
      <c r="C16" t="s">
        <v>5047</v>
      </c>
      <c r="D16">
        <v>155.05000000000001</v>
      </c>
      <c r="E16">
        <v>119.38850000000001</v>
      </c>
      <c r="F16" t="s">
        <v>5048</v>
      </c>
    </row>
    <row r="17" spans="1:6" x14ac:dyDescent="0.25">
      <c r="A17" t="s">
        <v>5063</v>
      </c>
      <c r="B17" t="s">
        <v>4499</v>
      </c>
      <c r="C17" t="s">
        <v>5047</v>
      </c>
      <c r="D17">
        <v>304.94</v>
      </c>
      <c r="E17">
        <v>240.90260000000001</v>
      </c>
      <c r="F17" t="s">
        <v>5048</v>
      </c>
    </row>
    <row r="18" spans="1:6" x14ac:dyDescent="0.25">
      <c r="A18" t="s">
        <v>5064</v>
      </c>
      <c r="B18" t="s">
        <v>4500</v>
      </c>
      <c r="C18" t="s">
        <v>5047</v>
      </c>
      <c r="D18">
        <v>372.55</v>
      </c>
      <c r="E18">
        <v>312.94200000000001</v>
      </c>
      <c r="F18" t="s">
        <v>5048</v>
      </c>
    </row>
    <row r="19" spans="1:6" x14ac:dyDescent="0.25">
      <c r="A19" t="s">
        <v>5065</v>
      </c>
      <c r="B19" t="s">
        <v>4502</v>
      </c>
      <c r="C19" t="s">
        <v>5047</v>
      </c>
      <c r="D19">
        <v>429.87</v>
      </c>
      <c r="E19">
        <v>378.28559999999999</v>
      </c>
      <c r="F19" t="s">
        <v>5048</v>
      </c>
    </row>
    <row r="20" spans="1:6" x14ac:dyDescent="0.25">
      <c r="A20" t="s">
        <v>5066</v>
      </c>
      <c r="B20" t="s">
        <v>4504</v>
      </c>
      <c r="C20" t="s">
        <v>5047</v>
      </c>
      <c r="D20">
        <v>222.27</v>
      </c>
      <c r="E20">
        <v>155.589</v>
      </c>
      <c r="F20" t="s">
        <v>5048</v>
      </c>
    </row>
    <row r="21" spans="1:6" x14ac:dyDescent="0.25">
      <c r="A21" t="s">
        <v>5067</v>
      </c>
      <c r="B21" t="s">
        <v>4505</v>
      </c>
      <c r="C21" t="s">
        <v>5047</v>
      </c>
      <c r="D21">
        <v>100.65</v>
      </c>
      <c r="E21">
        <v>89.578500000000005</v>
      </c>
      <c r="F21" t="s">
        <v>5048</v>
      </c>
    </row>
    <row r="22" spans="1:6" x14ac:dyDescent="0.25">
      <c r="A22" t="s">
        <v>5068</v>
      </c>
      <c r="B22" t="s">
        <v>4506</v>
      </c>
      <c r="C22" t="s">
        <v>5047</v>
      </c>
      <c r="D22">
        <v>311.63</v>
      </c>
      <c r="E22">
        <v>271.11809999999997</v>
      </c>
      <c r="F22" t="s">
        <v>5048</v>
      </c>
    </row>
    <row r="23" spans="1:6" x14ac:dyDescent="0.25">
      <c r="A23" t="s">
        <v>5069</v>
      </c>
      <c r="B23" t="s">
        <v>4507</v>
      </c>
      <c r="C23" t="s">
        <v>5047</v>
      </c>
      <c r="D23">
        <v>464.21</v>
      </c>
      <c r="E23">
        <v>348.15749999999997</v>
      </c>
      <c r="F23" t="s">
        <v>5048</v>
      </c>
    </row>
    <row r="24" spans="1:6" x14ac:dyDescent="0.25">
      <c r="A24" t="s">
        <v>5070</v>
      </c>
      <c r="B24" t="s">
        <v>4508</v>
      </c>
      <c r="C24" t="s">
        <v>5047</v>
      </c>
      <c r="D24">
        <v>83.11</v>
      </c>
      <c r="E24">
        <v>66.488</v>
      </c>
      <c r="F24" t="s">
        <v>5048</v>
      </c>
    </row>
    <row r="25" spans="1:6" x14ac:dyDescent="0.25">
      <c r="A25" t="s">
        <v>5071</v>
      </c>
      <c r="B25" t="s">
        <v>4509</v>
      </c>
      <c r="C25" t="s">
        <v>5047</v>
      </c>
      <c r="D25">
        <v>239.88</v>
      </c>
      <c r="E25">
        <v>196.70159999999998</v>
      </c>
      <c r="F25" t="s">
        <v>5048</v>
      </c>
    </row>
    <row r="26" spans="1:6" x14ac:dyDescent="0.25">
      <c r="A26" t="s">
        <v>5072</v>
      </c>
      <c r="B26" t="s">
        <v>4510</v>
      </c>
      <c r="C26" t="s">
        <v>5047</v>
      </c>
      <c r="D26">
        <v>281.69</v>
      </c>
      <c r="E26">
        <v>205.6337</v>
      </c>
      <c r="F26" t="s">
        <v>5048</v>
      </c>
    </row>
    <row r="27" spans="1:6" x14ac:dyDescent="0.25">
      <c r="A27" t="s">
        <v>5073</v>
      </c>
      <c r="B27" t="s">
        <v>4511</v>
      </c>
      <c r="C27" t="s">
        <v>5047</v>
      </c>
      <c r="D27">
        <v>427.73</v>
      </c>
      <c r="E27">
        <v>367.84780000000001</v>
      </c>
      <c r="F27" t="s">
        <v>5048</v>
      </c>
    </row>
    <row r="28" spans="1:6" x14ac:dyDescent="0.25">
      <c r="A28" t="s">
        <v>5074</v>
      </c>
      <c r="B28" t="s">
        <v>4512</v>
      </c>
      <c r="C28" t="s">
        <v>5047</v>
      </c>
      <c r="D28">
        <v>179.84</v>
      </c>
      <c r="E28">
        <v>156.46080000000001</v>
      </c>
      <c r="F28" t="s">
        <v>5048</v>
      </c>
    </row>
    <row r="29" spans="1:6" x14ac:dyDescent="0.25">
      <c r="A29" t="s">
        <v>5075</v>
      </c>
      <c r="B29" t="s">
        <v>4513</v>
      </c>
      <c r="C29" t="s">
        <v>5047</v>
      </c>
      <c r="D29">
        <v>230.15</v>
      </c>
      <c r="E29">
        <v>179.51700000000002</v>
      </c>
      <c r="F29" t="s">
        <v>5048</v>
      </c>
    </row>
    <row r="30" spans="1:6" x14ac:dyDescent="0.25">
      <c r="A30" t="s">
        <v>5076</v>
      </c>
      <c r="B30" t="s">
        <v>4514</v>
      </c>
      <c r="C30" t="s">
        <v>5047</v>
      </c>
      <c r="D30">
        <v>455.17</v>
      </c>
      <c r="E30">
        <v>405.10130000000004</v>
      </c>
      <c r="F30" t="s">
        <v>5048</v>
      </c>
    </row>
    <row r="31" spans="1:6" x14ac:dyDescent="0.25">
      <c r="A31" t="s">
        <v>5077</v>
      </c>
      <c r="B31" t="s">
        <v>4515</v>
      </c>
      <c r="C31" t="s">
        <v>5047</v>
      </c>
      <c r="D31">
        <v>154.33000000000001</v>
      </c>
      <c r="E31">
        <v>108.03100000000001</v>
      </c>
      <c r="F31" t="s">
        <v>5048</v>
      </c>
    </row>
    <row r="32" spans="1:6" x14ac:dyDescent="0.25">
      <c r="A32" t="s">
        <v>5078</v>
      </c>
      <c r="B32" t="s">
        <v>4516</v>
      </c>
      <c r="C32" t="s">
        <v>5047</v>
      </c>
      <c r="D32">
        <v>59.62</v>
      </c>
      <c r="E32">
        <v>48.292200000000001</v>
      </c>
      <c r="F32" t="s">
        <v>5048</v>
      </c>
    </row>
    <row r="33" spans="1:6" x14ac:dyDescent="0.25">
      <c r="A33" t="s">
        <v>5079</v>
      </c>
      <c r="B33" t="s">
        <v>4517</v>
      </c>
      <c r="C33" t="s">
        <v>5047</v>
      </c>
      <c r="D33">
        <v>243.9</v>
      </c>
      <c r="E33">
        <v>217.071</v>
      </c>
      <c r="F33" t="s">
        <v>5048</v>
      </c>
    </row>
    <row r="34" spans="1:6" x14ac:dyDescent="0.25">
      <c r="A34" t="s">
        <v>5080</v>
      </c>
      <c r="B34" t="s">
        <v>4518</v>
      </c>
      <c r="C34" t="s">
        <v>5047</v>
      </c>
      <c r="D34">
        <v>322.3</v>
      </c>
      <c r="E34">
        <v>238.50200000000001</v>
      </c>
      <c r="F34" t="s">
        <v>5048</v>
      </c>
    </row>
    <row r="35" spans="1:6" x14ac:dyDescent="0.25">
      <c r="A35" t="s">
        <v>5081</v>
      </c>
      <c r="B35" t="s">
        <v>4519</v>
      </c>
      <c r="C35" t="s">
        <v>5047</v>
      </c>
      <c r="D35">
        <v>333.23</v>
      </c>
      <c r="E35">
        <v>263.25170000000003</v>
      </c>
      <c r="F35" t="s">
        <v>5048</v>
      </c>
    </row>
    <row r="36" spans="1:6" x14ac:dyDescent="0.25">
      <c r="A36" t="s">
        <v>5082</v>
      </c>
      <c r="B36" t="s">
        <v>4520</v>
      </c>
      <c r="C36" t="s">
        <v>5047</v>
      </c>
      <c r="D36">
        <v>91.77</v>
      </c>
      <c r="E36">
        <v>68.827500000000001</v>
      </c>
      <c r="F36" t="s">
        <v>5048</v>
      </c>
    </row>
    <row r="37" spans="1:6" x14ac:dyDescent="0.25">
      <c r="A37" t="s">
        <v>5083</v>
      </c>
      <c r="B37" t="s">
        <v>4521</v>
      </c>
      <c r="C37" t="s">
        <v>5047</v>
      </c>
      <c r="D37">
        <v>270.82</v>
      </c>
      <c r="E37">
        <v>194.99039999999999</v>
      </c>
      <c r="F37" t="s">
        <v>5048</v>
      </c>
    </row>
    <row r="38" spans="1:6" x14ac:dyDescent="0.25">
      <c r="A38" t="s">
        <v>5084</v>
      </c>
      <c r="B38" t="s">
        <v>4522</v>
      </c>
      <c r="C38" t="s">
        <v>5047</v>
      </c>
      <c r="D38">
        <v>281.61</v>
      </c>
      <c r="E38">
        <v>236.55240000000001</v>
      </c>
      <c r="F38" t="s">
        <v>5048</v>
      </c>
    </row>
    <row r="39" spans="1:6" x14ac:dyDescent="0.25">
      <c r="A39" t="s">
        <v>5085</v>
      </c>
      <c r="B39" t="s">
        <v>4523</v>
      </c>
      <c r="C39" t="s">
        <v>5047</v>
      </c>
      <c r="D39">
        <v>332.14</v>
      </c>
      <c r="E39">
        <v>242.4622</v>
      </c>
      <c r="F39" t="s">
        <v>5048</v>
      </c>
    </row>
    <row r="40" spans="1:6" x14ac:dyDescent="0.25">
      <c r="A40" t="s">
        <v>5086</v>
      </c>
      <c r="B40" t="s">
        <v>4524</v>
      </c>
      <c r="C40" t="s">
        <v>5047</v>
      </c>
      <c r="D40">
        <v>321.48</v>
      </c>
      <c r="E40">
        <v>273.25799999999998</v>
      </c>
      <c r="F40" t="s">
        <v>5048</v>
      </c>
    </row>
    <row r="41" spans="1:6" x14ac:dyDescent="0.25">
      <c r="A41" t="s">
        <v>5087</v>
      </c>
      <c r="B41" t="s">
        <v>4525</v>
      </c>
      <c r="C41" t="s">
        <v>5047</v>
      </c>
      <c r="D41">
        <v>61.9</v>
      </c>
      <c r="E41">
        <v>55.091000000000001</v>
      </c>
      <c r="F41" t="s">
        <v>5048</v>
      </c>
    </row>
    <row r="42" spans="1:6" x14ac:dyDescent="0.25">
      <c r="A42" t="s">
        <v>5088</v>
      </c>
      <c r="B42" t="s">
        <v>4526</v>
      </c>
      <c r="C42" t="s">
        <v>5047</v>
      </c>
      <c r="D42">
        <v>308.77999999999997</v>
      </c>
      <c r="E42">
        <v>256.28739999999999</v>
      </c>
      <c r="F42" t="s">
        <v>5048</v>
      </c>
    </row>
    <row r="43" spans="1:6" x14ac:dyDescent="0.25">
      <c r="A43" t="s">
        <v>5089</v>
      </c>
      <c r="B43" t="s">
        <v>4527</v>
      </c>
      <c r="C43" t="s">
        <v>5047</v>
      </c>
      <c r="D43">
        <v>438.77</v>
      </c>
      <c r="E43">
        <v>355.40370000000001</v>
      </c>
      <c r="F43" t="s">
        <v>5048</v>
      </c>
    </row>
    <row r="44" spans="1:6" x14ac:dyDescent="0.25">
      <c r="A44" t="s">
        <v>5090</v>
      </c>
      <c r="B44" t="s">
        <v>4528</v>
      </c>
      <c r="C44" t="s">
        <v>5047</v>
      </c>
      <c r="D44">
        <v>196.19</v>
      </c>
      <c r="E44">
        <v>147.14249999999998</v>
      </c>
      <c r="F44" t="s">
        <v>5048</v>
      </c>
    </row>
    <row r="45" spans="1:6" x14ac:dyDescent="0.25">
      <c r="A45" t="s">
        <v>5091</v>
      </c>
      <c r="B45" t="s">
        <v>4530</v>
      </c>
      <c r="C45" t="s">
        <v>5047</v>
      </c>
      <c r="D45">
        <v>493.29</v>
      </c>
      <c r="E45">
        <v>394.63200000000006</v>
      </c>
      <c r="F45" t="s">
        <v>5048</v>
      </c>
    </row>
    <row r="46" spans="1:6" x14ac:dyDescent="0.25">
      <c r="A46" t="s">
        <v>5092</v>
      </c>
      <c r="B46" t="s">
        <v>4531</v>
      </c>
      <c r="C46" t="s">
        <v>5047</v>
      </c>
      <c r="D46">
        <v>392.93</v>
      </c>
      <c r="E46">
        <v>302.55610000000001</v>
      </c>
      <c r="F46" t="s">
        <v>5048</v>
      </c>
    </row>
    <row r="47" spans="1:6" x14ac:dyDescent="0.25">
      <c r="A47" t="s">
        <v>5093</v>
      </c>
      <c r="B47" t="s">
        <v>4533</v>
      </c>
      <c r="C47" t="s">
        <v>5047</v>
      </c>
      <c r="D47">
        <v>299.19</v>
      </c>
      <c r="E47">
        <v>230.37630000000001</v>
      </c>
      <c r="F47" t="s">
        <v>5048</v>
      </c>
    </row>
    <row r="48" spans="1:6" x14ac:dyDescent="0.25">
      <c r="A48" t="s">
        <v>5094</v>
      </c>
      <c r="B48" t="s">
        <v>4534</v>
      </c>
      <c r="C48" t="s">
        <v>5047</v>
      </c>
      <c r="D48">
        <v>355.74</v>
      </c>
      <c r="E48">
        <v>305.93639999999999</v>
      </c>
      <c r="F48" t="s">
        <v>5048</v>
      </c>
    </row>
    <row r="49" spans="1:6" x14ac:dyDescent="0.25">
      <c r="A49" t="s">
        <v>5095</v>
      </c>
      <c r="B49" t="s">
        <v>4535</v>
      </c>
      <c r="C49" t="s">
        <v>5047</v>
      </c>
      <c r="D49">
        <v>493.7</v>
      </c>
      <c r="E49">
        <v>414.70799999999997</v>
      </c>
      <c r="F49" t="s">
        <v>5048</v>
      </c>
    </row>
    <row r="50" spans="1:6" x14ac:dyDescent="0.25">
      <c r="A50" t="s">
        <v>5096</v>
      </c>
      <c r="B50" t="s">
        <v>4536</v>
      </c>
      <c r="C50" t="s">
        <v>5047</v>
      </c>
      <c r="D50">
        <v>444.53</v>
      </c>
      <c r="E50">
        <v>324.50689999999997</v>
      </c>
      <c r="F50" t="s">
        <v>5048</v>
      </c>
    </row>
    <row r="51" spans="1:6" x14ac:dyDescent="0.25">
      <c r="A51" t="s">
        <v>5097</v>
      </c>
      <c r="B51" t="s">
        <v>4538</v>
      </c>
      <c r="C51" t="s">
        <v>5047</v>
      </c>
      <c r="D51">
        <v>135.02000000000001</v>
      </c>
      <c r="E51">
        <v>105.31560000000002</v>
      </c>
      <c r="F51" t="s">
        <v>5048</v>
      </c>
    </row>
    <row r="52" spans="1:6" x14ac:dyDescent="0.25">
      <c r="A52" t="s">
        <v>5098</v>
      </c>
      <c r="B52" t="s">
        <v>4539</v>
      </c>
      <c r="C52" t="s">
        <v>5047</v>
      </c>
      <c r="D52">
        <v>227.34</v>
      </c>
      <c r="E52">
        <v>161.41139999999999</v>
      </c>
      <c r="F52" t="s">
        <v>5048</v>
      </c>
    </row>
    <row r="53" spans="1:6" x14ac:dyDescent="0.25">
      <c r="A53" t="s">
        <v>5099</v>
      </c>
      <c r="B53" t="s">
        <v>4540</v>
      </c>
      <c r="C53" t="s">
        <v>5047</v>
      </c>
      <c r="D53">
        <v>325.73</v>
      </c>
      <c r="E53">
        <v>247.55480000000003</v>
      </c>
      <c r="F53" t="s">
        <v>5048</v>
      </c>
    </row>
    <row r="54" spans="1:6" x14ac:dyDescent="0.25">
      <c r="A54" t="s">
        <v>5100</v>
      </c>
      <c r="B54" t="s">
        <v>4541</v>
      </c>
      <c r="C54" t="s">
        <v>5047</v>
      </c>
      <c r="D54">
        <v>205.12</v>
      </c>
      <c r="E54">
        <v>182.55680000000001</v>
      </c>
      <c r="F54" t="s">
        <v>5048</v>
      </c>
    </row>
    <row r="55" spans="1:6" x14ac:dyDescent="0.25">
      <c r="A55" t="s">
        <v>5101</v>
      </c>
      <c r="B55" t="s">
        <v>4542</v>
      </c>
      <c r="C55" t="s">
        <v>5047</v>
      </c>
      <c r="D55">
        <v>464.4</v>
      </c>
      <c r="E55">
        <v>399.38399999999996</v>
      </c>
      <c r="F55" t="s">
        <v>5048</v>
      </c>
    </row>
    <row r="56" spans="1:6" x14ac:dyDescent="0.25">
      <c r="A56" t="s">
        <v>5102</v>
      </c>
      <c r="B56" t="s">
        <v>4543</v>
      </c>
      <c r="C56" t="s">
        <v>5047</v>
      </c>
      <c r="D56">
        <v>335.9</v>
      </c>
      <c r="E56">
        <v>258.64299999999997</v>
      </c>
      <c r="F56" t="s">
        <v>5048</v>
      </c>
    </row>
    <row r="57" spans="1:6" x14ac:dyDescent="0.25">
      <c r="A57" t="s">
        <v>5103</v>
      </c>
      <c r="B57" t="s">
        <v>4544</v>
      </c>
      <c r="C57" t="s">
        <v>5047</v>
      </c>
      <c r="D57">
        <v>345.47</v>
      </c>
      <c r="E57">
        <v>304.01360000000005</v>
      </c>
      <c r="F57" t="s">
        <v>5048</v>
      </c>
    </row>
    <row r="58" spans="1:6" x14ac:dyDescent="0.25">
      <c r="A58" t="s">
        <v>5104</v>
      </c>
      <c r="B58" t="s">
        <v>4545</v>
      </c>
      <c r="C58" t="s">
        <v>5047</v>
      </c>
      <c r="D58">
        <v>169.98</v>
      </c>
      <c r="E58">
        <v>129.1848</v>
      </c>
      <c r="F58" t="s">
        <v>5048</v>
      </c>
    </row>
    <row r="59" spans="1:6" x14ac:dyDescent="0.25">
      <c r="A59" t="s">
        <v>5105</v>
      </c>
      <c r="B59" t="s">
        <v>4546</v>
      </c>
      <c r="C59" t="s">
        <v>5047</v>
      </c>
      <c r="D59">
        <v>311.92</v>
      </c>
      <c r="E59">
        <v>249.53600000000003</v>
      </c>
      <c r="F59" t="s">
        <v>5048</v>
      </c>
    </row>
    <row r="60" spans="1:6" x14ac:dyDescent="0.25">
      <c r="A60" t="s">
        <v>5106</v>
      </c>
      <c r="B60" t="s">
        <v>4547</v>
      </c>
      <c r="C60" t="s">
        <v>5047</v>
      </c>
      <c r="D60">
        <v>197.05</v>
      </c>
      <c r="E60">
        <v>153.69900000000001</v>
      </c>
      <c r="F60" t="s">
        <v>5048</v>
      </c>
    </row>
    <row r="61" spans="1:6" x14ac:dyDescent="0.25">
      <c r="A61" t="s">
        <v>5107</v>
      </c>
      <c r="B61" t="s">
        <v>4548</v>
      </c>
      <c r="C61" t="s">
        <v>5047</v>
      </c>
      <c r="D61">
        <v>174.83</v>
      </c>
      <c r="E61">
        <v>141.61230000000003</v>
      </c>
      <c r="F61" t="s">
        <v>5048</v>
      </c>
    </row>
    <row r="62" spans="1:6" x14ac:dyDescent="0.25">
      <c r="A62" t="s">
        <v>5108</v>
      </c>
      <c r="B62" t="s">
        <v>4549</v>
      </c>
      <c r="C62" t="s">
        <v>5047</v>
      </c>
      <c r="D62">
        <v>252.88</v>
      </c>
      <c r="E62">
        <v>204.83280000000002</v>
      </c>
      <c r="F62" t="s">
        <v>5048</v>
      </c>
    </row>
    <row r="63" spans="1:6" x14ac:dyDescent="0.25">
      <c r="A63" t="s">
        <v>5109</v>
      </c>
      <c r="B63" t="s">
        <v>4550</v>
      </c>
      <c r="C63" t="s">
        <v>5047</v>
      </c>
      <c r="D63">
        <v>262.35000000000002</v>
      </c>
      <c r="E63">
        <v>215.12700000000001</v>
      </c>
      <c r="F63" t="s">
        <v>5048</v>
      </c>
    </row>
    <row r="64" spans="1:6" x14ac:dyDescent="0.25">
      <c r="A64" t="s">
        <v>5110</v>
      </c>
      <c r="B64" t="s">
        <v>4551</v>
      </c>
      <c r="C64" t="s">
        <v>5047</v>
      </c>
      <c r="D64">
        <v>404.03</v>
      </c>
      <c r="E64">
        <v>282.82099999999997</v>
      </c>
      <c r="F64" t="s">
        <v>5048</v>
      </c>
    </row>
    <row r="65" spans="1:6" x14ac:dyDescent="0.25">
      <c r="A65" t="s">
        <v>5111</v>
      </c>
      <c r="B65" t="s">
        <v>4552</v>
      </c>
      <c r="C65" t="s">
        <v>5047</v>
      </c>
      <c r="D65">
        <v>91.89</v>
      </c>
      <c r="E65">
        <v>67.079700000000003</v>
      </c>
      <c r="F65" t="s">
        <v>5048</v>
      </c>
    </row>
    <row r="66" spans="1:6" x14ac:dyDescent="0.25">
      <c r="A66" t="s">
        <v>5112</v>
      </c>
      <c r="B66" t="s">
        <v>4553</v>
      </c>
      <c r="C66" t="s">
        <v>5047</v>
      </c>
      <c r="D66">
        <v>253.39</v>
      </c>
      <c r="E66">
        <v>184.97469999999998</v>
      </c>
      <c r="F66" t="s">
        <v>5048</v>
      </c>
    </row>
    <row r="67" spans="1:6" x14ac:dyDescent="0.25">
      <c r="A67" t="s">
        <v>5113</v>
      </c>
      <c r="B67" t="s">
        <v>4554</v>
      </c>
      <c r="C67" t="s">
        <v>5047</v>
      </c>
      <c r="D67">
        <v>167.28</v>
      </c>
      <c r="E67">
        <v>122.1144</v>
      </c>
      <c r="F67" t="s">
        <v>5048</v>
      </c>
    </row>
    <row r="68" spans="1:6" x14ac:dyDescent="0.25">
      <c r="A68" t="s">
        <v>5114</v>
      </c>
      <c r="B68" t="s">
        <v>4555</v>
      </c>
      <c r="C68" t="s">
        <v>5047</v>
      </c>
      <c r="D68">
        <v>370.31</v>
      </c>
      <c r="E68">
        <v>277.73250000000002</v>
      </c>
      <c r="F68" t="s">
        <v>5048</v>
      </c>
    </row>
    <row r="69" spans="1:6" x14ac:dyDescent="0.25">
      <c r="A69" t="s">
        <v>5115</v>
      </c>
      <c r="B69" t="s">
        <v>4556</v>
      </c>
      <c r="C69" t="s">
        <v>5047</v>
      </c>
      <c r="D69">
        <v>377.51</v>
      </c>
      <c r="E69">
        <v>268.03209999999996</v>
      </c>
      <c r="F69" t="s">
        <v>5048</v>
      </c>
    </row>
    <row r="70" spans="1:6" x14ac:dyDescent="0.25">
      <c r="A70" t="s">
        <v>5116</v>
      </c>
      <c r="B70" t="s">
        <v>4557</v>
      </c>
      <c r="C70" t="s">
        <v>5047</v>
      </c>
      <c r="D70">
        <v>115.87</v>
      </c>
      <c r="E70">
        <v>89.21990000000001</v>
      </c>
      <c r="F70" t="s">
        <v>5048</v>
      </c>
    </row>
    <row r="71" spans="1:6" x14ac:dyDescent="0.25">
      <c r="A71" t="s">
        <v>5117</v>
      </c>
      <c r="B71" t="s">
        <v>4558</v>
      </c>
      <c r="C71" t="s">
        <v>5047</v>
      </c>
      <c r="D71">
        <v>61.22</v>
      </c>
      <c r="E71">
        <v>45.914999999999999</v>
      </c>
      <c r="F71" t="s">
        <v>5048</v>
      </c>
    </row>
    <row r="72" spans="1:6" x14ac:dyDescent="0.25">
      <c r="A72" t="s">
        <v>5118</v>
      </c>
      <c r="B72" t="s">
        <v>4559</v>
      </c>
      <c r="C72" t="s">
        <v>5047</v>
      </c>
      <c r="D72">
        <v>81.5</v>
      </c>
      <c r="E72">
        <v>63.57</v>
      </c>
      <c r="F72" t="s">
        <v>5048</v>
      </c>
    </row>
    <row r="73" spans="1:6" x14ac:dyDescent="0.25">
      <c r="A73" t="s">
        <v>5119</v>
      </c>
      <c r="B73" t="s">
        <v>4560</v>
      </c>
      <c r="C73" t="s">
        <v>5047</v>
      </c>
      <c r="D73">
        <v>398.42</v>
      </c>
      <c r="E73">
        <v>326.70440000000002</v>
      </c>
      <c r="F73" t="s">
        <v>5048</v>
      </c>
    </row>
    <row r="74" spans="1:6" x14ac:dyDescent="0.25">
      <c r="A74" t="s">
        <v>5120</v>
      </c>
      <c r="B74" t="s">
        <v>4561</v>
      </c>
      <c r="C74" t="s">
        <v>5047</v>
      </c>
      <c r="D74">
        <v>391.6</v>
      </c>
      <c r="E74">
        <v>301.53200000000004</v>
      </c>
      <c r="F74" t="s">
        <v>5048</v>
      </c>
    </row>
    <row r="75" spans="1:6" x14ac:dyDescent="0.25">
      <c r="A75" t="s">
        <v>5121</v>
      </c>
      <c r="B75" t="s">
        <v>4562</v>
      </c>
      <c r="C75" t="s">
        <v>5047</v>
      </c>
      <c r="D75">
        <v>290.81</v>
      </c>
      <c r="E75">
        <v>212.29130000000001</v>
      </c>
      <c r="F75" t="s">
        <v>5048</v>
      </c>
    </row>
    <row r="76" spans="1:6" x14ac:dyDescent="0.25">
      <c r="A76" t="s">
        <v>5122</v>
      </c>
      <c r="B76" t="s">
        <v>4564</v>
      </c>
      <c r="C76" t="s">
        <v>5047</v>
      </c>
      <c r="D76">
        <v>245.88</v>
      </c>
      <c r="E76">
        <v>194.24520000000001</v>
      </c>
      <c r="F76" t="s">
        <v>5048</v>
      </c>
    </row>
    <row r="77" spans="1:6" x14ac:dyDescent="0.25">
      <c r="A77" t="s">
        <v>5123</v>
      </c>
      <c r="B77" t="s">
        <v>4566</v>
      </c>
      <c r="C77" t="s">
        <v>5047</v>
      </c>
      <c r="D77">
        <v>255.45</v>
      </c>
      <c r="E77">
        <v>222.2415</v>
      </c>
      <c r="F77" t="s">
        <v>5048</v>
      </c>
    </row>
    <row r="78" spans="1:6" x14ac:dyDescent="0.25">
      <c r="A78" t="s">
        <v>5124</v>
      </c>
      <c r="B78" t="s">
        <v>4567</v>
      </c>
      <c r="C78" t="s">
        <v>5047</v>
      </c>
      <c r="D78">
        <v>470.46</v>
      </c>
      <c r="E78">
        <v>385.77719999999994</v>
      </c>
      <c r="F78" t="s">
        <v>5048</v>
      </c>
    </row>
    <row r="79" spans="1:6" x14ac:dyDescent="0.25">
      <c r="A79" t="s">
        <v>5125</v>
      </c>
      <c r="B79" t="s">
        <v>4568</v>
      </c>
      <c r="C79" t="s">
        <v>5047</v>
      </c>
      <c r="D79">
        <v>332.98</v>
      </c>
      <c r="E79">
        <v>293.0224</v>
      </c>
      <c r="F79" t="s">
        <v>5048</v>
      </c>
    </row>
    <row r="80" spans="1:6" x14ac:dyDescent="0.25">
      <c r="A80" t="s">
        <v>5126</v>
      </c>
      <c r="B80" t="s">
        <v>4569</v>
      </c>
      <c r="C80" t="s">
        <v>5047</v>
      </c>
      <c r="D80">
        <v>424.68</v>
      </c>
      <c r="E80">
        <v>339.74400000000003</v>
      </c>
      <c r="F80" t="s">
        <v>5048</v>
      </c>
    </row>
    <row r="81" spans="1:6" x14ac:dyDescent="0.25">
      <c r="A81" t="s">
        <v>5127</v>
      </c>
      <c r="B81" t="s">
        <v>4570</v>
      </c>
      <c r="C81" t="s">
        <v>5047</v>
      </c>
      <c r="D81">
        <v>330.42</v>
      </c>
      <c r="E81">
        <v>251.11920000000001</v>
      </c>
      <c r="F81" t="s">
        <v>5048</v>
      </c>
    </row>
    <row r="82" spans="1:6" x14ac:dyDescent="0.25">
      <c r="A82" t="s">
        <v>5128</v>
      </c>
      <c r="B82" t="s">
        <v>4571</v>
      </c>
      <c r="C82" t="s">
        <v>5047</v>
      </c>
      <c r="D82">
        <v>401.64</v>
      </c>
      <c r="E82">
        <v>317.29559999999998</v>
      </c>
      <c r="F82" t="s">
        <v>5048</v>
      </c>
    </row>
    <row r="83" spans="1:6" x14ac:dyDescent="0.25">
      <c r="A83" t="s">
        <v>5129</v>
      </c>
      <c r="B83" t="s">
        <v>4572</v>
      </c>
      <c r="C83" t="s">
        <v>5047</v>
      </c>
      <c r="D83">
        <v>56.26</v>
      </c>
      <c r="E83">
        <v>45.570599999999999</v>
      </c>
      <c r="F83" t="s">
        <v>5048</v>
      </c>
    </row>
    <row r="84" spans="1:6" x14ac:dyDescent="0.25">
      <c r="A84" t="s">
        <v>5130</v>
      </c>
      <c r="B84" t="s">
        <v>4573</v>
      </c>
      <c r="C84" t="s">
        <v>5047</v>
      </c>
      <c r="D84">
        <v>361.7</v>
      </c>
      <c r="E84">
        <v>311.06200000000001</v>
      </c>
      <c r="F84" t="s">
        <v>5048</v>
      </c>
    </row>
    <row r="85" spans="1:6" x14ac:dyDescent="0.25">
      <c r="A85" t="s">
        <v>5131</v>
      </c>
      <c r="B85" t="s">
        <v>4574</v>
      </c>
      <c r="C85" t="s">
        <v>5047</v>
      </c>
      <c r="D85">
        <v>305.95999999999998</v>
      </c>
      <c r="E85">
        <v>235.58919999999998</v>
      </c>
      <c r="F85" t="s">
        <v>5048</v>
      </c>
    </row>
    <row r="86" spans="1:6" x14ac:dyDescent="0.25">
      <c r="A86" t="s">
        <v>5132</v>
      </c>
      <c r="B86" t="s">
        <v>4576</v>
      </c>
      <c r="C86" t="s">
        <v>5047</v>
      </c>
      <c r="D86">
        <v>495.11</v>
      </c>
      <c r="E86">
        <v>425.7946</v>
      </c>
      <c r="F86" t="s">
        <v>5048</v>
      </c>
    </row>
    <row r="87" spans="1:6" x14ac:dyDescent="0.25">
      <c r="A87" t="s">
        <v>5133</v>
      </c>
      <c r="B87" t="s">
        <v>4577</v>
      </c>
      <c r="C87" t="s">
        <v>5047</v>
      </c>
      <c r="D87">
        <v>53.84</v>
      </c>
      <c r="E87">
        <v>37.688000000000002</v>
      </c>
      <c r="F87" t="s">
        <v>5048</v>
      </c>
    </row>
    <row r="88" spans="1:6" x14ac:dyDescent="0.25">
      <c r="A88" t="s">
        <v>5134</v>
      </c>
      <c r="B88" t="s">
        <v>4579</v>
      </c>
      <c r="C88" t="s">
        <v>5047</v>
      </c>
      <c r="D88">
        <v>442.87</v>
      </c>
      <c r="E88">
        <v>354.29600000000005</v>
      </c>
      <c r="F88" t="s">
        <v>5048</v>
      </c>
    </row>
    <row r="89" spans="1:6" x14ac:dyDescent="0.25">
      <c r="A89" t="s">
        <v>5135</v>
      </c>
      <c r="B89" t="s">
        <v>4580</v>
      </c>
      <c r="C89" t="s">
        <v>5047</v>
      </c>
      <c r="D89">
        <v>354.13</v>
      </c>
      <c r="E89">
        <v>262.05619999999999</v>
      </c>
      <c r="F89" t="s">
        <v>5048</v>
      </c>
    </row>
    <row r="90" spans="1:6" x14ac:dyDescent="0.25">
      <c r="A90" t="s">
        <v>5136</v>
      </c>
      <c r="B90" t="s">
        <v>4581</v>
      </c>
      <c r="C90" t="s">
        <v>5047</v>
      </c>
      <c r="D90">
        <v>313.73</v>
      </c>
      <c r="E90">
        <v>263.53320000000002</v>
      </c>
      <c r="F90" t="s">
        <v>5048</v>
      </c>
    </row>
    <row r="91" spans="1:6" x14ac:dyDescent="0.25">
      <c r="A91" t="s">
        <v>5137</v>
      </c>
      <c r="B91" t="s">
        <v>4583</v>
      </c>
      <c r="C91" t="s">
        <v>5047</v>
      </c>
      <c r="D91">
        <v>55.68</v>
      </c>
      <c r="E91">
        <v>38.975999999999999</v>
      </c>
      <c r="F91" t="s">
        <v>5048</v>
      </c>
    </row>
    <row r="92" spans="1:6" x14ac:dyDescent="0.25">
      <c r="A92" t="s">
        <v>5138</v>
      </c>
      <c r="B92" t="s">
        <v>4584</v>
      </c>
      <c r="C92" t="s">
        <v>5047</v>
      </c>
      <c r="D92">
        <v>126.83</v>
      </c>
      <c r="E92">
        <v>101.464</v>
      </c>
      <c r="F92" t="s">
        <v>5048</v>
      </c>
    </row>
    <row r="93" spans="1:6" x14ac:dyDescent="0.25">
      <c r="A93" t="s">
        <v>5139</v>
      </c>
      <c r="B93" t="s">
        <v>4585</v>
      </c>
      <c r="C93" t="s">
        <v>5047</v>
      </c>
      <c r="D93">
        <v>98.24</v>
      </c>
      <c r="E93">
        <v>81.539199999999994</v>
      </c>
      <c r="F93" t="s">
        <v>5048</v>
      </c>
    </row>
    <row r="94" spans="1:6" x14ac:dyDescent="0.25">
      <c r="A94" t="s">
        <v>5140</v>
      </c>
      <c r="B94" t="s">
        <v>4586</v>
      </c>
      <c r="C94" t="s">
        <v>5047</v>
      </c>
      <c r="D94">
        <v>190.08</v>
      </c>
      <c r="E94">
        <v>140.6592</v>
      </c>
      <c r="F94" t="s">
        <v>5048</v>
      </c>
    </row>
    <row r="95" spans="1:6" x14ac:dyDescent="0.25">
      <c r="A95" t="s">
        <v>5141</v>
      </c>
      <c r="B95" t="s">
        <v>4587</v>
      </c>
      <c r="C95" t="s">
        <v>5047</v>
      </c>
      <c r="D95">
        <v>381.83</v>
      </c>
      <c r="E95">
        <v>316.91889999999995</v>
      </c>
      <c r="F95" t="s">
        <v>5048</v>
      </c>
    </row>
    <row r="96" spans="1:6" x14ac:dyDescent="0.25">
      <c r="A96" t="s">
        <v>5142</v>
      </c>
      <c r="B96" t="s">
        <v>4589</v>
      </c>
      <c r="C96" t="s">
        <v>5047</v>
      </c>
      <c r="D96">
        <v>449.98</v>
      </c>
      <c r="E96">
        <v>328.48540000000003</v>
      </c>
      <c r="F96" t="s">
        <v>5048</v>
      </c>
    </row>
    <row r="97" spans="1:6" x14ac:dyDescent="0.25">
      <c r="A97" t="s">
        <v>5143</v>
      </c>
      <c r="B97" t="s">
        <v>4590</v>
      </c>
      <c r="C97" t="s">
        <v>5047</v>
      </c>
      <c r="D97">
        <v>481.16</v>
      </c>
      <c r="E97">
        <v>408.98599999999999</v>
      </c>
      <c r="F97" t="s">
        <v>5048</v>
      </c>
    </row>
    <row r="98" spans="1:6" x14ac:dyDescent="0.25">
      <c r="A98" t="s">
        <v>5144</v>
      </c>
      <c r="B98" t="s">
        <v>4591</v>
      </c>
      <c r="C98" t="s">
        <v>5047</v>
      </c>
      <c r="D98">
        <v>406.65</v>
      </c>
      <c r="E98">
        <v>317.18700000000001</v>
      </c>
      <c r="F98" t="s">
        <v>5048</v>
      </c>
    </row>
    <row r="99" spans="1:6" x14ac:dyDescent="0.25">
      <c r="A99" t="s">
        <v>5145</v>
      </c>
      <c r="B99" t="s">
        <v>4592</v>
      </c>
      <c r="C99" t="s">
        <v>5047</v>
      </c>
      <c r="D99">
        <v>376.57</v>
      </c>
      <c r="E99">
        <v>305.02170000000001</v>
      </c>
      <c r="F99" t="s">
        <v>5048</v>
      </c>
    </row>
    <row r="100" spans="1:6" x14ac:dyDescent="0.25">
      <c r="A100" t="s">
        <v>5146</v>
      </c>
      <c r="B100" t="s">
        <v>4593</v>
      </c>
      <c r="C100" t="s">
        <v>5047</v>
      </c>
      <c r="D100">
        <v>355.09</v>
      </c>
      <c r="E100">
        <v>301.82649999999995</v>
      </c>
      <c r="F100" t="s">
        <v>5048</v>
      </c>
    </row>
    <row r="101" spans="1:6" x14ac:dyDescent="0.25">
      <c r="A101" t="s">
        <v>5147</v>
      </c>
      <c r="B101" t="s">
        <v>4594</v>
      </c>
      <c r="C101" t="s">
        <v>5047</v>
      </c>
      <c r="D101">
        <v>483.92</v>
      </c>
      <c r="E101">
        <v>372.61840000000001</v>
      </c>
      <c r="F101" t="s">
        <v>5048</v>
      </c>
    </row>
    <row r="102" spans="1:6" x14ac:dyDescent="0.25">
      <c r="A102" t="s">
        <v>5148</v>
      </c>
      <c r="B102" t="s">
        <v>4595</v>
      </c>
      <c r="C102" t="s">
        <v>5047</v>
      </c>
      <c r="D102">
        <v>451.5</v>
      </c>
      <c r="E102">
        <v>356.685</v>
      </c>
      <c r="F102" t="s">
        <v>5048</v>
      </c>
    </row>
    <row r="103" spans="1:6" x14ac:dyDescent="0.25">
      <c r="A103" t="s">
        <v>5149</v>
      </c>
      <c r="B103" t="s">
        <v>4596</v>
      </c>
      <c r="C103" t="s">
        <v>5047</v>
      </c>
      <c r="D103">
        <v>481.71</v>
      </c>
      <c r="E103">
        <v>428.72190000000001</v>
      </c>
      <c r="F103" t="s">
        <v>5048</v>
      </c>
    </row>
    <row r="104" spans="1:6" x14ac:dyDescent="0.25">
      <c r="A104" t="s">
        <v>5150</v>
      </c>
      <c r="B104" t="s">
        <v>4597</v>
      </c>
      <c r="C104" t="s">
        <v>5047</v>
      </c>
      <c r="D104">
        <v>109.27</v>
      </c>
      <c r="E104">
        <v>97.250299999999996</v>
      </c>
      <c r="F104" t="s">
        <v>5048</v>
      </c>
    </row>
    <row r="105" spans="1:6" x14ac:dyDescent="0.25">
      <c r="A105" t="s">
        <v>5151</v>
      </c>
      <c r="B105" t="s">
        <v>4598</v>
      </c>
      <c r="C105" t="s">
        <v>5047</v>
      </c>
      <c r="D105">
        <v>377.69</v>
      </c>
      <c r="E105">
        <v>332.36720000000003</v>
      </c>
      <c r="F105" t="s">
        <v>5048</v>
      </c>
    </row>
    <row r="106" spans="1:6" x14ac:dyDescent="0.25">
      <c r="A106" t="s">
        <v>5152</v>
      </c>
      <c r="B106" t="s">
        <v>4599</v>
      </c>
      <c r="C106" t="s">
        <v>5047</v>
      </c>
      <c r="D106">
        <v>114.64</v>
      </c>
      <c r="E106">
        <v>83.687200000000004</v>
      </c>
      <c r="F106" t="s">
        <v>5048</v>
      </c>
    </row>
    <row r="107" spans="1:6" x14ac:dyDescent="0.25">
      <c r="A107" t="s">
        <v>5153</v>
      </c>
      <c r="B107" t="s">
        <v>4601</v>
      </c>
      <c r="C107" t="s">
        <v>5047</v>
      </c>
      <c r="D107">
        <v>305.12</v>
      </c>
      <c r="E107">
        <v>247.14720000000003</v>
      </c>
      <c r="F107" t="s">
        <v>5048</v>
      </c>
    </row>
    <row r="108" spans="1:6" x14ac:dyDescent="0.25">
      <c r="A108" t="s">
        <v>5154</v>
      </c>
      <c r="B108" t="s">
        <v>4602</v>
      </c>
      <c r="C108" t="s">
        <v>5047</v>
      </c>
      <c r="D108">
        <v>230.89</v>
      </c>
      <c r="E108">
        <v>177.78530000000001</v>
      </c>
      <c r="F108" t="s">
        <v>5048</v>
      </c>
    </row>
    <row r="109" spans="1:6" x14ac:dyDescent="0.25">
      <c r="A109" t="s">
        <v>5155</v>
      </c>
      <c r="B109" t="s">
        <v>4603</v>
      </c>
      <c r="C109" t="s">
        <v>5047</v>
      </c>
      <c r="D109">
        <v>127.66</v>
      </c>
      <c r="E109">
        <v>108.511</v>
      </c>
      <c r="F109" t="s">
        <v>5048</v>
      </c>
    </row>
    <row r="110" spans="1:6" x14ac:dyDescent="0.25">
      <c r="A110" t="s">
        <v>5156</v>
      </c>
      <c r="B110" t="s">
        <v>4604</v>
      </c>
      <c r="C110" t="s">
        <v>5047</v>
      </c>
      <c r="D110">
        <v>236.07</v>
      </c>
      <c r="E110">
        <v>184.13460000000001</v>
      </c>
      <c r="F110" t="s">
        <v>5048</v>
      </c>
    </row>
    <row r="111" spans="1:6" x14ac:dyDescent="0.25">
      <c r="A111" t="s">
        <v>5157</v>
      </c>
      <c r="B111" t="s">
        <v>4605</v>
      </c>
      <c r="C111" t="s">
        <v>5047</v>
      </c>
      <c r="D111">
        <v>258.12</v>
      </c>
      <c r="E111">
        <v>209.0772</v>
      </c>
      <c r="F111" t="s">
        <v>5048</v>
      </c>
    </row>
    <row r="112" spans="1:6" x14ac:dyDescent="0.25">
      <c r="A112" t="s">
        <v>5158</v>
      </c>
      <c r="B112" t="s">
        <v>4606</v>
      </c>
      <c r="C112" t="s">
        <v>5047</v>
      </c>
      <c r="D112">
        <v>400.19</v>
      </c>
      <c r="E112">
        <v>340.16149999999999</v>
      </c>
      <c r="F112" t="s">
        <v>5048</v>
      </c>
    </row>
    <row r="113" spans="1:6" x14ac:dyDescent="0.25">
      <c r="A113" t="s">
        <v>5159</v>
      </c>
      <c r="B113" t="s">
        <v>4607</v>
      </c>
      <c r="C113" t="s">
        <v>5047</v>
      </c>
      <c r="D113">
        <v>288.77999999999997</v>
      </c>
      <c r="E113">
        <v>216.58499999999998</v>
      </c>
      <c r="F113" t="s">
        <v>5048</v>
      </c>
    </row>
    <row r="114" spans="1:6" x14ac:dyDescent="0.25">
      <c r="A114" t="s">
        <v>5160</v>
      </c>
      <c r="B114" t="s">
        <v>4608</v>
      </c>
      <c r="C114" t="s">
        <v>5047</v>
      </c>
      <c r="D114">
        <v>424.12</v>
      </c>
      <c r="E114">
        <v>360.50200000000001</v>
      </c>
      <c r="F114" t="s">
        <v>5048</v>
      </c>
    </row>
    <row r="115" spans="1:6" x14ac:dyDescent="0.25">
      <c r="A115" t="s">
        <v>5161</v>
      </c>
      <c r="B115" t="s">
        <v>4609</v>
      </c>
      <c r="C115" t="s">
        <v>5047</v>
      </c>
      <c r="D115">
        <v>241.98</v>
      </c>
      <c r="E115">
        <v>176.6454</v>
      </c>
      <c r="F115" t="s">
        <v>5048</v>
      </c>
    </row>
    <row r="116" spans="1:6" x14ac:dyDescent="0.25">
      <c r="A116" t="s">
        <v>5162</v>
      </c>
      <c r="B116" t="s">
        <v>4610</v>
      </c>
      <c r="C116" t="s">
        <v>5047</v>
      </c>
      <c r="D116">
        <v>165.56</v>
      </c>
      <c r="E116">
        <v>145.69280000000001</v>
      </c>
      <c r="F116" t="s">
        <v>5048</v>
      </c>
    </row>
    <row r="117" spans="1:6" x14ac:dyDescent="0.25">
      <c r="A117" t="s">
        <v>5163</v>
      </c>
      <c r="B117" t="s">
        <v>4611</v>
      </c>
      <c r="C117" t="s">
        <v>5047</v>
      </c>
      <c r="D117">
        <v>206.8</v>
      </c>
      <c r="E117">
        <v>173.71199999999999</v>
      </c>
      <c r="F117" t="s">
        <v>5048</v>
      </c>
    </row>
    <row r="118" spans="1:6" x14ac:dyDescent="0.25">
      <c r="A118" t="s">
        <v>5164</v>
      </c>
      <c r="B118" t="s">
        <v>4613</v>
      </c>
      <c r="C118" t="s">
        <v>5047</v>
      </c>
      <c r="D118">
        <v>177.89</v>
      </c>
      <c r="E118">
        <v>136.9753</v>
      </c>
      <c r="F118" t="s">
        <v>5048</v>
      </c>
    </row>
    <row r="119" spans="1:6" x14ac:dyDescent="0.25">
      <c r="A119" t="s">
        <v>5165</v>
      </c>
      <c r="B119" t="s">
        <v>4616</v>
      </c>
      <c r="C119" t="s">
        <v>5047</v>
      </c>
      <c r="D119">
        <v>486.81</v>
      </c>
      <c r="E119">
        <v>374.84370000000001</v>
      </c>
      <c r="F119" t="s">
        <v>5048</v>
      </c>
    </row>
    <row r="120" spans="1:6" x14ac:dyDescent="0.25">
      <c r="A120" t="s">
        <v>5166</v>
      </c>
      <c r="B120" t="s">
        <v>4621</v>
      </c>
      <c r="C120" t="s">
        <v>5047</v>
      </c>
      <c r="D120">
        <v>477.05</v>
      </c>
      <c r="E120">
        <v>429.34500000000003</v>
      </c>
      <c r="F120" t="s">
        <v>5048</v>
      </c>
    </row>
    <row r="121" spans="1:6" x14ac:dyDescent="0.25">
      <c r="A121" t="s">
        <v>5167</v>
      </c>
      <c r="B121" t="s">
        <v>4622</v>
      </c>
      <c r="C121" t="s">
        <v>5047</v>
      </c>
      <c r="D121">
        <v>313.56</v>
      </c>
      <c r="E121">
        <v>244.57680000000002</v>
      </c>
      <c r="F121" t="s">
        <v>5048</v>
      </c>
    </row>
    <row r="122" spans="1:6" x14ac:dyDescent="0.25">
      <c r="A122" t="s">
        <v>5168</v>
      </c>
      <c r="B122" t="s">
        <v>4623</v>
      </c>
      <c r="C122" t="s">
        <v>5047</v>
      </c>
      <c r="D122">
        <v>191.71</v>
      </c>
      <c r="E122">
        <v>166.7877</v>
      </c>
      <c r="F122" t="s">
        <v>5048</v>
      </c>
    </row>
    <row r="123" spans="1:6" x14ac:dyDescent="0.25">
      <c r="A123" t="s">
        <v>5169</v>
      </c>
      <c r="B123" t="s">
        <v>4624</v>
      </c>
      <c r="C123" t="s">
        <v>5047</v>
      </c>
      <c r="D123">
        <v>446.1</v>
      </c>
      <c r="E123">
        <v>356.88000000000005</v>
      </c>
      <c r="F123" t="s">
        <v>5048</v>
      </c>
    </row>
    <row r="124" spans="1:6" x14ac:dyDescent="0.25">
      <c r="A124" t="s">
        <v>5170</v>
      </c>
      <c r="B124" t="s">
        <v>4625</v>
      </c>
      <c r="C124" t="s">
        <v>5047</v>
      </c>
      <c r="D124">
        <v>63.8</v>
      </c>
      <c r="E124">
        <v>44.66</v>
      </c>
      <c r="F124" t="s">
        <v>5048</v>
      </c>
    </row>
    <row r="125" spans="1:6" x14ac:dyDescent="0.25">
      <c r="A125" t="s">
        <v>5171</v>
      </c>
      <c r="B125" t="s">
        <v>4626</v>
      </c>
      <c r="C125" t="s">
        <v>5047</v>
      </c>
      <c r="D125">
        <v>100.05</v>
      </c>
      <c r="E125">
        <v>85.04249999999999</v>
      </c>
      <c r="F125" t="s">
        <v>5048</v>
      </c>
    </row>
    <row r="126" spans="1:6" x14ac:dyDescent="0.25">
      <c r="A126" t="s">
        <v>5172</v>
      </c>
      <c r="B126" t="s">
        <v>4627</v>
      </c>
      <c r="C126" t="s">
        <v>5047</v>
      </c>
      <c r="D126">
        <v>68.67</v>
      </c>
      <c r="E126">
        <v>53.562600000000003</v>
      </c>
      <c r="F126" t="s">
        <v>5048</v>
      </c>
    </row>
    <row r="127" spans="1:6" x14ac:dyDescent="0.25">
      <c r="A127" t="s">
        <v>5173</v>
      </c>
      <c r="B127" t="s">
        <v>4628</v>
      </c>
      <c r="C127" t="s">
        <v>5047</v>
      </c>
      <c r="D127">
        <v>224.62</v>
      </c>
      <c r="E127">
        <v>166.21879999999999</v>
      </c>
      <c r="F127" t="s">
        <v>5048</v>
      </c>
    </row>
    <row r="128" spans="1:6" x14ac:dyDescent="0.25">
      <c r="A128" t="s">
        <v>5174</v>
      </c>
      <c r="B128" t="s">
        <v>4629</v>
      </c>
      <c r="C128" t="s">
        <v>5047</v>
      </c>
      <c r="D128">
        <v>286.74</v>
      </c>
      <c r="E128">
        <v>203.58539999999999</v>
      </c>
      <c r="F128" t="s">
        <v>5048</v>
      </c>
    </row>
    <row r="129" spans="1:6" x14ac:dyDescent="0.25">
      <c r="A129" t="s">
        <v>5175</v>
      </c>
      <c r="B129" t="s">
        <v>4630</v>
      </c>
      <c r="C129" t="s">
        <v>5047</v>
      </c>
      <c r="D129">
        <v>421.93</v>
      </c>
      <c r="E129">
        <v>350.20189999999997</v>
      </c>
      <c r="F129" t="s">
        <v>5048</v>
      </c>
    </row>
    <row r="130" spans="1:6" x14ac:dyDescent="0.25">
      <c r="A130" t="s">
        <v>5176</v>
      </c>
      <c r="B130" t="s">
        <v>4631</v>
      </c>
      <c r="C130" t="s">
        <v>5047</v>
      </c>
      <c r="D130">
        <v>82.4</v>
      </c>
      <c r="E130">
        <v>68.391999999999996</v>
      </c>
      <c r="F130" t="s">
        <v>5048</v>
      </c>
    </row>
    <row r="131" spans="1:6" x14ac:dyDescent="0.25">
      <c r="A131" t="s">
        <v>5177</v>
      </c>
      <c r="B131" t="s">
        <v>4632</v>
      </c>
      <c r="C131" t="s">
        <v>5047</v>
      </c>
      <c r="D131">
        <v>479.87</v>
      </c>
      <c r="E131">
        <v>388.69470000000001</v>
      </c>
      <c r="F131" t="s">
        <v>5048</v>
      </c>
    </row>
    <row r="132" spans="1:6" x14ac:dyDescent="0.25">
      <c r="A132" t="s">
        <v>5178</v>
      </c>
      <c r="B132" t="s">
        <v>4633</v>
      </c>
      <c r="C132" t="s">
        <v>5047</v>
      </c>
      <c r="D132">
        <v>379.68</v>
      </c>
      <c r="E132">
        <v>337.91520000000003</v>
      </c>
      <c r="F132" t="s">
        <v>5048</v>
      </c>
    </row>
    <row r="133" spans="1:6" x14ac:dyDescent="0.25">
      <c r="A133" t="s">
        <v>5179</v>
      </c>
      <c r="B133" t="s">
        <v>4634</v>
      </c>
      <c r="C133" t="s">
        <v>5047</v>
      </c>
      <c r="D133">
        <v>493.37</v>
      </c>
      <c r="E133">
        <v>394.69600000000003</v>
      </c>
      <c r="F133" t="s">
        <v>5048</v>
      </c>
    </row>
    <row r="134" spans="1:6" x14ac:dyDescent="0.25">
      <c r="A134" t="s">
        <v>5180</v>
      </c>
      <c r="B134" t="s">
        <v>4635</v>
      </c>
      <c r="C134" t="s">
        <v>5047</v>
      </c>
      <c r="D134">
        <v>117.19</v>
      </c>
      <c r="E134">
        <v>103.1272</v>
      </c>
      <c r="F134" t="s">
        <v>5048</v>
      </c>
    </row>
    <row r="135" spans="1:6" x14ac:dyDescent="0.25">
      <c r="A135" t="s">
        <v>5181</v>
      </c>
      <c r="B135" t="s">
        <v>4636</v>
      </c>
      <c r="C135" t="s">
        <v>5047</v>
      </c>
      <c r="D135">
        <v>112.66</v>
      </c>
      <c r="E135">
        <v>83.368399999999994</v>
      </c>
      <c r="F135" t="s">
        <v>5048</v>
      </c>
    </row>
    <row r="136" spans="1:6" x14ac:dyDescent="0.25">
      <c r="A136" t="s">
        <v>5182</v>
      </c>
      <c r="B136" t="s">
        <v>4637</v>
      </c>
      <c r="C136" t="s">
        <v>5047</v>
      </c>
      <c r="D136">
        <v>451.04</v>
      </c>
      <c r="E136">
        <v>369.8528</v>
      </c>
      <c r="F136" t="s">
        <v>5048</v>
      </c>
    </row>
    <row r="137" spans="1:6" x14ac:dyDescent="0.25">
      <c r="A137" t="s">
        <v>5183</v>
      </c>
      <c r="B137" t="s">
        <v>4639</v>
      </c>
      <c r="C137" t="s">
        <v>5047</v>
      </c>
      <c r="D137">
        <v>363.31</v>
      </c>
      <c r="E137">
        <v>287.01490000000001</v>
      </c>
      <c r="F137" t="s">
        <v>5048</v>
      </c>
    </row>
    <row r="138" spans="1:6" x14ac:dyDescent="0.25">
      <c r="A138" t="s">
        <v>5184</v>
      </c>
      <c r="B138" t="s">
        <v>4640</v>
      </c>
      <c r="C138" t="s">
        <v>5047</v>
      </c>
      <c r="D138">
        <v>276.64</v>
      </c>
      <c r="E138">
        <v>215.7792</v>
      </c>
      <c r="F138" t="s">
        <v>5048</v>
      </c>
    </row>
    <row r="139" spans="1:6" x14ac:dyDescent="0.25">
      <c r="A139" t="s">
        <v>5185</v>
      </c>
      <c r="B139" t="s">
        <v>4641</v>
      </c>
      <c r="C139" t="s">
        <v>5047</v>
      </c>
      <c r="D139">
        <v>93.14</v>
      </c>
      <c r="E139">
        <v>81.963200000000001</v>
      </c>
      <c r="F139" t="s">
        <v>5048</v>
      </c>
    </row>
    <row r="140" spans="1:6" x14ac:dyDescent="0.25">
      <c r="A140" t="s">
        <v>5186</v>
      </c>
      <c r="B140" t="s">
        <v>4642</v>
      </c>
      <c r="C140" t="s">
        <v>5047</v>
      </c>
      <c r="D140">
        <v>384.34</v>
      </c>
      <c r="E140">
        <v>311.31540000000001</v>
      </c>
      <c r="F140" t="s">
        <v>5048</v>
      </c>
    </row>
    <row r="141" spans="1:6" x14ac:dyDescent="0.25">
      <c r="A141" t="s">
        <v>5187</v>
      </c>
      <c r="B141" t="s">
        <v>4643</v>
      </c>
      <c r="C141" t="s">
        <v>5047</v>
      </c>
      <c r="D141">
        <v>371.52</v>
      </c>
      <c r="E141">
        <v>274.9248</v>
      </c>
      <c r="F141" t="s">
        <v>5048</v>
      </c>
    </row>
    <row r="142" spans="1:6" x14ac:dyDescent="0.25">
      <c r="A142" t="s">
        <v>5188</v>
      </c>
      <c r="B142" t="s">
        <v>4644</v>
      </c>
      <c r="C142" t="s">
        <v>5047</v>
      </c>
      <c r="D142">
        <v>423.81</v>
      </c>
      <c r="E142">
        <v>300.9051</v>
      </c>
      <c r="F142" t="s">
        <v>5048</v>
      </c>
    </row>
    <row r="143" spans="1:6" x14ac:dyDescent="0.25">
      <c r="A143" t="s">
        <v>5189</v>
      </c>
      <c r="B143" t="s">
        <v>4645</v>
      </c>
      <c r="C143" t="s">
        <v>5047</v>
      </c>
      <c r="D143">
        <v>124.92</v>
      </c>
      <c r="E143">
        <v>93.69</v>
      </c>
      <c r="F143" t="s">
        <v>5048</v>
      </c>
    </row>
    <row r="144" spans="1:6" x14ac:dyDescent="0.25">
      <c r="A144" t="s">
        <v>5190</v>
      </c>
      <c r="B144" t="s">
        <v>4646</v>
      </c>
      <c r="C144" t="s">
        <v>5047</v>
      </c>
      <c r="D144">
        <v>233.7</v>
      </c>
      <c r="E144">
        <v>182.286</v>
      </c>
      <c r="F144" t="s">
        <v>5048</v>
      </c>
    </row>
    <row r="145" spans="1:6" x14ac:dyDescent="0.25">
      <c r="A145" t="s">
        <v>5191</v>
      </c>
      <c r="B145" t="s">
        <v>4647</v>
      </c>
      <c r="C145" t="s">
        <v>5047</v>
      </c>
      <c r="D145">
        <v>58.54</v>
      </c>
      <c r="E145">
        <v>46.832000000000001</v>
      </c>
      <c r="F145" t="s">
        <v>5048</v>
      </c>
    </row>
    <row r="146" spans="1:6" x14ac:dyDescent="0.25">
      <c r="A146" t="s">
        <v>5192</v>
      </c>
      <c r="B146" t="s">
        <v>4650</v>
      </c>
      <c r="C146" t="s">
        <v>5047</v>
      </c>
      <c r="D146">
        <v>128.91999999999999</v>
      </c>
      <c r="E146">
        <v>105.71439999999998</v>
      </c>
      <c r="F146" t="s">
        <v>5048</v>
      </c>
    </row>
    <row r="147" spans="1:6" x14ac:dyDescent="0.25">
      <c r="A147" t="s">
        <v>5193</v>
      </c>
      <c r="B147" t="s">
        <v>4651</v>
      </c>
      <c r="C147" t="s">
        <v>5047</v>
      </c>
      <c r="D147">
        <v>496.51</v>
      </c>
      <c r="E147">
        <v>347.55699999999996</v>
      </c>
      <c r="F147" t="s">
        <v>5048</v>
      </c>
    </row>
    <row r="148" spans="1:6" x14ac:dyDescent="0.25">
      <c r="A148" t="s">
        <v>5194</v>
      </c>
      <c r="B148" t="s">
        <v>4652</v>
      </c>
      <c r="C148" t="s">
        <v>5047</v>
      </c>
      <c r="D148">
        <v>107.37</v>
      </c>
      <c r="E148">
        <v>95.559300000000007</v>
      </c>
      <c r="F148" t="s">
        <v>5048</v>
      </c>
    </row>
    <row r="149" spans="1:6" x14ac:dyDescent="0.25">
      <c r="A149" t="s">
        <v>5195</v>
      </c>
      <c r="B149" t="s">
        <v>4653</v>
      </c>
      <c r="C149" t="s">
        <v>5047</v>
      </c>
      <c r="D149">
        <v>198.77</v>
      </c>
      <c r="E149">
        <v>149.07750000000001</v>
      </c>
      <c r="F149" t="s">
        <v>5048</v>
      </c>
    </row>
    <row r="150" spans="1:6" x14ac:dyDescent="0.25">
      <c r="A150" t="s">
        <v>5196</v>
      </c>
      <c r="B150" t="s">
        <v>4654</v>
      </c>
      <c r="C150" t="s">
        <v>5047</v>
      </c>
      <c r="D150">
        <v>432.74</v>
      </c>
      <c r="E150">
        <v>385.1386</v>
      </c>
      <c r="F150" t="s">
        <v>5048</v>
      </c>
    </row>
    <row r="151" spans="1:6" x14ac:dyDescent="0.25">
      <c r="A151" t="s">
        <v>5197</v>
      </c>
      <c r="B151" t="s">
        <v>4655</v>
      </c>
      <c r="C151" t="s">
        <v>5047</v>
      </c>
      <c r="D151">
        <v>237.59</v>
      </c>
      <c r="E151">
        <v>213.83100000000002</v>
      </c>
      <c r="F151" t="s">
        <v>5048</v>
      </c>
    </row>
    <row r="152" spans="1:6" x14ac:dyDescent="0.25">
      <c r="A152" t="s">
        <v>5198</v>
      </c>
      <c r="B152" t="s">
        <v>4656</v>
      </c>
      <c r="C152" t="s">
        <v>5047</v>
      </c>
      <c r="D152">
        <v>286.08</v>
      </c>
      <c r="E152">
        <v>208.83839999999998</v>
      </c>
      <c r="F152" t="s">
        <v>5048</v>
      </c>
    </row>
    <row r="153" spans="1:6" x14ac:dyDescent="0.25">
      <c r="A153" t="s">
        <v>5199</v>
      </c>
      <c r="B153" t="s">
        <v>4657</v>
      </c>
      <c r="C153" t="s">
        <v>5047</v>
      </c>
      <c r="D153">
        <v>458.44</v>
      </c>
      <c r="E153">
        <v>385.08959999999996</v>
      </c>
      <c r="F153" t="s">
        <v>5048</v>
      </c>
    </row>
    <row r="154" spans="1:6" x14ac:dyDescent="0.25">
      <c r="A154" t="s">
        <v>5200</v>
      </c>
      <c r="B154" t="s">
        <v>4659</v>
      </c>
      <c r="C154" t="s">
        <v>5047</v>
      </c>
      <c r="D154">
        <v>199.95</v>
      </c>
      <c r="E154">
        <v>155.96099999999998</v>
      </c>
      <c r="F154" t="s">
        <v>5048</v>
      </c>
    </row>
    <row r="155" spans="1:6" x14ac:dyDescent="0.25">
      <c r="A155" t="s">
        <v>5201</v>
      </c>
      <c r="B155" t="s">
        <v>4660</v>
      </c>
      <c r="C155" t="s">
        <v>5047</v>
      </c>
      <c r="D155">
        <v>363.64</v>
      </c>
      <c r="E155">
        <v>316.36680000000001</v>
      </c>
      <c r="F155" t="s">
        <v>5048</v>
      </c>
    </row>
    <row r="156" spans="1:6" x14ac:dyDescent="0.25">
      <c r="A156" t="s">
        <v>5202</v>
      </c>
      <c r="B156" t="s">
        <v>4661</v>
      </c>
      <c r="C156" t="s">
        <v>5047</v>
      </c>
      <c r="D156">
        <v>170.02</v>
      </c>
      <c r="E156">
        <v>130.91540000000001</v>
      </c>
      <c r="F156" t="s">
        <v>5048</v>
      </c>
    </row>
    <row r="157" spans="1:6" x14ac:dyDescent="0.25">
      <c r="A157" t="s">
        <v>5203</v>
      </c>
      <c r="B157" t="s">
        <v>4662</v>
      </c>
      <c r="C157" t="s">
        <v>5047</v>
      </c>
      <c r="D157">
        <v>59.35</v>
      </c>
      <c r="E157">
        <v>43.325499999999998</v>
      </c>
      <c r="F157" t="s">
        <v>5048</v>
      </c>
    </row>
    <row r="158" spans="1:6" x14ac:dyDescent="0.25">
      <c r="A158" t="s">
        <v>5204</v>
      </c>
      <c r="B158" t="s">
        <v>4663</v>
      </c>
      <c r="C158" t="s">
        <v>5047</v>
      </c>
      <c r="D158">
        <v>413.44</v>
      </c>
      <c r="E158">
        <v>297.67680000000001</v>
      </c>
      <c r="F158" t="s">
        <v>5048</v>
      </c>
    </row>
    <row r="159" spans="1:6" x14ac:dyDescent="0.25">
      <c r="A159" t="s">
        <v>5205</v>
      </c>
      <c r="B159" t="s">
        <v>4664</v>
      </c>
      <c r="C159" t="s">
        <v>5047</v>
      </c>
      <c r="D159">
        <v>226.68</v>
      </c>
      <c r="E159">
        <v>174.5436</v>
      </c>
      <c r="F159" t="s">
        <v>5048</v>
      </c>
    </row>
    <row r="160" spans="1:6" x14ac:dyDescent="0.25">
      <c r="A160" t="s">
        <v>5206</v>
      </c>
      <c r="B160" t="s">
        <v>4666</v>
      </c>
      <c r="C160" t="s">
        <v>5047</v>
      </c>
      <c r="D160">
        <v>422.3</v>
      </c>
      <c r="E160">
        <v>308.279</v>
      </c>
      <c r="F160" t="s">
        <v>5048</v>
      </c>
    </row>
    <row r="161" spans="1:6" x14ac:dyDescent="0.25">
      <c r="A161" t="s">
        <v>5207</v>
      </c>
      <c r="B161" t="s">
        <v>4667</v>
      </c>
      <c r="C161" t="s">
        <v>5047</v>
      </c>
      <c r="D161">
        <v>416.87</v>
      </c>
      <c r="E161">
        <v>354.33949999999999</v>
      </c>
      <c r="F161" t="s">
        <v>5048</v>
      </c>
    </row>
    <row r="162" spans="1:6" x14ac:dyDescent="0.25">
      <c r="A162" t="s">
        <v>5208</v>
      </c>
      <c r="B162" t="s">
        <v>4668</v>
      </c>
      <c r="C162" t="s">
        <v>5047</v>
      </c>
      <c r="D162">
        <v>222.12</v>
      </c>
      <c r="E162">
        <v>197.68680000000001</v>
      </c>
      <c r="F162" t="s">
        <v>5048</v>
      </c>
    </row>
    <row r="163" spans="1:6" x14ac:dyDescent="0.25">
      <c r="A163" t="s">
        <v>5209</v>
      </c>
      <c r="B163" t="s">
        <v>4669</v>
      </c>
      <c r="C163" t="s">
        <v>5047</v>
      </c>
      <c r="D163">
        <v>289.74</v>
      </c>
      <c r="E163">
        <v>246.279</v>
      </c>
      <c r="F163" t="s">
        <v>5048</v>
      </c>
    </row>
    <row r="164" spans="1:6" x14ac:dyDescent="0.25">
      <c r="A164" t="s">
        <v>5210</v>
      </c>
      <c r="B164" t="s">
        <v>4670</v>
      </c>
      <c r="C164" t="s">
        <v>5047</v>
      </c>
      <c r="D164">
        <v>252.69</v>
      </c>
      <c r="E164">
        <v>186.9906</v>
      </c>
      <c r="F164" t="s">
        <v>5048</v>
      </c>
    </row>
    <row r="165" spans="1:6" x14ac:dyDescent="0.25">
      <c r="A165" t="s">
        <v>5211</v>
      </c>
      <c r="B165" t="s">
        <v>4671</v>
      </c>
      <c r="C165" t="s">
        <v>5047</v>
      </c>
      <c r="D165">
        <v>87.92</v>
      </c>
      <c r="E165">
        <v>74.731999999999999</v>
      </c>
      <c r="F165" t="s">
        <v>5048</v>
      </c>
    </row>
    <row r="166" spans="1:6" x14ac:dyDescent="0.25">
      <c r="A166" t="s">
        <v>5212</v>
      </c>
      <c r="B166" t="s">
        <v>4672</v>
      </c>
      <c r="C166" t="s">
        <v>5047</v>
      </c>
      <c r="D166">
        <v>105.88</v>
      </c>
      <c r="E166">
        <v>75.174799999999991</v>
      </c>
      <c r="F166" t="s">
        <v>5048</v>
      </c>
    </row>
    <row r="167" spans="1:6" x14ac:dyDescent="0.25">
      <c r="A167" t="s">
        <v>5213</v>
      </c>
      <c r="B167" t="s">
        <v>4673</v>
      </c>
      <c r="C167" t="s">
        <v>5047</v>
      </c>
      <c r="D167">
        <v>155.44999999999999</v>
      </c>
      <c r="E167">
        <v>132.13249999999999</v>
      </c>
      <c r="F167" t="s">
        <v>5048</v>
      </c>
    </row>
    <row r="168" spans="1:6" x14ac:dyDescent="0.25">
      <c r="A168" t="s">
        <v>5214</v>
      </c>
      <c r="B168" t="s">
        <v>4674</v>
      </c>
      <c r="C168" t="s">
        <v>5047</v>
      </c>
      <c r="D168">
        <v>50.46</v>
      </c>
      <c r="E168">
        <v>39.863400000000006</v>
      </c>
      <c r="F168" t="s">
        <v>5048</v>
      </c>
    </row>
    <row r="169" spans="1:6" x14ac:dyDescent="0.25">
      <c r="A169" t="s">
        <v>5215</v>
      </c>
      <c r="B169" t="s">
        <v>4676</v>
      </c>
      <c r="C169" t="s">
        <v>5047</v>
      </c>
      <c r="D169">
        <v>221.27</v>
      </c>
      <c r="E169">
        <v>181.44139999999999</v>
      </c>
      <c r="F169" t="s">
        <v>5048</v>
      </c>
    </row>
    <row r="170" spans="1:6" x14ac:dyDescent="0.25">
      <c r="A170" t="s">
        <v>5216</v>
      </c>
      <c r="B170" t="s">
        <v>4677</v>
      </c>
      <c r="C170" t="s">
        <v>5047</v>
      </c>
      <c r="D170">
        <v>96.4</v>
      </c>
      <c r="E170">
        <v>79.048000000000002</v>
      </c>
      <c r="F170" t="s">
        <v>5048</v>
      </c>
    </row>
    <row r="171" spans="1:6" x14ac:dyDescent="0.25">
      <c r="A171" t="s">
        <v>5217</v>
      </c>
      <c r="B171" t="s">
        <v>4678</v>
      </c>
      <c r="C171" t="s">
        <v>5047</v>
      </c>
      <c r="D171">
        <v>403.58</v>
      </c>
      <c r="E171">
        <v>347.0788</v>
      </c>
      <c r="F171" t="s">
        <v>5048</v>
      </c>
    </row>
    <row r="172" spans="1:6" x14ac:dyDescent="0.25">
      <c r="A172" t="s">
        <v>5218</v>
      </c>
      <c r="B172" t="s">
        <v>4679</v>
      </c>
      <c r="C172" t="s">
        <v>5047</v>
      </c>
      <c r="D172">
        <v>202.32</v>
      </c>
      <c r="E172">
        <v>176.01839999999999</v>
      </c>
      <c r="F172" t="s">
        <v>5048</v>
      </c>
    </row>
    <row r="173" spans="1:6" x14ac:dyDescent="0.25">
      <c r="A173" t="s">
        <v>5219</v>
      </c>
      <c r="B173" t="s">
        <v>4680</v>
      </c>
      <c r="C173" t="s">
        <v>5047</v>
      </c>
      <c r="D173">
        <v>385.25</v>
      </c>
      <c r="E173">
        <v>308.20000000000005</v>
      </c>
      <c r="F173" t="s">
        <v>5048</v>
      </c>
    </row>
    <row r="174" spans="1:6" x14ac:dyDescent="0.25">
      <c r="A174" t="s">
        <v>5220</v>
      </c>
      <c r="B174" t="s">
        <v>4681</v>
      </c>
      <c r="C174" t="s">
        <v>5047</v>
      </c>
      <c r="D174">
        <v>484.98</v>
      </c>
      <c r="E174">
        <v>358.8852</v>
      </c>
      <c r="F174" t="s">
        <v>5048</v>
      </c>
    </row>
    <row r="175" spans="1:6" x14ac:dyDescent="0.25">
      <c r="A175" t="s">
        <v>5221</v>
      </c>
      <c r="B175" t="s">
        <v>4682</v>
      </c>
      <c r="C175" t="s">
        <v>5047</v>
      </c>
      <c r="D175">
        <v>243.56</v>
      </c>
      <c r="E175">
        <v>194.84800000000001</v>
      </c>
      <c r="F175" t="s">
        <v>5048</v>
      </c>
    </row>
    <row r="176" spans="1:6" x14ac:dyDescent="0.25">
      <c r="A176" t="s">
        <v>5222</v>
      </c>
      <c r="B176" t="s">
        <v>4683</v>
      </c>
      <c r="C176" t="s">
        <v>5047</v>
      </c>
      <c r="D176">
        <v>263.32</v>
      </c>
      <c r="E176">
        <v>218.55559999999997</v>
      </c>
      <c r="F176" t="s">
        <v>5048</v>
      </c>
    </row>
    <row r="177" spans="1:6" x14ac:dyDescent="0.25">
      <c r="A177" t="s">
        <v>5223</v>
      </c>
      <c r="B177" t="s">
        <v>4684</v>
      </c>
      <c r="C177" t="s">
        <v>5047</v>
      </c>
      <c r="D177">
        <v>71.069999999999993</v>
      </c>
      <c r="E177">
        <v>55.434599999999996</v>
      </c>
      <c r="F177" t="s">
        <v>5048</v>
      </c>
    </row>
    <row r="178" spans="1:6" x14ac:dyDescent="0.25">
      <c r="A178" t="s">
        <v>5224</v>
      </c>
      <c r="B178" t="s">
        <v>4685</v>
      </c>
      <c r="C178" t="s">
        <v>5047</v>
      </c>
      <c r="D178">
        <v>377.73</v>
      </c>
      <c r="E178">
        <v>283.29750000000001</v>
      </c>
      <c r="F178" t="s">
        <v>5048</v>
      </c>
    </row>
    <row r="179" spans="1:6" x14ac:dyDescent="0.25">
      <c r="A179" t="s">
        <v>5225</v>
      </c>
      <c r="B179" t="s">
        <v>4686</v>
      </c>
      <c r="C179" t="s">
        <v>5047</v>
      </c>
      <c r="D179">
        <v>470.46</v>
      </c>
      <c r="E179">
        <v>376.36799999999999</v>
      </c>
      <c r="F179" t="s">
        <v>5048</v>
      </c>
    </row>
    <row r="180" spans="1:6" x14ac:dyDescent="0.25">
      <c r="A180" t="s">
        <v>5226</v>
      </c>
      <c r="B180" t="s">
        <v>4687</v>
      </c>
      <c r="C180" t="s">
        <v>5047</v>
      </c>
      <c r="D180">
        <v>340.44</v>
      </c>
      <c r="E180">
        <v>262.1388</v>
      </c>
      <c r="F180" t="s">
        <v>5048</v>
      </c>
    </row>
    <row r="181" spans="1:6" x14ac:dyDescent="0.25">
      <c r="A181" t="s">
        <v>5227</v>
      </c>
      <c r="B181" t="s">
        <v>4688</v>
      </c>
      <c r="C181" t="s">
        <v>5047</v>
      </c>
      <c r="D181">
        <v>91.68</v>
      </c>
      <c r="E181">
        <v>66.926400000000001</v>
      </c>
      <c r="F181" t="s">
        <v>5048</v>
      </c>
    </row>
    <row r="182" spans="1:6" x14ac:dyDescent="0.25">
      <c r="A182" t="s">
        <v>5228</v>
      </c>
      <c r="B182" t="s">
        <v>4689</v>
      </c>
      <c r="C182" t="s">
        <v>5047</v>
      </c>
      <c r="D182">
        <v>481.84</v>
      </c>
      <c r="E182">
        <v>404.74559999999997</v>
      </c>
      <c r="F182" t="s">
        <v>5048</v>
      </c>
    </row>
    <row r="183" spans="1:6" x14ac:dyDescent="0.25">
      <c r="A183" t="s">
        <v>5229</v>
      </c>
      <c r="B183" t="s">
        <v>4691</v>
      </c>
      <c r="C183" t="s">
        <v>5047</v>
      </c>
      <c r="D183">
        <v>71.97</v>
      </c>
      <c r="E183">
        <v>59.735099999999996</v>
      </c>
      <c r="F183" t="s">
        <v>5048</v>
      </c>
    </row>
    <row r="184" spans="1:6" x14ac:dyDescent="0.25">
      <c r="A184" t="s">
        <v>5230</v>
      </c>
      <c r="B184" t="s">
        <v>4692</v>
      </c>
      <c r="C184" t="s">
        <v>5047</v>
      </c>
      <c r="D184">
        <v>126.35</v>
      </c>
      <c r="E184">
        <v>108.66099999999999</v>
      </c>
      <c r="F184" t="s">
        <v>5048</v>
      </c>
    </row>
    <row r="185" spans="1:6" x14ac:dyDescent="0.25">
      <c r="A185" t="s">
        <v>5231</v>
      </c>
      <c r="B185" t="s">
        <v>4694</v>
      </c>
      <c r="C185" t="s">
        <v>5047</v>
      </c>
      <c r="D185">
        <v>494.34</v>
      </c>
      <c r="E185">
        <v>365.8116</v>
      </c>
      <c r="F185" t="s">
        <v>5048</v>
      </c>
    </row>
    <row r="186" spans="1:6" x14ac:dyDescent="0.25">
      <c r="A186" t="s">
        <v>5232</v>
      </c>
      <c r="B186" t="s">
        <v>4695</v>
      </c>
      <c r="C186" t="s">
        <v>5047</v>
      </c>
      <c r="D186">
        <v>114.86</v>
      </c>
      <c r="E186">
        <v>97.631</v>
      </c>
      <c r="F186" t="s">
        <v>5048</v>
      </c>
    </row>
    <row r="187" spans="1:6" x14ac:dyDescent="0.25">
      <c r="A187" t="s">
        <v>5233</v>
      </c>
      <c r="B187" t="s">
        <v>4696</v>
      </c>
      <c r="C187" t="s">
        <v>5047</v>
      </c>
      <c r="D187">
        <v>97.34</v>
      </c>
      <c r="E187">
        <v>73.978400000000008</v>
      </c>
      <c r="F187" t="s">
        <v>5048</v>
      </c>
    </row>
    <row r="188" spans="1:6" x14ac:dyDescent="0.25">
      <c r="A188" t="s">
        <v>5234</v>
      </c>
      <c r="B188" t="s">
        <v>4697</v>
      </c>
      <c r="C188" t="s">
        <v>5047</v>
      </c>
      <c r="D188">
        <v>373.48</v>
      </c>
      <c r="E188">
        <v>309.98840000000001</v>
      </c>
      <c r="F188" t="s">
        <v>5048</v>
      </c>
    </row>
    <row r="189" spans="1:6" x14ac:dyDescent="0.25">
      <c r="A189" t="s">
        <v>5235</v>
      </c>
      <c r="B189" t="s">
        <v>4698</v>
      </c>
      <c r="C189" t="s">
        <v>5047</v>
      </c>
      <c r="D189">
        <v>173.52</v>
      </c>
      <c r="E189">
        <v>138.816</v>
      </c>
      <c r="F189" t="s">
        <v>5048</v>
      </c>
    </row>
    <row r="190" spans="1:6" x14ac:dyDescent="0.25">
      <c r="A190" t="s">
        <v>5236</v>
      </c>
      <c r="B190" t="s">
        <v>4699</v>
      </c>
      <c r="C190" t="s">
        <v>5047</v>
      </c>
      <c r="D190">
        <v>105.14</v>
      </c>
      <c r="E190">
        <v>89.369</v>
      </c>
      <c r="F190" t="s">
        <v>5048</v>
      </c>
    </row>
    <row r="191" spans="1:6" x14ac:dyDescent="0.25">
      <c r="A191" t="s">
        <v>5237</v>
      </c>
      <c r="B191" t="s">
        <v>4700</v>
      </c>
      <c r="C191" t="s">
        <v>5047</v>
      </c>
      <c r="D191">
        <v>447.97</v>
      </c>
      <c r="E191">
        <v>398.69330000000002</v>
      </c>
      <c r="F191" t="s">
        <v>5048</v>
      </c>
    </row>
    <row r="192" spans="1:6" x14ac:dyDescent="0.25">
      <c r="A192" t="s">
        <v>5238</v>
      </c>
      <c r="B192" t="s">
        <v>4701</v>
      </c>
      <c r="C192" t="s">
        <v>5047</v>
      </c>
      <c r="D192">
        <v>321.63</v>
      </c>
      <c r="E192">
        <v>257.30400000000003</v>
      </c>
      <c r="F192" t="s">
        <v>5048</v>
      </c>
    </row>
    <row r="193" spans="1:6" x14ac:dyDescent="0.25">
      <c r="A193" t="s">
        <v>5239</v>
      </c>
      <c r="B193" t="s">
        <v>4702</v>
      </c>
      <c r="C193" t="s">
        <v>5047</v>
      </c>
      <c r="D193">
        <v>54.23</v>
      </c>
      <c r="E193">
        <v>43.926299999999998</v>
      </c>
      <c r="F193" t="s">
        <v>5048</v>
      </c>
    </row>
    <row r="194" spans="1:6" x14ac:dyDescent="0.25">
      <c r="A194" t="s">
        <v>5240</v>
      </c>
      <c r="B194" t="s">
        <v>4703</v>
      </c>
      <c r="C194" t="s">
        <v>5047</v>
      </c>
      <c r="D194">
        <v>426.02</v>
      </c>
      <c r="E194">
        <v>340.81600000000003</v>
      </c>
      <c r="F194" t="s">
        <v>5048</v>
      </c>
    </row>
    <row r="195" spans="1:6" x14ac:dyDescent="0.25">
      <c r="A195" t="s">
        <v>5241</v>
      </c>
      <c r="B195" t="s">
        <v>4704</v>
      </c>
      <c r="C195" t="s">
        <v>5047</v>
      </c>
      <c r="D195">
        <v>304.01</v>
      </c>
      <c r="E195">
        <v>224.9674</v>
      </c>
      <c r="F195" t="s">
        <v>5048</v>
      </c>
    </row>
    <row r="196" spans="1:6" x14ac:dyDescent="0.25">
      <c r="A196" t="s">
        <v>5242</v>
      </c>
      <c r="B196" t="s">
        <v>4705</v>
      </c>
      <c r="C196" t="s">
        <v>5047</v>
      </c>
      <c r="D196">
        <v>265.76</v>
      </c>
      <c r="E196">
        <v>215.26560000000001</v>
      </c>
      <c r="F196" t="s">
        <v>5048</v>
      </c>
    </row>
    <row r="197" spans="1:6" x14ac:dyDescent="0.25">
      <c r="A197" t="s">
        <v>5243</v>
      </c>
      <c r="B197" t="s">
        <v>4706</v>
      </c>
      <c r="C197" t="s">
        <v>5047</v>
      </c>
      <c r="D197">
        <v>357.07</v>
      </c>
      <c r="E197">
        <v>310.65089999999998</v>
      </c>
      <c r="F197" t="s">
        <v>5048</v>
      </c>
    </row>
    <row r="198" spans="1:6" x14ac:dyDescent="0.25">
      <c r="A198" t="s">
        <v>5244</v>
      </c>
      <c r="B198" t="s">
        <v>4707</v>
      </c>
      <c r="C198" t="s">
        <v>5047</v>
      </c>
      <c r="D198">
        <v>50.6</v>
      </c>
      <c r="E198">
        <v>38.456000000000003</v>
      </c>
      <c r="F198" t="s">
        <v>5048</v>
      </c>
    </row>
    <row r="199" spans="1:6" x14ac:dyDescent="0.25">
      <c r="A199" t="s">
        <v>5245</v>
      </c>
      <c r="B199" t="s">
        <v>4708</v>
      </c>
      <c r="C199" t="s">
        <v>5047</v>
      </c>
      <c r="D199">
        <v>437.71</v>
      </c>
      <c r="E199">
        <v>350.16800000000001</v>
      </c>
      <c r="F199" t="s">
        <v>5048</v>
      </c>
    </row>
    <row r="200" spans="1:6" x14ac:dyDescent="0.25">
      <c r="A200" t="s">
        <v>5246</v>
      </c>
      <c r="B200" t="s">
        <v>4709</v>
      </c>
      <c r="C200" t="s">
        <v>5047</v>
      </c>
      <c r="D200">
        <v>331.61</v>
      </c>
      <c r="E200">
        <v>295.13290000000001</v>
      </c>
      <c r="F200" t="s">
        <v>5048</v>
      </c>
    </row>
    <row r="201" spans="1:6" x14ac:dyDescent="0.25">
      <c r="A201" t="s">
        <v>5247</v>
      </c>
      <c r="B201" t="s">
        <v>4712</v>
      </c>
      <c r="C201" t="s">
        <v>5047</v>
      </c>
      <c r="D201">
        <v>314.98</v>
      </c>
      <c r="E201">
        <v>236.23500000000001</v>
      </c>
      <c r="F201" t="s">
        <v>5048</v>
      </c>
    </row>
    <row r="202" spans="1:6" x14ac:dyDescent="0.25">
      <c r="A202" t="s">
        <v>5248</v>
      </c>
      <c r="B202" t="s">
        <v>4713</v>
      </c>
      <c r="C202" t="s">
        <v>5047</v>
      </c>
      <c r="D202">
        <v>281.08999999999997</v>
      </c>
      <c r="E202">
        <v>233.30469999999997</v>
      </c>
      <c r="F202" t="s">
        <v>5048</v>
      </c>
    </row>
    <row r="203" spans="1:6" x14ac:dyDescent="0.25">
      <c r="A203" t="s">
        <v>5249</v>
      </c>
      <c r="B203" t="s">
        <v>4714</v>
      </c>
      <c r="C203" t="s">
        <v>5047</v>
      </c>
      <c r="D203">
        <v>327.12</v>
      </c>
      <c r="E203">
        <v>242.06880000000001</v>
      </c>
      <c r="F203" t="s">
        <v>5048</v>
      </c>
    </row>
    <row r="204" spans="1:6" x14ac:dyDescent="0.25">
      <c r="A204" t="s">
        <v>5250</v>
      </c>
      <c r="B204" t="s">
        <v>4715</v>
      </c>
      <c r="C204" t="s">
        <v>5047</v>
      </c>
      <c r="D204">
        <v>475.61</v>
      </c>
      <c r="E204">
        <v>404.26850000000002</v>
      </c>
      <c r="F204" t="s">
        <v>5048</v>
      </c>
    </row>
    <row r="205" spans="1:6" x14ac:dyDescent="0.25">
      <c r="A205" t="s">
        <v>5251</v>
      </c>
      <c r="B205" t="s">
        <v>4716</v>
      </c>
      <c r="C205" t="s">
        <v>5047</v>
      </c>
      <c r="D205">
        <v>210.03</v>
      </c>
      <c r="E205">
        <v>176.42519999999999</v>
      </c>
      <c r="F205" t="s">
        <v>5048</v>
      </c>
    </row>
    <row r="206" spans="1:6" x14ac:dyDescent="0.25">
      <c r="A206" t="s">
        <v>5252</v>
      </c>
      <c r="B206" t="s">
        <v>4717</v>
      </c>
      <c r="C206" t="s">
        <v>5047</v>
      </c>
      <c r="D206">
        <v>258</v>
      </c>
      <c r="E206">
        <v>221.88</v>
      </c>
      <c r="F206" t="s">
        <v>5048</v>
      </c>
    </row>
    <row r="207" spans="1:6" x14ac:dyDescent="0.25">
      <c r="A207" t="s">
        <v>5253</v>
      </c>
      <c r="B207" t="s">
        <v>4718</v>
      </c>
      <c r="C207" t="s">
        <v>5047</v>
      </c>
      <c r="D207">
        <v>180.85</v>
      </c>
      <c r="E207">
        <v>142.8715</v>
      </c>
      <c r="F207" t="s">
        <v>5048</v>
      </c>
    </row>
    <row r="208" spans="1:6" x14ac:dyDescent="0.25">
      <c r="A208" t="s">
        <v>5254</v>
      </c>
      <c r="B208" t="s">
        <v>4719</v>
      </c>
      <c r="C208" t="s">
        <v>5047</v>
      </c>
      <c r="D208">
        <v>286.76</v>
      </c>
      <c r="E208">
        <v>215.07</v>
      </c>
      <c r="F208" t="s">
        <v>5048</v>
      </c>
    </row>
    <row r="209" spans="1:6" x14ac:dyDescent="0.25">
      <c r="A209" t="s">
        <v>5255</v>
      </c>
      <c r="B209" t="s">
        <v>4720</v>
      </c>
      <c r="C209" t="s">
        <v>5047</v>
      </c>
      <c r="D209">
        <v>384.55</v>
      </c>
      <c r="E209">
        <v>303.79450000000003</v>
      </c>
      <c r="F209" t="s">
        <v>5048</v>
      </c>
    </row>
    <row r="210" spans="1:6" x14ac:dyDescent="0.25">
      <c r="A210" t="s">
        <v>5256</v>
      </c>
      <c r="B210" t="s">
        <v>4721</v>
      </c>
      <c r="C210" t="s">
        <v>5047</v>
      </c>
      <c r="D210">
        <v>273.08</v>
      </c>
      <c r="E210">
        <v>204.81</v>
      </c>
      <c r="F210" t="s">
        <v>5048</v>
      </c>
    </row>
    <row r="211" spans="1:6" x14ac:dyDescent="0.25">
      <c r="A211" t="s">
        <v>5257</v>
      </c>
      <c r="B211" t="s">
        <v>4722</v>
      </c>
      <c r="C211" t="s">
        <v>5047</v>
      </c>
      <c r="D211">
        <v>51.34</v>
      </c>
      <c r="E211">
        <v>41.585400000000007</v>
      </c>
      <c r="F211" t="s">
        <v>5048</v>
      </c>
    </row>
    <row r="212" spans="1:6" x14ac:dyDescent="0.25">
      <c r="A212" t="s">
        <v>5258</v>
      </c>
      <c r="B212" t="s">
        <v>4723</v>
      </c>
      <c r="C212" t="s">
        <v>5047</v>
      </c>
      <c r="D212">
        <v>230.93</v>
      </c>
      <c r="E212">
        <v>168.5789</v>
      </c>
      <c r="F212" t="s">
        <v>5048</v>
      </c>
    </row>
    <row r="213" spans="1:6" x14ac:dyDescent="0.25">
      <c r="A213" t="s">
        <v>5259</v>
      </c>
      <c r="B213" t="s">
        <v>4726</v>
      </c>
      <c r="C213" t="s">
        <v>5047</v>
      </c>
      <c r="D213">
        <v>487.23</v>
      </c>
      <c r="E213">
        <v>399.52859999999998</v>
      </c>
      <c r="F213" t="s">
        <v>5048</v>
      </c>
    </row>
    <row r="214" spans="1:6" x14ac:dyDescent="0.25">
      <c r="A214" t="s">
        <v>5260</v>
      </c>
      <c r="B214" t="s">
        <v>4727</v>
      </c>
      <c r="C214" t="s">
        <v>5047</v>
      </c>
      <c r="D214">
        <v>170.58</v>
      </c>
      <c r="E214">
        <v>144.99299999999999</v>
      </c>
      <c r="F214" t="s">
        <v>5048</v>
      </c>
    </row>
    <row r="215" spans="1:6" x14ac:dyDescent="0.25">
      <c r="A215" t="s">
        <v>5261</v>
      </c>
      <c r="B215" t="s">
        <v>4728</v>
      </c>
      <c r="C215" t="s">
        <v>5047</v>
      </c>
      <c r="D215">
        <v>284.2</v>
      </c>
      <c r="E215">
        <v>255.78</v>
      </c>
      <c r="F215" t="s">
        <v>5048</v>
      </c>
    </row>
    <row r="216" spans="1:6" x14ac:dyDescent="0.25">
      <c r="A216" t="s">
        <v>5262</v>
      </c>
      <c r="B216" t="s">
        <v>4729</v>
      </c>
      <c r="C216" t="s">
        <v>5047</v>
      </c>
      <c r="D216">
        <v>439.2</v>
      </c>
      <c r="E216">
        <v>364.536</v>
      </c>
      <c r="F216" t="s">
        <v>5048</v>
      </c>
    </row>
    <row r="217" spans="1:6" x14ac:dyDescent="0.25">
      <c r="A217" t="s">
        <v>5263</v>
      </c>
      <c r="B217" t="s">
        <v>4730</v>
      </c>
      <c r="C217" t="s">
        <v>5047</v>
      </c>
      <c r="D217">
        <v>413.65</v>
      </c>
      <c r="E217">
        <v>339.19299999999998</v>
      </c>
      <c r="F217" t="s">
        <v>5048</v>
      </c>
    </row>
    <row r="218" spans="1:6" x14ac:dyDescent="0.25">
      <c r="A218" t="s">
        <v>5264</v>
      </c>
      <c r="B218" t="s">
        <v>4732</v>
      </c>
      <c r="C218" t="s">
        <v>5047</v>
      </c>
      <c r="D218">
        <v>329.68</v>
      </c>
      <c r="E218">
        <v>250.55680000000001</v>
      </c>
      <c r="F218" t="s">
        <v>5048</v>
      </c>
    </row>
    <row r="219" spans="1:6" x14ac:dyDescent="0.25">
      <c r="A219" t="s">
        <v>5265</v>
      </c>
      <c r="B219" t="s">
        <v>4733</v>
      </c>
      <c r="C219" t="s">
        <v>5047</v>
      </c>
      <c r="D219">
        <v>306.89999999999998</v>
      </c>
      <c r="E219">
        <v>224.03699999999998</v>
      </c>
      <c r="F219" t="s">
        <v>5048</v>
      </c>
    </row>
    <row r="220" spans="1:6" x14ac:dyDescent="0.25">
      <c r="A220" t="s">
        <v>5266</v>
      </c>
      <c r="B220" t="s">
        <v>4734</v>
      </c>
      <c r="C220" t="s">
        <v>5047</v>
      </c>
      <c r="D220">
        <v>105.27</v>
      </c>
      <c r="E220">
        <v>82.110600000000005</v>
      </c>
      <c r="F220" t="s">
        <v>5048</v>
      </c>
    </row>
    <row r="221" spans="1:6" x14ac:dyDescent="0.25">
      <c r="A221" t="s">
        <v>5267</v>
      </c>
      <c r="B221" t="s">
        <v>4735</v>
      </c>
      <c r="C221" t="s">
        <v>5047</v>
      </c>
      <c r="D221">
        <v>470.85</v>
      </c>
      <c r="E221">
        <v>367.26300000000003</v>
      </c>
      <c r="F221" t="s">
        <v>5048</v>
      </c>
    </row>
    <row r="222" spans="1:6" x14ac:dyDescent="0.25">
      <c r="A222" t="s">
        <v>5268</v>
      </c>
      <c r="B222" t="s">
        <v>4737</v>
      </c>
      <c r="C222" t="s">
        <v>5047</v>
      </c>
      <c r="D222">
        <v>395.03</v>
      </c>
      <c r="E222">
        <v>284.42159999999996</v>
      </c>
      <c r="F222" t="s">
        <v>5048</v>
      </c>
    </row>
    <row r="223" spans="1:6" x14ac:dyDescent="0.25">
      <c r="A223" t="s">
        <v>5269</v>
      </c>
      <c r="B223" t="s">
        <v>4738</v>
      </c>
      <c r="C223" t="s">
        <v>5047</v>
      </c>
      <c r="D223">
        <v>93.02</v>
      </c>
      <c r="E223">
        <v>80.927399999999992</v>
      </c>
      <c r="F223" t="s">
        <v>5048</v>
      </c>
    </row>
    <row r="224" spans="1:6" x14ac:dyDescent="0.25">
      <c r="A224" t="s">
        <v>5270</v>
      </c>
      <c r="B224" t="s">
        <v>4741</v>
      </c>
      <c r="C224" t="s">
        <v>5047</v>
      </c>
      <c r="D224">
        <v>415.4</v>
      </c>
      <c r="E224">
        <v>299.08799999999997</v>
      </c>
      <c r="F224" t="s">
        <v>5048</v>
      </c>
    </row>
    <row r="225" spans="1:6" x14ac:dyDescent="0.25">
      <c r="A225" t="s">
        <v>5271</v>
      </c>
      <c r="B225" t="s">
        <v>4742</v>
      </c>
      <c r="C225" t="s">
        <v>5047</v>
      </c>
      <c r="D225">
        <v>298.52</v>
      </c>
      <c r="E225">
        <v>253.74199999999999</v>
      </c>
      <c r="F225" t="s">
        <v>5048</v>
      </c>
    </row>
    <row r="226" spans="1:6" x14ac:dyDescent="0.25">
      <c r="A226" t="s">
        <v>5272</v>
      </c>
      <c r="B226" t="s">
        <v>4743</v>
      </c>
      <c r="C226" t="s">
        <v>5047</v>
      </c>
      <c r="D226">
        <v>472.39</v>
      </c>
      <c r="E226">
        <v>359.01639999999998</v>
      </c>
      <c r="F226" t="s">
        <v>5048</v>
      </c>
    </row>
    <row r="227" spans="1:6" x14ac:dyDescent="0.25">
      <c r="A227" t="s">
        <v>5273</v>
      </c>
      <c r="B227" t="s">
        <v>4744</v>
      </c>
      <c r="C227" t="s">
        <v>5047</v>
      </c>
      <c r="D227">
        <v>380.64</v>
      </c>
      <c r="E227">
        <v>338.76959999999997</v>
      </c>
      <c r="F227" t="s">
        <v>5048</v>
      </c>
    </row>
    <row r="228" spans="1:6" x14ac:dyDescent="0.25">
      <c r="A228" t="s">
        <v>5274</v>
      </c>
      <c r="B228" t="s">
        <v>4745</v>
      </c>
      <c r="C228" t="s">
        <v>5047</v>
      </c>
      <c r="D228">
        <v>135.31</v>
      </c>
      <c r="E228">
        <v>106.89490000000001</v>
      </c>
      <c r="F228" t="s">
        <v>5048</v>
      </c>
    </row>
    <row r="229" spans="1:6" x14ac:dyDescent="0.25">
      <c r="A229" t="s">
        <v>5275</v>
      </c>
      <c r="B229" t="s">
        <v>4746</v>
      </c>
      <c r="C229" t="s">
        <v>5047</v>
      </c>
      <c r="D229">
        <v>209.22</v>
      </c>
      <c r="E229">
        <v>159.00720000000001</v>
      </c>
      <c r="F229" t="s">
        <v>5048</v>
      </c>
    </row>
    <row r="230" spans="1:6" x14ac:dyDescent="0.25">
      <c r="A230" t="s">
        <v>5276</v>
      </c>
      <c r="B230" t="s">
        <v>4747</v>
      </c>
      <c r="C230" t="s">
        <v>5047</v>
      </c>
      <c r="D230">
        <v>181.06</v>
      </c>
      <c r="E230">
        <v>143.03740000000002</v>
      </c>
      <c r="F230" t="s">
        <v>5048</v>
      </c>
    </row>
    <row r="231" spans="1:6" x14ac:dyDescent="0.25">
      <c r="A231" t="s">
        <v>5277</v>
      </c>
      <c r="B231" t="s">
        <v>4749</v>
      </c>
      <c r="C231" t="s">
        <v>5047</v>
      </c>
      <c r="D231">
        <v>267.85000000000002</v>
      </c>
      <c r="E231">
        <v>233.02950000000001</v>
      </c>
      <c r="F231" t="s">
        <v>5048</v>
      </c>
    </row>
    <row r="232" spans="1:6" x14ac:dyDescent="0.25">
      <c r="A232" t="s">
        <v>5278</v>
      </c>
      <c r="B232" t="s">
        <v>4750</v>
      </c>
      <c r="C232" t="s">
        <v>5047</v>
      </c>
      <c r="D232">
        <v>327.36</v>
      </c>
      <c r="E232">
        <v>284.8032</v>
      </c>
      <c r="F232" t="s">
        <v>5048</v>
      </c>
    </row>
    <row r="233" spans="1:6" x14ac:dyDescent="0.25">
      <c r="A233" t="s">
        <v>5279</v>
      </c>
      <c r="B233" t="s">
        <v>4751</v>
      </c>
      <c r="C233" t="s">
        <v>5047</v>
      </c>
      <c r="D233">
        <v>223.32</v>
      </c>
      <c r="E233">
        <v>187.58879999999999</v>
      </c>
      <c r="F233" t="s">
        <v>5048</v>
      </c>
    </row>
    <row r="234" spans="1:6" x14ac:dyDescent="0.25">
      <c r="A234" t="s">
        <v>5280</v>
      </c>
      <c r="B234" t="s">
        <v>4752</v>
      </c>
      <c r="C234" t="s">
        <v>5047</v>
      </c>
      <c r="D234">
        <v>343.26</v>
      </c>
      <c r="E234">
        <v>260.87759999999997</v>
      </c>
      <c r="F234" t="s">
        <v>5048</v>
      </c>
    </row>
    <row r="235" spans="1:6" x14ac:dyDescent="0.25">
      <c r="A235" t="s">
        <v>5281</v>
      </c>
      <c r="B235" t="s">
        <v>4753</v>
      </c>
      <c r="C235" t="s">
        <v>5047</v>
      </c>
      <c r="D235">
        <v>89.51</v>
      </c>
      <c r="E235">
        <v>67.132500000000007</v>
      </c>
      <c r="F235" t="s">
        <v>5048</v>
      </c>
    </row>
    <row r="236" spans="1:6" x14ac:dyDescent="0.25">
      <c r="A236" t="s">
        <v>5282</v>
      </c>
      <c r="B236" t="s">
        <v>4755</v>
      </c>
      <c r="C236" t="s">
        <v>5047</v>
      </c>
      <c r="D236">
        <v>197.4</v>
      </c>
      <c r="E236">
        <v>144.102</v>
      </c>
      <c r="F236" t="s">
        <v>5048</v>
      </c>
    </row>
    <row r="237" spans="1:6" x14ac:dyDescent="0.25">
      <c r="A237" t="s">
        <v>5283</v>
      </c>
      <c r="B237" t="s">
        <v>4756</v>
      </c>
      <c r="C237" t="s">
        <v>5047</v>
      </c>
      <c r="D237">
        <v>150.13999999999999</v>
      </c>
      <c r="E237">
        <v>108.10079999999999</v>
      </c>
      <c r="F237" t="s">
        <v>5048</v>
      </c>
    </row>
    <row r="238" spans="1:6" x14ac:dyDescent="0.25">
      <c r="A238" t="s">
        <v>5284</v>
      </c>
      <c r="B238" t="s">
        <v>4757</v>
      </c>
      <c r="C238" t="s">
        <v>5047</v>
      </c>
      <c r="D238">
        <v>440.43</v>
      </c>
      <c r="E238">
        <v>317.1096</v>
      </c>
      <c r="F238" t="s">
        <v>5048</v>
      </c>
    </row>
    <row r="239" spans="1:6" x14ac:dyDescent="0.25">
      <c r="A239" t="s">
        <v>5285</v>
      </c>
      <c r="B239" t="s">
        <v>4759</v>
      </c>
      <c r="C239" t="s">
        <v>5047</v>
      </c>
      <c r="D239">
        <v>349.57</v>
      </c>
      <c r="E239">
        <v>311.1173</v>
      </c>
      <c r="F239" t="s">
        <v>5048</v>
      </c>
    </row>
    <row r="240" spans="1:6" x14ac:dyDescent="0.25">
      <c r="A240" t="s">
        <v>5286</v>
      </c>
      <c r="B240" t="s">
        <v>4760</v>
      </c>
      <c r="C240" t="s">
        <v>5047</v>
      </c>
      <c r="D240">
        <v>67.98</v>
      </c>
      <c r="E240">
        <v>49.625399999999999</v>
      </c>
      <c r="F240" t="s">
        <v>5048</v>
      </c>
    </row>
    <row r="241" spans="1:6" x14ac:dyDescent="0.25">
      <c r="A241" t="s">
        <v>5287</v>
      </c>
      <c r="B241" t="s">
        <v>4762</v>
      </c>
      <c r="C241" t="s">
        <v>5047</v>
      </c>
      <c r="D241">
        <v>179.7</v>
      </c>
      <c r="E241">
        <v>129.38399999999999</v>
      </c>
      <c r="F241" t="s">
        <v>5048</v>
      </c>
    </row>
    <row r="242" spans="1:6" x14ac:dyDescent="0.25">
      <c r="A242" t="s">
        <v>5288</v>
      </c>
      <c r="B242" t="s">
        <v>4763</v>
      </c>
      <c r="C242" t="s">
        <v>5047</v>
      </c>
      <c r="D242">
        <v>353.27</v>
      </c>
      <c r="E242">
        <v>300.27949999999998</v>
      </c>
      <c r="F242" t="s">
        <v>5048</v>
      </c>
    </row>
    <row r="243" spans="1:6" x14ac:dyDescent="0.25">
      <c r="A243" t="s">
        <v>5289</v>
      </c>
      <c r="B243" t="s">
        <v>4764</v>
      </c>
      <c r="C243" t="s">
        <v>5047</v>
      </c>
      <c r="D243">
        <v>208.51</v>
      </c>
      <c r="E243">
        <v>177.23349999999999</v>
      </c>
      <c r="F243" t="s">
        <v>5048</v>
      </c>
    </row>
    <row r="244" spans="1:6" x14ac:dyDescent="0.25">
      <c r="A244" t="s">
        <v>5290</v>
      </c>
      <c r="B244" t="s">
        <v>4765</v>
      </c>
      <c r="C244" t="s">
        <v>5047</v>
      </c>
      <c r="D244">
        <v>155.06</v>
      </c>
      <c r="E244">
        <v>131.80099999999999</v>
      </c>
      <c r="F244" t="s">
        <v>5048</v>
      </c>
    </row>
    <row r="245" spans="1:6" x14ac:dyDescent="0.25">
      <c r="A245" t="s">
        <v>5291</v>
      </c>
      <c r="B245" t="s">
        <v>4766</v>
      </c>
      <c r="C245" t="s">
        <v>5047</v>
      </c>
      <c r="D245">
        <v>403.82</v>
      </c>
      <c r="E245">
        <v>331.13239999999996</v>
      </c>
      <c r="F245" t="s">
        <v>5048</v>
      </c>
    </row>
    <row r="246" spans="1:6" x14ac:dyDescent="0.25">
      <c r="A246" t="s">
        <v>5292</v>
      </c>
      <c r="B246" t="s">
        <v>4767</v>
      </c>
      <c r="C246" t="s">
        <v>5047</v>
      </c>
      <c r="D246">
        <v>341.44</v>
      </c>
      <c r="E246">
        <v>286.80959999999999</v>
      </c>
      <c r="F246" t="s">
        <v>5048</v>
      </c>
    </row>
    <row r="247" spans="1:6" x14ac:dyDescent="0.25">
      <c r="A247" t="s">
        <v>5293</v>
      </c>
      <c r="B247" t="s">
        <v>4768</v>
      </c>
      <c r="C247" t="s">
        <v>5047</v>
      </c>
      <c r="D247">
        <v>358.43</v>
      </c>
      <c r="E247">
        <v>286.74400000000003</v>
      </c>
      <c r="F247" t="s">
        <v>5048</v>
      </c>
    </row>
    <row r="248" spans="1:6" x14ac:dyDescent="0.25">
      <c r="A248" t="s">
        <v>5294</v>
      </c>
      <c r="B248" t="s">
        <v>4769</v>
      </c>
      <c r="C248" t="s">
        <v>5047</v>
      </c>
      <c r="D248">
        <v>114.38</v>
      </c>
      <c r="E248">
        <v>89.216399999999993</v>
      </c>
      <c r="F248" t="s">
        <v>5048</v>
      </c>
    </row>
    <row r="249" spans="1:6" x14ac:dyDescent="0.25">
      <c r="A249" t="s">
        <v>5295</v>
      </c>
      <c r="B249" t="s">
        <v>4770</v>
      </c>
      <c r="C249" t="s">
        <v>5047</v>
      </c>
      <c r="D249">
        <v>460.07</v>
      </c>
      <c r="E249">
        <v>354.25389999999999</v>
      </c>
      <c r="F249" t="s">
        <v>5048</v>
      </c>
    </row>
    <row r="250" spans="1:6" x14ac:dyDescent="0.25">
      <c r="A250" t="s">
        <v>5296</v>
      </c>
      <c r="B250" t="s">
        <v>4771</v>
      </c>
      <c r="C250" t="s">
        <v>5047</v>
      </c>
      <c r="D250">
        <v>315.05</v>
      </c>
      <c r="E250">
        <v>255.19050000000001</v>
      </c>
      <c r="F250" t="s">
        <v>5048</v>
      </c>
    </row>
    <row r="251" spans="1:6" x14ac:dyDescent="0.25">
      <c r="A251" t="s">
        <v>5297</v>
      </c>
      <c r="B251" t="s">
        <v>4772</v>
      </c>
      <c r="C251" t="s">
        <v>5047</v>
      </c>
      <c r="D251">
        <v>455.95</v>
      </c>
      <c r="E251">
        <v>392.11699999999996</v>
      </c>
      <c r="F251" t="s">
        <v>5048</v>
      </c>
    </row>
    <row r="252" spans="1:6" x14ac:dyDescent="0.25">
      <c r="A252" t="s">
        <v>5298</v>
      </c>
      <c r="B252" t="s">
        <v>4775</v>
      </c>
      <c r="C252" t="s">
        <v>5047</v>
      </c>
      <c r="D252">
        <v>118.34</v>
      </c>
      <c r="E252">
        <v>101.7724</v>
      </c>
      <c r="F252" t="s">
        <v>5048</v>
      </c>
    </row>
    <row r="253" spans="1:6" x14ac:dyDescent="0.25">
      <c r="A253" t="s">
        <v>5299</v>
      </c>
      <c r="B253" t="s">
        <v>4776</v>
      </c>
      <c r="C253" t="s">
        <v>5047</v>
      </c>
      <c r="D253">
        <v>267</v>
      </c>
      <c r="E253">
        <v>208.26000000000002</v>
      </c>
      <c r="F253" t="s">
        <v>5048</v>
      </c>
    </row>
    <row r="254" spans="1:6" x14ac:dyDescent="0.25">
      <c r="A254" t="s">
        <v>5300</v>
      </c>
      <c r="B254" t="s">
        <v>4777</v>
      </c>
      <c r="C254" t="s">
        <v>5047</v>
      </c>
      <c r="D254">
        <v>219.32</v>
      </c>
      <c r="E254">
        <v>162.29679999999999</v>
      </c>
      <c r="F254" t="s">
        <v>5048</v>
      </c>
    </row>
    <row r="255" spans="1:6" x14ac:dyDescent="0.25">
      <c r="A255" t="s">
        <v>5301</v>
      </c>
      <c r="B255" t="s">
        <v>4778</v>
      </c>
      <c r="C255" t="s">
        <v>5047</v>
      </c>
      <c r="D255">
        <v>142.80000000000001</v>
      </c>
      <c r="E255">
        <v>119.952</v>
      </c>
      <c r="F255" t="s">
        <v>5048</v>
      </c>
    </row>
    <row r="256" spans="1:6" x14ac:dyDescent="0.25">
      <c r="A256" t="s">
        <v>5302</v>
      </c>
      <c r="B256" t="s">
        <v>4779</v>
      </c>
      <c r="C256" t="s">
        <v>5047</v>
      </c>
      <c r="D256">
        <v>476.16</v>
      </c>
      <c r="E256">
        <v>342.83519999999999</v>
      </c>
      <c r="F256" t="s">
        <v>5048</v>
      </c>
    </row>
    <row r="257" spans="1:6" x14ac:dyDescent="0.25">
      <c r="A257" t="s">
        <v>5303</v>
      </c>
      <c r="B257" t="s">
        <v>4780</v>
      </c>
      <c r="C257" t="s">
        <v>5047</v>
      </c>
      <c r="D257">
        <v>60.24</v>
      </c>
      <c r="E257">
        <v>48.192000000000007</v>
      </c>
      <c r="F257" t="s">
        <v>5048</v>
      </c>
    </row>
    <row r="258" spans="1:6" x14ac:dyDescent="0.25">
      <c r="A258" t="s">
        <v>5304</v>
      </c>
      <c r="B258" t="s">
        <v>4781</v>
      </c>
      <c r="C258" t="s">
        <v>5047</v>
      </c>
      <c r="D258">
        <v>274.70999999999998</v>
      </c>
      <c r="E258">
        <v>195.04409999999999</v>
      </c>
      <c r="F258" t="s">
        <v>5048</v>
      </c>
    </row>
    <row r="259" spans="1:6" x14ac:dyDescent="0.25">
      <c r="A259" t="s">
        <v>5305</v>
      </c>
      <c r="B259" t="s">
        <v>4782</v>
      </c>
      <c r="C259" t="s">
        <v>5047</v>
      </c>
      <c r="D259">
        <v>165.86</v>
      </c>
      <c r="E259">
        <v>140.98099999999999</v>
      </c>
      <c r="F259" t="s">
        <v>5048</v>
      </c>
    </row>
    <row r="260" spans="1:6" x14ac:dyDescent="0.25">
      <c r="A260" t="s">
        <v>5306</v>
      </c>
      <c r="B260" t="s">
        <v>4783</v>
      </c>
      <c r="C260" t="s">
        <v>5047</v>
      </c>
      <c r="D260">
        <v>227.14</v>
      </c>
      <c r="E260">
        <v>163.54079999999999</v>
      </c>
      <c r="F260" t="s">
        <v>5048</v>
      </c>
    </row>
    <row r="261" spans="1:6" x14ac:dyDescent="0.25">
      <c r="A261" t="s">
        <v>5307</v>
      </c>
      <c r="B261" t="s">
        <v>4784</v>
      </c>
      <c r="C261" t="s">
        <v>5047</v>
      </c>
      <c r="D261">
        <v>225</v>
      </c>
      <c r="E261">
        <v>189</v>
      </c>
      <c r="F261" t="s">
        <v>5048</v>
      </c>
    </row>
    <row r="262" spans="1:6" x14ac:dyDescent="0.25">
      <c r="A262" t="s">
        <v>5308</v>
      </c>
      <c r="B262" t="s">
        <v>4785</v>
      </c>
      <c r="C262" t="s">
        <v>5047</v>
      </c>
      <c r="D262">
        <v>499.36</v>
      </c>
      <c r="E262">
        <v>439.43680000000001</v>
      </c>
      <c r="F262" t="s">
        <v>5048</v>
      </c>
    </row>
    <row r="263" spans="1:6" x14ac:dyDescent="0.25">
      <c r="A263" t="s">
        <v>5309</v>
      </c>
      <c r="B263" t="s">
        <v>4786</v>
      </c>
      <c r="C263" t="s">
        <v>5047</v>
      </c>
      <c r="D263">
        <v>362.93</v>
      </c>
      <c r="E263">
        <v>301.2319</v>
      </c>
      <c r="F263" t="s">
        <v>5048</v>
      </c>
    </row>
    <row r="264" spans="1:6" x14ac:dyDescent="0.25">
      <c r="A264" t="s">
        <v>5310</v>
      </c>
      <c r="B264" t="s">
        <v>4787</v>
      </c>
      <c r="C264" t="s">
        <v>5047</v>
      </c>
      <c r="D264">
        <v>293.10000000000002</v>
      </c>
      <c r="E264">
        <v>231.54900000000004</v>
      </c>
      <c r="F264" t="s">
        <v>5048</v>
      </c>
    </row>
    <row r="265" spans="1:6" x14ac:dyDescent="0.25">
      <c r="A265" t="s">
        <v>5311</v>
      </c>
      <c r="B265" t="s">
        <v>4788</v>
      </c>
      <c r="C265" t="s">
        <v>5047</v>
      </c>
      <c r="D265">
        <v>112.65</v>
      </c>
      <c r="E265">
        <v>87.867000000000004</v>
      </c>
      <c r="F265" t="s">
        <v>5048</v>
      </c>
    </row>
    <row r="266" spans="1:6" x14ac:dyDescent="0.25">
      <c r="A266" t="s">
        <v>5312</v>
      </c>
      <c r="B266" t="s">
        <v>4789</v>
      </c>
      <c r="C266" t="s">
        <v>5047</v>
      </c>
      <c r="D266">
        <v>90.89</v>
      </c>
      <c r="E266">
        <v>79.983199999999997</v>
      </c>
      <c r="F266" t="s">
        <v>5048</v>
      </c>
    </row>
    <row r="267" spans="1:6" x14ac:dyDescent="0.25">
      <c r="A267" t="s">
        <v>5313</v>
      </c>
      <c r="B267" t="s">
        <v>4790</v>
      </c>
      <c r="C267" t="s">
        <v>5047</v>
      </c>
      <c r="D267">
        <v>365.27</v>
      </c>
      <c r="E267">
        <v>314.13219999999995</v>
      </c>
      <c r="F267" t="s">
        <v>5048</v>
      </c>
    </row>
    <row r="268" spans="1:6" x14ac:dyDescent="0.25">
      <c r="A268" t="s">
        <v>5314</v>
      </c>
      <c r="B268" t="s">
        <v>4791</v>
      </c>
      <c r="C268" t="s">
        <v>5047</v>
      </c>
      <c r="D268">
        <v>233.23</v>
      </c>
      <c r="E268">
        <v>165.59329999999997</v>
      </c>
      <c r="F268" t="s">
        <v>5048</v>
      </c>
    </row>
    <row r="269" spans="1:6" x14ac:dyDescent="0.25">
      <c r="A269" t="s">
        <v>5315</v>
      </c>
      <c r="B269" t="s">
        <v>4792</v>
      </c>
      <c r="C269" t="s">
        <v>5047</v>
      </c>
      <c r="D269">
        <v>150.99</v>
      </c>
      <c r="E269">
        <v>105.693</v>
      </c>
      <c r="F269" t="s">
        <v>5048</v>
      </c>
    </row>
    <row r="270" spans="1:6" x14ac:dyDescent="0.25">
      <c r="A270" t="s">
        <v>5316</v>
      </c>
      <c r="B270" t="s">
        <v>4793</v>
      </c>
      <c r="C270" t="s">
        <v>5047</v>
      </c>
      <c r="D270">
        <v>298.81</v>
      </c>
      <c r="E270">
        <v>256.97660000000002</v>
      </c>
      <c r="F270" t="s">
        <v>5048</v>
      </c>
    </row>
    <row r="271" spans="1:6" x14ac:dyDescent="0.25">
      <c r="A271" t="s">
        <v>5317</v>
      </c>
      <c r="B271" t="s">
        <v>4794</v>
      </c>
      <c r="C271" t="s">
        <v>5047</v>
      </c>
      <c r="D271">
        <v>55.78</v>
      </c>
      <c r="E271">
        <v>50.202000000000005</v>
      </c>
      <c r="F271" t="s">
        <v>5048</v>
      </c>
    </row>
    <row r="272" spans="1:6" x14ac:dyDescent="0.25">
      <c r="A272" t="s">
        <v>5318</v>
      </c>
      <c r="B272" t="s">
        <v>4795</v>
      </c>
      <c r="C272" t="s">
        <v>5047</v>
      </c>
      <c r="D272">
        <v>353.21</v>
      </c>
      <c r="E272">
        <v>279.03589999999997</v>
      </c>
      <c r="F272" t="s">
        <v>5048</v>
      </c>
    </row>
    <row r="273" spans="1:6" x14ac:dyDescent="0.25">
      <c r="A273" t="s">
        <v>5319</v>
      </c>
      <c r="B273" t="s">
        <v>4796</v>
      </c>
      <c r="C273" t="s">
        <v>5047</v>
      </c>
      <c r="D273">
        <v>370.43</v>
      </c>
      <c r="E273">
        <v>281.52679999999998</v>
      </c>
      <c r="F273" t="s">
        <v>5048</v>
      </c>
    </row>
    <row r="274" spans="1:6" x14ac:dyDescent="0.25">
      <c r="A274" t="s">
        <v>5320</v>
      </c>
      <c r="B274" t="s">
        <v>4797</v>
      </c>
      <c r="C274" t="s">
        <v>5047</v>
      </c>
      <c r="D274">
        <v>130.26</v>
      </c>
      <c r="E274">
        <v>110.72099999999999</v>
      </c>
      <c r="F274" t="s">
        <v>5048</v>
      </c>
    </row>
    <row r="275" spans="1:6" x14ac:dyDescent="0.25">
      <c r="A275" t="s">
        <v>5321</v>
      </c>
      <c r="B275" t="s">
        <v>4798</v>
      </c>
      <c r="C275" t="s">
        <v>5047</v>
      </c>
      <c r="D275">
        <v>97.51</v>
      </c>
      <c r="E275">
        <v>85.808800000000005</v>
      </c>
      <c r="F275" t="s">
        <v>5048</v>
      </c>
    </row>
    <row r="276" spans="1:6" x14ac:dyDescent="0.25">
      <c r="A276" t="s">
        <v>5322</v>
      </c>
      <c r="B276" t="s">
        <v>4799</v>
      </c>
      <c r="C276" t="s">
        <v>5047</v>
      </c>
      <c r="D276">
        <v>94.83</v>
      </c>
      <c r="E276">
        <v>74.915700000000001</v>
      </c>
      <c r="F276" t="s">
        <v>5048</v>
      </c>
    </row>
    <row r="277" spans="1:6" x14ac:dyDescent="0.25">
      <c r="A277" t="s">
        <v>5323</v>
      </c>
      <c r="B277" t="s">
        <v>4800</v>
      </c>
      <c r="C277" t="s">
        <v>5047</v>
      </c>
      <c r="D277">
        <v>428.66</v>
      </c>
      <c r="E277">
        <v>351.50119999999998</v>
      </c>
      <c r="F277" t="s">
        <v>5048</v>
      </c>
    </row>
    <row r="278" spans="1:6" x14ac:dyDescent="0.25">
      <c r="A278" t="s">
        <v>5324</v>
      </c>
      <c r="B278" t="s">
        <v>4801</v>
      </c>
      <c r="C278" t="s">
        <v>5047</v>
      </c>
      <c r="D278">
        <v>250.64</v>
      </c>
      <c r="E278">
        <v>177.95439999999999</v>
      </c>
      <c r="F278" t="s">
        <v>5048</v>
      </c>
    </row>
    <row r="279" spans="1:6" x14ac:dyDescent="0.25">
      <c r="A279" t="s">
        <v>5325</v>
      </c>
      <c r="B279" t="s">
        <v>4802</v>
      </c>
      <c r="C279" t="s">
        <v>5047</v>
      </c>
      <c r="D279">
        <v>458.84</v>
      </c>
      <c r="E279">
        <v>385.42559999999997</v>
      </c>
      <c r="F279" t="s">
        <v>5048</v>
      </c>
    </row>
    <row r="280" spans="1:6" x14ac:dyDescent="0.25">
      <c r="A280" t="s">
        <v>5326</v>
      </c>
      <c r="B280" t="s">
        <v>4803</v>
      </c>
      <c r="C280" t="s">
        <v>5047</v>
      </c>
      <c r="D280">
        <v>390.66</v>
      </c>
      <c r="E280">
        <v>292.995</v>
      </c>
      <c r="F280" t="s">
        <v>5048</v>
      </c>
    </row>
    <row r="281" spans="1:6" x14ac:dyDescent="0.25">
      <c r="A281" t="s">
        <v>5327</v>
      </c>
      <c r="B281" t="s">
        <v>4804</v>
      </c>
      <c r="C281" t="s">
        <v>5047</v>
      </c>
      <c r="D281">
        <v>465.72</v>
      </c>
      <c r="E281">
        <v>349.29</v>
      </c>
      <c r="F281" t="s">
        <v>5048</v>
      </c>
    </row>
    <row r="282" spans="1:6" x14ac:dyDescent="0.25">
      <c r="A282" t="s">
        <v>5328</v>
      </c>
      <c r="B282" t="s">
        <v>4805</v>
      </c>
      <c r="C282" t="s">
        <v>5047</v>
      </c>
      <c r="D282">
        <v>487.1</v>
      </c>
      <c r="E282">
        <v>389.68000000000006</v>
      </c>
      <c r="F282" t="s">
        <v>5048</v>
      </c>
    </row>
    <row r="283" spans="1:6" x14ac:dyDescent="0.25">
      <c r="A283" t="s">
        <v>5329</v>
      </c>
      <c r="B283" t="s">
        <v>4806</v>
      </c>
      <c r="C283" t="s">
        <v>5047</v>
      </c>
      <c r="D283">
        <v>204.76</v>
      </c>
      <c r="E283">
        <v>182.2364</v>
      </c>
      <c r="F283" t="s">
        <v>5048</v>
      </c>
    </row>
    <row r="284" spans="1:6" x14ac:dyDescent="0.25">
      <c r="A284" t="s">
        <v>5330</v>
      </c>
      <c r="B284" t="s">
        <v>4807</v>
      </c>
      <c r="C284" t="s">
        <v>5047</v>
      </c>
      <c r="D284">
        <v>237.74</v>
      </c>
      <c r="E284">
        <v>202.07900000000001</v>
      </c>
      <c r="F284" t="s">
        <v>5048</v>
      </c>
    </row>
    <row r="285" spans="1:6" x14ac:dyDescent="0.25">
      <c r="A285" t="s">
        <v>5331</v>
      </c>
      <c r="B285" t="s">
        <v>4808</v>
      </c>
      <c r="C285" t="s">
        <v>5047</v>
      </c>
      <c r="D285">
        <v>162.6</v>
      </c>
      <c r="E285">
        <v>138.20999999999998</v>
      </c>
      <c r="F285" t="s">
        <v>5048</v>
      </c>
    </row>
    <row r="286" spans="1:6" x14ac:dyDescent="0.25">
      <c r="A286" t="s">
        <v>5332</v>
      </c>
      <c r="B286" t="s">
        <v>4810</v>
      </c>
      <c r="C286" t="s">
        <v>5047</v>
      </c>
      <c r="D286">
        <v>128.84</v>
      </c>
      <c r="E286">
        <v>114.66760000000001</v>
      </c>
      <c r="F286" t="s">
        <v>5048</v>
      </c>
    </row>
    <row r="287" spans="1:6" x14ac:dyDescent="0.25">
      <c r="A287" t="s">
        <v>5333</v>
      </c>
      <c r="B287" t="s">
        <v>4811</v>
      </c>
      <c r="C287" t="s">
        <v>5047</v>
      </c>
      <c r="D287">
        <v>414.08</v>
      </c>
      <c r="E287">
        <v>364.3904</v>
      </c>
      <c r="F287" t="s">
        <v>5048</v>
      </c>
    </row>
    <row r="288" spans="1:6" x14ac:dyDescent="0.25">
      <c r="A288" t="s">
        <v>5334</v>
      </c>
      <c r="B288" t="s">
        <v>4812</v>
      </c>
      <c r="C288" t="s">
        <v>5047</v>
      </c>
      <c r="D288">
        <v>162.76</v>
      </c>
      <c r="E288">
        <v>136.71839999999997</v>
      </c>
      <c r="F288" t="s">
        <v>5048</v>
      </c>
    </row>
    <row r="289" spans="1:6" x14ac:dyDescent="0.25">
      <c r="A289" t="s">
        <v>5335</v>
      </c>
      <c r="B289" t="s">
        <v>4813</v>
      </c>
      <c r="C289" t="s">
        <v>5047</v>
      </c>
      <c r="D289">
        <v>402.02</v>
      </c>
      <c r="E289">
        <v>317.5958</v>
      </c>
      <c r="F289" t="s">
        <v>5048</v>
      </c>
    </row>
    <row r="290" spans="1:6" x14ac:dyDescent="0.25">
      <c r="A290" t="s">
        <v>5336</v>
      </c>
      <c r="B290" t="s">
        <v>4814</v>
      </c>
      <c r="C290" t="s">
        <v>5047</v>
      </c>
      <c r="D290">
        <v>383.42</v>
      </c>
      <c r="E290">
        <v>306.73600000000005</v>
      </c>
      <c r="F290" t="s">
        <v>5048</v>
      </c>
    </row>
    <row r="291" spans="1:6" x14ac:dyDescent="0.25">
      <c r="A291" t="s">
        <v>5337</v>
      </c>
      <c r="B291" t="s">
        <v>4816</v>
      </c>
      <c r="C291" t="s">
        <v>5047</v>
      </c>
      <c r="D291">
        <v>318.52999999999997</v>
      </c>
      <c r="E291">
        <v>286.67699999999996</v>
      </c>
      <c r="F291" t="s">
        <v>5048</v>
      </c>
    </row>
    <row r="292" spans="1:6" x14ac:dyDescent="0.25">
      <c r="A292" t="s">
        <v>5338</v>
      </c>
      <c r="B292" t="s">
        <v>4819</v>
      </c>
      <c r="C292" t="s">
        <v>5047</v>
      </c>
      <c r="D292">
        <v>489.48</v>
      </c>
      <c r="E292">
        <v>416.05799999999999</v>
      </c>
      <c r="F292" t="s">
        <v>5048</v>
      </c>
    </row>
    <row r="293" spans="1:6" x14ac:dyDescent="0.25">
      <c r="A293" t="s">
        <v>5339</v>
      </c>
      <c r="B293" t="s">
        <v>4820</v>
      </c>
      <c r="C293" t="s">
        <v>5047</v>
      </c>
      <c r="D293">
        <v>221.8</v>
      </c>
      <c r="E293">
        <v>166.35000000000002</v>
      </c>
      <c r="F293" t="s">
        <v>5048</v>
      </c>
    </row>
    <row r="294" spans="1:6" x14ac:dyDescent="0.25">
      <c r="A294" t="s">
        <v>5340</v>
      </c>
      <c r="B294" t="s">
        <v>4821</v>
      </c>
      <c r="C294" t="s">
        <v>5047</v>
      </c>
      <c r="D294">
        <v>119.77</v>
      </c>
      <c r="E294">
        <v>97.0137</v>
      </c>
      <c r="F294" t="s">
        <v>5048</v>
      </c>
    </row>
    <row r="295" spans="1:6" x14ac:dyDescent="0.25">
      <c r="A295" t="s">
        <v>5341</v>
      </c>
      <c r="B295" t="s">
        <v>4822</v>
      </c>
      <c r="C295" t="s">
        <v>5047</v>
      </c>
      <c r="D295">
        <v>250.82</v>
      </c>
      <c r="E295">
        <v>208.1806</v>
      </c>
      <c r="F295" t="s">
        <v>5048</v>
      </c>
    </row>
    <row r="296" spans="1:6" x14ac:dyDescent="0.25">
      <c r="A296" t="s">
        <v>5342</v>
      </c>
      <c r="B296" t="s">
        <v>4823</v>
      </c>
      <c r="C296" t="s">
        <v>5047</v>
      </c>
      <c r="D296">
        <v>407.89</v>
      </c>
      <c r="E296">
        <v>309.99639999999999</v>
      </c>
      <c r="F296" t="s">
        <v>5048</v>
      </c>
    </row>
    <row r="297" spans="1:6" x14ac:dyDescent="0.25">
      <c r="A297" t="s">
        <v>5343</v>
      </c>
      <c r="B297" t="s">
        <v>4824</v>
      </c>
      <c r="C297" t="s">
        <v>5047</v>
      </c>
      <c r="D297">
        <v>139.38999999999999</v>
      </c>
      <c r="E297">
        <v>112.9059</v>
      </c>
      <c r="F297" t="s">
        <v>5048</v>
      </c>
    </row>
    <row r="298" spans="1:6" x14ac:dyDescent="0.25">
      <c r="A298" t="s">
        <v>5344</v>
      </c>
      <c r="B298" t="s">
        <v>4825</v>
      </c>
      <c r="C298" t="s">
        <v>5047</v>
      </c>
      <c r="D298">
        <v>464.02</v>
      </c>
      <c r="E298">
        <v>334.09439999999995</v>
      </c>
      <c r="F298" t="s">
        <v>5048</v>
      </c>
    </row>
    <row r="299" spans="1:6" x14ac:dyDescent="0.25">
      <c r="A299" t="s">
        <v>5345</v>
      </c>
      <c r="B299" t="s">
        <v>4827</v>
      </c>
      <c r="C299" t="s">
        <v>5047</v>
      </c>
      <c r="D299">
        <v>418.01</v>
      </c>
      <c r="E299">
        <v>309.32740000000001</v>
      </c>
      <c r="F299" t="s">
        <v>5048</v>
      </c>
    </row>
    <row r="300" spans="1:6" x14ac:dyDescent="0.25">
      <c r="A300" t="s">
        <v>5346</v>
      </c>
      <c r="B300" t="s">
        <v>4828</v>
      </c>
      <c r="C300" t="s">
        <v>5047</v>
      </c>
      <c r="D300">
        <v>476.13</v>
      </c>
      <c r="E300">
        <v>366.62009999999998</v>
      </c>
      <c r="F300" t="s">
        <v>5048</v>
      </c>
    </row>
    <row r="301" spans="1:6" x14ac:dyDescent="0.25">
      <c r="A301" t="s">
        <v>5347</v>
      </c>
      <c r="B301" t="s">
        <v>4829</v>
      </c>
      <c r="C301" t="s">
        <v>5047</v>
      </c>
      <c r="D301">
        <v>133.30000000000001</v>
      </c>
      <c r="E301">
        <v>111.97200000000001</v>
      </c>
      <c r="F301" t="s">
        <v>5048</v>
      </c>
    </row>
    <row r="302" spans="1:6" x14ac:dyDescent="0.25">
      <c r="A302" t="s">
        <v>5348</v>
      </c>
      <c r="B302" t="s">
        <v>4830</v>
      </c>
      <c r="C302" t="s">
        <v>5047</v>
      </c>
      <c r="D302">
        <v>468</v>
      </c>
      <c r="E302">
        <v>355.68</v>
      </c>
      <c r="F302" t="s">
        <v>5048</v>
      </c>
    </row>
    <row r="303" spans="1:6" x14ac:dyDescent="0.25">
      <c r="A303" t="s">
        <v>5349</v>
      </c>
      <c r="B303" t="s">
        <v>4831</v>
      </c>
      <c r="C303" t="s">
        <v>5047</v>
      </c>
      <c r="D303">
        <v>393.57</v>
      </c>
      <c r="E303">
        <v>318.79169999999999</v>
      </c>
      <c r="F303" t="s">
        <v>5048</v>
      </c>
    </row>
    <row r="304" spans="1:6" x14ac:dyDescent="0.25">
      <c r="A304" t="s">
        <v>5350</v>
      </c>
      <c r="B304" t="s">
        <v>4832</v>
      </c>
      <c r="C304" t="s">
        <v>5047</v>
      </c>
      <c r="D304">
        <v>348.31</v>
      </c>
      <c r="E304">
        <v>296.06349999999998</v>
      </c>
      <c r="F304" t="s">
        <v>5048</v>
      </c>
    </row>
    <row r="305" spans="1:6" x14ac:dyDescent="0.25">
      <c r="A305" t="s">
        <v>5351</v>
      </c>
      <c r="B305" t="s">
        <v>4833</v>
      </c>
      <c r="C305" t="s">
        <v>5047</v>
      </c>
      <c r="D305">
        <v>111.4</v>
      </c>
      <c r="E305">
        <v>94.69</v>
      </c>
      <c r="F305" t="s">
        <v>5048</v>
      </c>
    </row>
    <row r="306" spans="1:6" x14ac:dyDescent="0.25">
      <c r="A306" t="s">
        <v>5352</v>
      </c>
      <c r="B306" t="s">
        <v>4835</v>
      </c>
      <c r="C306" t="s">
        <v>5047</v>
      </c>
      <c r="D306">
        <v>254.71</v>
      </c>
      <c r="E306">
        <v>221.5977</v>
      </c>
      <c r="F306" t="s">
        <v>5048</v>
      </c>
    </row>
    <row r="307" spans="1:6" x14ac:dyDescent="0.25">
      <c r="A307" t="s">
        <v>5353</v>
      </c>
      <c r="B307" t="s">
        <v>4836</v>
      </c>
      <c r="C307" t="s">
        <v>5047</v>
      </c>
      <c r="D307">
        <v>299.38</v>
      </c>
      <c r="E307">
        <v>254.47299999999998</v>
      </c>
      <c r="F307" t="s">
        <v>5048</v>
      </c>
    </row>
    <row r="308" spans="1:6" x14ac:dyDescent="0.25">
      <c r="A308" t="s">
        <v>5354</v>
      </c>
      <c r="B308" t="s">
        <v>4837</v>
      </c>
      <c r="C308" t="s">
        <v>5047</v>
      </c>
      <c r="D308">
        <v>247.74</v>
      </c>
      <c r="E308">
        <v>205.6242</v>
      </c>
      <c r="F308" t="s">
        <v>5048</v>
      </c>
    </row>
    <row r="309" spans="1:6" x14ac:dyDescent="0.25">
      <c r="A309" t="s">
        <v>5355</v>
      </c>
      <c r="B309" t="s">
        <v>4838</v>
      </c>
      <c r="C309" t="s">
        <v>5047</v>
      </c>
      <c r="D309">
        <v>442.44</v>
      </c>
      <c r="E309">
        <v>336.25439999999998</v>
      </c>
      <c r="F309" t="s">
        <v>5048</v>
      </c>
    </row>
    <row r="310" spans="1:6" x14ac:dyDescent="0.25">
      <c r="A310" t="s">
        <v>5356</v>
      </c>
      <c r="B310" t="s">
        <v>4839</v>
      </c>
      <c r="C310" t="s">
        <v>5047</v>
      </c>
      <c r="D310">
        <v>189.07</v>
      </c>
      <c r="E310">
        <v>168.2723</v>
      </c>
      <c r="F310" t="s">
        <v>5048</v>
      </c>
    </row>
    <row r="311" spans="1:6" x14ac:dyDescent="0.25">
      <c r="A311" t="s">
        <v>5357</v>
      </c>
      <c r="B311" t="s">
        <v>4840</v>
      </c>
      <c r="C311" t="s">
        <v>5047</v>
      </c>
      <c r="D311">
        <v>493.62</v>
      </c>
      <c r="E311">
        <v>419.577</v>
      </c>
      <c r="F311" t="s">
        <v>5048</v>
      </c>
    </row>
    <row r="312" spans="1:6" x14ac:dyDescent="0.25">
      <c r="A312" t="s">
        <v>5358</v>
      </c>
      <c r="B312" t="s">
        <v>4841</v>
      </c>
      <c r="C312" t="s">
        <v>5047</v>
      </c>
      <c r="D312">
        <v>222.92</v>
      </c>
      <c r="E312">
        <v>189.48199999999997</v>
      </c>
      <c r="F312" t="s">
        <v>5048</v>
      </c>
    </row>
    <row r="313" spans="1:6" x14ac:dyDescent="0.25">
      <c r="A313" t="s">
        <v>5359</v>
      </c>
      <c r="B313" t="s">
        <v>4842</v>
      </c>
      <c r="C313" t="s">
        <v>5047</v>
      </c>
      <c r="D313">
        <v>370.78</v>
      </c>
      <c r="E313">
        <v>329.99419999999998</v>
      </c>
      <c r="F313" t="s">
        <v>5048</v>
      </c>
    </row>
    <row r="314" spans="1:6" x14ac:dyDescent="0.25">
      <c r="A314" t="s">
        <v>5360</v>
      </c>
      <c r="B314" t="s">
        <v>4843</v>
      </c>
      <c r="C314" t="s">
        <v>5047</v>
      </c>
      <c r="D314">
        <v>348.71</v>
      </c>
      <c r="E314">
        <v>282.45510000000002</v>
      </c>
      <c r="F314" t="s">
        <v>5048</v>
      </c>
    </row>
    <row r="315" spans="1:6" x14ac:dyDescent="0.25">
      <c r="A315" t="s">
        <v>5361</v>
      </c>
      <c r="B315" t="s">
        <v>4844</v>
      </c>
      <c r="C315" t="s">
        <v>5047</v>
      </c>
      <c r="D315">
        <v>55.11</v>
      </c>
      <c r="E315">
        <v>46.292400000000001</v>
      </c>
      <c r="F315" t="s">
        <v>5048</v>
      </c>
    </row>
    <row r="316" spans="1:6" x14ac:dyDescent="0.25">
      <c r="A316" t="s">
        <v>5362</v>
      </c>
      <c r="B316" t="s">
        <v>4845</v>
      </c>
      <c r="C316" t="s">
        <v>5047</v>
      </c>
      <c r="D316">
        <v>213.09</v>
      </c>
      <c r="E316">
        <v>172.60290000000001</v>
      </c>
      <c r="F316" t="s">
        <v>5048</v>
      </c>
    </row>
    <row r="317" spans="1:6" x14ac:dyDescent="0.25">
      <c r="A317" t="s">
        <v>5363</v>
      </c>
      <c r="B317" t="s">
        <v>4846</v>
      </c>
      <c r="C317" t="s">
        <v>5047</v>
      </c>
      <c r="D317">
        <v>94.83</v>
      </c>
      <c r="E317">
        <v>68.277599999999993</v>
      </c>
      <c r="F317" t="s">
        <v>5048</v>
      </c>
    </row>
    <row r="318" spans="1:6" x14ac:dyDescent="0.25">
      <c r="A318" t="s">
        <v>5364</v>
      </c>
      <c r="B318" t="s">
        <v>4847</v>
      </c>
      <c r="C318" t="s">
        <v>5047</v>
      </c>
      <c r="D318">
        <v>76.13</v>
      </c>
      <c r="E318">
        <v>66.994399999999999</v>
      </c>
      <c r="F318" t="s">
        <v>5048</v>
      </c>
    </row>
    <row r="319" spans="1:6" x14ac:dyDescent="0.25">
      <c r="A319" t="s">
        <v>5365</v>
      </c>
      <c r="B319" t="s">
        <v>4848</v>
      </c>
      <c r="C319" t="s">
        <v>5047</v>
      </c>
      <c r="D319">
        <v>219.06</v>
      </c>
      <c r="E319">
        <v>170.86680000000001</v>
      </c>
      <c r="F319" t="s">
        <v>5048</v>
      </c>
    </row>
    <row r="320" spans="1:6" x14ac:dyDescent="0.25">
      <c r="A320" t="s">
        <v>5366</v>
      </c>
      <c r="B320" t="s">
        <v>4849</v>
      </c>
      <c r="C320" t="s">
        <v>5047</v>
      </c>
      <c r="D320">
        <v>349.21</v>
      </c>
      <c r="E320">
        <v>296.82849999999996</v>
      </c>
      <c r="F320" t="s">
        <v>5048</v>
      </c>
    </row>
    <row r="321" spans="1:6" x14ac:dyDescent="0.25">
      <c r="A321" t="s">
        <v>5367</v>
      </c>
      <c r="B321" t="s">
        <v>4850</v>
      </c>
      <c r="C321" t="s">
        <v>5047</v>
      </c>
      <c r="D321">
        <v>377.65</v>
      </c>
      <c r="E321">
        <v>321.0025</v>
      </c>
      <c r="F321" t="s">
        <v>5048</v>
      </c>
    </row>
    <row r="322" spans="1:6" x14ac:dyDescent="0.25">
      <c r="A322" t="s">
        <v>5368</v>
      </c>
      <c r="B322" t="s">
        <v>4851</v>
      </c>
      <c r="C322" t="s">
        <v>5047</v>
      </c>
      <c r="D322">
        <v>54.56</v>
      </c>
      <c r="E322">
        <v>47.467199999999998</v>
      </c>
      <c r="F322" t="s">
        <v>5048</v>
      </c>
    </row>
    <row r="323" spans="1:6" x14ac:dyDescent="0.25">
      <c r="A323" t="s">
        <v>5369</v>
      </c>
      <c r="B323" t="s">
        <v>4852</v>
      </c>
      <c r="C323" t="s">
        <v>5047</v>
      </c>
      <c r="D323">
        <v>488.08</v>
      </c>
      <c r="E323">
        <v>405.10639999999995</v>
      </c>
      <c r="F323" t="s">
        <v>5048</v>
      </c>
    </row>
    <row r="324" spans="1:6" x14ac:dyDescent="0.25">
      <c r="A324" t="s">
        <v>5370</v>
      </c>
      <c r="B324" t="s">
        <v>4853</v>
      </c>
      <c r="C324" t="s">
        <v>5047</v>
      </c>
      <c r="D324">
        <v>225.63</v>
      </c>
      <c r="E324">
        <v>198.55439999999999</v>
      </c>
      <c r="F324" t="s">
        <v>5048</v>
      </c>
    </row>
    <row r="325" spans="1:6" x14ac:dyDescent="0.25">
      <c r="A325" t="s">
        <v>5371</v>
      </c>
      <c r="B325" t="s">
        <v>4854</v>
      </c>
      <c r="C325" t="s">
        <v>5047</v>
      </c>
      <c r="D325">
        <v>344.81</v>
      </c>
      <c r="E325">
        <v>289.6404</v>
      </c>
      <c r="F325" t="s">
        <v>5048</v>
      </c>
    </row>
    <row r="326" spans="1:6" x14ac:dyDescent="0.25">
      <c r="A326" t="s">
        <v>5372</v>
      </c>
      <c r="B326" t="s">
        <v>4855</v>
      </c>
      <c r="C326" t="s">
        <v>5047</v>
      </c>
      <c r="D326">
        <v>200.49</v>
      </c>
      <c r="E326">
        <v>144.3528</v>
      </c>
      <c r="F326" t="s">
        <v>5048</v>
      </c>
    </row>
    <row r="327" spans="1:6" x14ac:dyDescent="0.25">
      <c r="A327" t="s">
        <v>5373</v>
      </c>
      <c r="B327" t="s">
        <v>4856</v>
      </c>
      <c r="C327" t="s">
        <v>5047</v>
      </c>
      <c r="D327">
        <v>101.13</v>
      </c>
      <c r="E327">
        <v>87.983099999999993</v>
      </c>
      <c r="F327" t="s">
        <v>5048</v>
      </c>
    </row>
    <row r="328" spans="1:6" x14ac:dyDescent="0.25">
      <c r="A328" t="s">
        <v>5374</v>
      </c>
      <c r="B328" t="s">
        <v>4857</v>
      </c>
      <c r="C328" t="s">
        <v>5047</v>
      </c>
      <c r="D328">
        <v>77.489999999999995</v>
      </c>
      <c r="E328">
        <v>63.541799999999995</v>
      </c>
      <c r="F328" t="s">
        <v>5048</v>
      </c>
    </row>
    <row r="329" spans="1:6" x14ac:dyDescent="0.25">
      <c r="A329" t="s">
        <v>5375</v>
      </c>
      <c r="B329" t="s">
        <v>4858</v>
      </c>
      <c r="C329" t="s">
        <v>5047</v>
      </c>
      <c r="D329">
        <v>79.73</v>
      </c>
      <c r="E329">
        <v>66.175899999999999</v>
      </c>
      <c r="F329" t="s">
        <v>5048</v>
      </c>
    </row>
    <row r="330" spans="1:6" x14ac:dyDescent="0.25">
      <c r="A330" t="s">
        <v>5376</v>
      </c>
      <c r="B330" t="s">
        <v>4859</v>
      </c>
      <c r="C330" t="s">
        <v>5047</v>
      </c>
      <c r="D330">
        <v>444.08</v>
      </c>
      <c r="E330">
        <v>386.34960000000001</v>
      </c>
      <c r="F330" t="s">
        <v>5048</v>
      </c>
    </row>
    <row r="331" spans="1:6" x14ac:dyDescent="0.25">
      <c r="A331" t="s">
        <v>5377</v>
      </c>
      <c r="B331" t="s">
        <v>4860</v>
      </c>
      <c r="C331" t="s">
        <v>5047</v>
      </c>
      <c r="D331">
        <v>242.61</v>
      </c>
      <c r="E331">
        <v>208.6446</v>
      </c>
      <c r="F331" t="s">
        <v>5048</v>
      </c>
    </row>
    <row r="332" spans="1:6" x14ac:dyDescent="0.25">
      <c r="A332" t="s">
        <v>5378</v>
      </c>
      <c r="B332" t="s">
        <v>4862</v>
      </c>
      <c r="C332" t="s">
        <v>5047</v>
      </c>
      <c r="D332">
        <v>52.68</v>
      </c>
      <c r="E332">
        <v>37.402799999999999</v>
      </c>
      <c r="F332" t="s">
        <v>5048</v>
      </c>
    </row>
    <row r="333" spans="1:6" x14ac:dyDescent="0.25">
      <c r="A333" t="s">
        <v>5379</v>
      </c>
      <c r="B333" t="s">
        <v>4863</v>
      </c>
      <c r="C333" t="s">
        <v>5047</v>
      </c>
      <c r="D333">
        <v>107.17</v>
      </c>
      <c r="E333">
        <v>91.094499999999996</v>
      </c>
      <c r="F333" t="s">
        <v>5048</v>
      </c>
    </row>
    <row r="334" spans="1:6" x14ac:dyDescent="0.25">
      <c r="A334" t="s">
        <v>5380</v>
      </c>
      <c r="B334" t="s">
        <v>4864</v>
      </c>
      <c r="C334" t="s">
        <v>5047</v>
      </c>
      <c r="D334">
        <v>416.87</v>
      </c>
      <c r="E334">
        <v>366.84559999999999</v>
      </c>
      <c r="F334" t="s">
        <v>5048</v>
      </c>
    </row>
    <row r="335" spans="1:6" x14ac:dyDescent="0.25">
      <c r="A335" t="s">
        <v>5381</v>
      </c>
      <c r="B335" t="s">
        <v>4865</v>
      </c>
      <c r="C335" t="s">
        <v>5047</v>
      </c>
      <c r="D335">
        <v>497.94</v>
      </c>
      <c r="E335">
        <v>398.35200000000003</v>
      </c>
      <c r="F335" t="s">
        <v>5048</v>
      </c>
    </row>
    <row r="336" spans="1:6" x14ac:dyDescent="0.25">
      <c r="A336" t="s">
        <v>5382</v>
      </c>
      <c r="B336" t="s">
        <v>4866</v>
      </c>
      <c r="C336" t="s">
        <v>5047</v>
      </c>
      <c r="D336">
        <v>68.34</v>
      </c>
      <c r="E336">
        <v>55.355400000000003</v>
      </c>
      <c r="F336" t="s">
        <v>5048</v>
      </c>
    </row>
    <row r="337" spans="1:6" x14ac:dyDescent="0.25">
      <c r="A337" t="s">
        <v>5383</v>
      </c>
      <c r="B337" t="s">
        <v>4867</v>
      </c>
      <c r="C337" t="s">
        <v>5047</v>
      </c>
      <c r="D337">
        <v>347.73</v>
      </c>
      <c r="E337">
        <v>278.18400000000003</v>
      </c>
      <c r="F337" t="s">
        <v>5048</v>
      </c>
    </row>
    <row r="338" spans="1:6" x14ac:dyDescent="0.25">
      <c r="A338" t="s">
        <v>5384</v>
      </c>
      <c r="B338" t="s">
        <v>4868</v>
      </c>
      <c r="C338" t="s">
        <v>5047</v>
      </c>
      <c r="D338">
        <v>179.42</v>
      </c>
      <c r="E338">
        <v>157.8896</v>
      </c>
      <c r="F338" t="s">
        <v>5048</v>
      </c>
    </row>
    <row r="339" spans="1:6" x14ac:dyDescent="0.25">
      <c r="A339" t="s">
        <v>5385</v>
      </c>
      <c r="B339" t="s">
        <v>4869</v>
      </c>
      <c r="C339" t="s">
        <v>5047</v>
      </c>
      <c r="D339">
        <v>83.15</v>
      </c>
      <c r="E339">
        <v>62.362500000000004</v>
      </c>
      <c r="F339" t="s">
        <v>5048</v>
      </c>
    </row>
    <row r="340" spans="1:6" x14ac:dyDescent="0.25">
      <c r="A340" t="s">
        <v>5386</v>
      </c>
      <c r="B340" t="s">
        <v>4870</v>
      </c>
      <c r="C340" t="s">
        <v>5047</v>
      </c>
      <c r="D340">
        <v>65.69</v>
      </c>
      <c r="E340">
        <v>47.953699999999998</v>
      </c>
      <c r="F340" t="s">
        <v>5048</v>
      </c>
    </row>
    <row r="341" spans="1:6" x14ac:dyDescent="0.25">
      <c r="A341" t="s">
        <v>5387</v>
      </c>
      <c r="B341" t="s">
        <v>4871</v>
      </c>
      <c r="C341" t="s">
        <v>5047</v>
      </c>
      <c r="D341">
        <v>379.87</v>
      </c>
      <c r="E341">
        <v>341.88300000000004</v>
      </c>
      <c r="F341" t="s">
        <v>5048</v>
      </c>
    </row>
    <row r="342" spans="1:6" x14ac:dyDescent="0.25">
      <c r="A342" t="s">
        <v>5388</v>
      </c>
      <c r="B342" t="s">
        <v>4872</v>
      </c>
      <c r="C342" t="s">
        <v>5047</v>
      </c>
      <c r="D342">
        <v>80.599999999999994</v>
      </c>
      <c r="E342">
        <v>57.225999999999992</v>
      </c>
      <c r="F342" t="s">
        <v>5048</v>
      </c>
    </row>
    <row r="343" spans="1:6" x14ac:dyDescent="0.25">
      <c r="A343" t="s">
        <v>5389</v>
      </c>
      <c r="B343" t="s">
        <v>4874</v>
      </c>
      <c r="C343" t="s">
        <v>5047</v>
      </c>
      <c r="D343">
        <v>415.32</v>
      </c>
      <c r="E343">
        <v>357.17519999999996</v>
      </c>
      <c r="F343" t="s">
        <v>5048</v>
      </c>
    </row>
    <row r="344" spans="1:6" x14ac:dyDescent="0.25">
      <c r="A344" t="s">
        <v>5390</v>
      </c>
      <c r="B344" t="s">
        <v>4875</v>
      </c>
      <c r="C344" t="s">
        <v>5047</v>
      </c>
      <c r="D344">
        <v>356.63</v>
      </c>
      <c r="E344">
        <v>256.77359999999999</v>
      </c>
      <c r="F344" t="s">
        <v>5048</v>
      </c>
    </row>
    <row r="345" spans="1:6" x14ac:dyDescent="0.25">
      <c r="A345" t="s">
        <v>5391</v>
      </c>
      <c r="B345" t="s">
        <v>4876</v>
      </c>
      <c r="C345" t="s">
        <v>5047</v>
      </c>
      <c r="D345">
        <v>236.8</v>
      </c>
      <c r="E345">
        <v>175.232</v>
      </c>
      <c r="F345" t="s">
        <v>5048</v>
      </c>
    </row>
    <row r="346" spans="1:6" x14ac:dyDescent="0.25">
      <c r="A346" t="s">
        <v>5392</v>
      </c>
      <c r="B346" t="s">
        <v>4877</v>
      </c>
      <c r="C346" t="s">
        <v>5047</v>
      </c>
      <c r="D346">
        <v>338.51</v>
      </c>
      <c r="E346">
        <v>257.26760000000002</v>
      </c>
      <c r="F346" t="s">
        <v>5048</v>
      </c>
    </row>
    <row r="347" spans="1:6" x14ac:dyDescent="0.25">
      <c r="A347" t="s">
        <v>5393</v>
      </c>
      <c r="B347" t="s">
        <v>4878</v>
      </c>
      <c r="C347" t="s">
        <v>5047</v>
      </c>
      <c r="D347">
        <v>232.62</v>
      </c>
      <c r="E347">
        <v>193.0746</v>
      </c>
      <c r="F347" t="s">
        <v>5048</v>
      </c>
    </row>
    <row r="348" spans="1:6" x14ac:dyDescent="0.25">
      <c r="A348" t="s">
        <v>5394</v>
      </c>
      <c r="B348" t="s">
        <v>4879</v>
      </c>
      <c r="C348" t="s">
        <v>5047</v>
      </c>
      <c r="D348">
        <v>196.27</v>
      </c>
      <c r="E348">
        <v>149.1652</v>
      </c>
      <c r="F348" t="s">
        <v>5048</v>
      </c>
    </row>
    <row r="349" spans="1:6" x14ac:dyDescent="0.25">
      <c r="A349" t="s">
        <v>5395</v>
      </c>
      <c r="B349" t="s">
        <v>4880</v>
      </c>
      <c r="C349" t="s">
        <v>5047</v>
      </c>
      <c r="D349">
        <v>220.48</v>
      </c>
      <c r="E349">
        <v>196.22719999999998</v>
      </c>
      <c r="F349" t="s">
        <v>5048</v>
      </c>
    </row>
    <row r="350" spans="1:6" x14ac:dyDescent="0.25">
      <c r="A350" t="s">
        <v>5396</v>
      </c>
      <c r="B350" t="s">
        <v>4882</v>
      </c>
      <c r="C350" t="s">
        <v>5047</v>
      </c>
      <c r="D350">
        <v>473.93</v>
      </c>
      <c r="E350">
        <v>412.31909999999999</v>
      </c>
      <c r="F350" t="s">
        <v>5048</v>
      </c>
    </row>
    <row r="351" spans="1:6" x14ac:dyDescent="0.25">
      <c r="A351" t="s">
        <v>5397</v>
      </c>
      <c r="B351" t="s">
        <v>4883</v>
      </c>
      <c r="C351" t="s">
        <v>5047</v>
      </c>
      <c r="D351">
        <v>191.91</v>
      </c>
      <c r="E351">
        <v>157.36619999999999</v>
      </c>
      <c r="F351" t="s">
        <v>5048</v>
      </c>
    </row>
    <row r="352" spans="1:6" x14ac:dyDescent="0.25">
      <c r="A352" t="s">
        <v>5398</v>
      </c>
      <c r="B352" t="s">
        <v>4884</v>
      </c>
      <c r="C352" t="s">
        <v>5047</v>
      </c>
      <c r="D352">
        <v>208.44</v>
      </c>
      <c r="E352">
        <v>177.17400000000001</v>
      </c>
      <c r="F352" t="s">
        <v>5048</v>
      </c>
    </row>
    <row r="353" spans="1:6" x14ac:dyDescent="0.25">
      <c r="A353" t="s">
        <v>5399</v>
      </c>
      <c r="B353" t="s">
        <v>4885</v>
      </c>
      <c r="C353" t="s">
        <v>5047</v>
      </c>
      <c r="D353">
        <v>427.14</v>
      </c>
      <c r="E353">
        <v>328.89780000000002</v>
      </c>
      <c r="F353" t="s">
        <v>5048</v>
      </c>
    </row>
    <row r="354" spans="1:6" x14ac:dyDescent="0.25">
      <c r="A354" t="s">
        <v>5400</v>
      </c>
      <c r="B354" t="s">
        <v>4886</v>
      </c>
      <c r="C354" t="s">
        <v>5047</v>
      </c>
      <c r="D354">
        <v>339.84</v>
      </c>
      <c r="E354">
        <v>275.2704</v>
      </c>
      <c r="F354" t="s">
        <v>5048</v>
      </c>
    </row>
    <row r="355" spans="1:6" x14ac:dyDescent="0.25">
      <c r="A355" t="s">
        <v>5401</v>
      </c>
      <c r="B355" t="s">
        <v>4887</v>
      </c>
      <c r="C355" t="s">
        <v>5047</v>
      </c>
      <c r="D355">
        <v>478.23</v>
      </c>
      <c r="E355">
        <v>377.80170000000004</v>
      </c>
      <c r="F355" t="s">
        <v>5048</v>
      </c>
    </row>
    <row r="356" spans="1:6" x14ac:dyDescent="0.25">
      <c r="A356" t="s">
        <v>5402</v>
      </c>
      <c r="B356" t="s">
        <v>4888</v>
      </c>
      <c r="C356" t="s">
        <v>5047</v>
      </c>
      <c r="D356">
        <v>390.59</v>
      </c>
      <c r="E356">
        <v>320.28379999999999</v>
      </c>
      <c r="F356" t="s">
        <v>5048</v>
      </c>
    </row>
    <row r="357" spans="1:6" x14ac:dyDescent="0.25">
      <c r="A357" t="s">
        <v>5403</v>
      </c>
      <c r="B357" t="s">
        <v>4889</v>
      </c>
      <c r="C357" t="s">
        <v>5047</v>
      </c>
      <c r="D357">
        <v>239.94</v>
      </c>
      <c r="E357">
        <v>182.3544</v>
      </c>
      <c r="F357" t="s">
        <v>5048</v>
      </c>
    </row>
    <row r="358" spans="1:6" x14ac:dyDescent="0.25">
      <c r="A358" t="s">
        <v>5404</v>
      </c>
      <c r="B358" t="s">
        <v>4890</v>
      </c>
      <c r="C358" t="s">
        <v>5047</v>
      </c>
      <c r="D358">
        <v>398.21</v>
      </c>
      <c r="E358">
        <v>298.65749999999997</v>
      </c>
      <c r="F358" t="s">
        <v>5048</v>
      </c>
    </row>
    <row r="359" spans="1:6" x14ac:dyDescent="0.25">
      <c r="A359" t="s">
        <v>5405</v>
      </c>
      <c r="B359" t="s">
        <v>4891</v>
      </c>
      <c r="C359" t="s">
        <v>5047</v>
      </c>
      <c r="D359">
        <v>368.55</v>
      </c>
      <c r="E359">
        <v>276.41250000000002</v>
      </c>
      <c r="F359" t="s">
        <v>5048</v>
      </c>
    </row>
    <row r="360" spans="1:6" x14ac:dyDescent="0.25">
      <c r="A360" t="s">
        <v>5406</v>
      </c>
      <c r="B360" t="s">
        <v>4892</v>
      </c>
      <c r="C360" t="s">
        <v>5047</v>
      </c>
      <c r="D360">
        <v>490.26</v>
      </c>
      <c r="E360">
        <v>416.721</v>
      </c>
      <c r="F360" t="s">
        <v>5048</v>
      </c>
    </row>
    <row r="361" spans="1:6" x14ac:dyDescent="0.25">
      <c r="A361" t="s">
        <v>5407</v>
      </c>
      <c r="B361" t="s">
        <v>4893</v>
      </c>
      <c r="C361" t="s">
        <v>5047</v>
      </c>
      <c r="D361">
        <v>169.93</v>
      </c>
      <c r="E361">
        <v>144.44050000000001</v>
      </c>
      <c r="F361" t="s">
        <v>5048</v>
      </c>
    </row>
    <row r="362" spans="1:6" x14ac:dyDescent="0.25">
      <c r="A362" t="s">
        <v>5408</v>
      </c>
      <c r="B362" t="s">
        <v>4894</v>
      </c>
      <c r="C362" t="s">
        <v>5047</v>
      </c>
      <c r="D362">
        <v>60.84</v>
      </c>
      <c r="E362">
        <v>48.063600000000008</v>
      </c>
      <c r="F362" t="s">
        <v>5048</v>
      </c>
    </row>
    <row r="363" spans="1:6" x14ac:dyDescent="0.25">
      <c r="A363" t="s">
        <v>5409</v>
      </c>
      <c r="B363" t="s">
        <v>4895</v>
      </c>
      <c r="C363" t="s">
        <v>5047</v>
      </c>
      <c r="D363">
        <v>70.569999999999993</v>
      </c>
      <c r="E363">
        <v>61.39589999999999</v>
      </c>
      <c r="F363" t="s">
        <v>5048</v>
      </c>
    </row>
    <row r="364" spans="1:6" x14ac:dyDescent="0.25">
      <c r="A364" t="s">
        <v>5410</v>
      </c>
      <c r="B364" t="s">
        <v>4896</v>
      </c>
      <c r="C364" t="s">
        <v>5047</v>
      </c>
      <c r="D364">
        <v>442.46</v>
      </c>
      <c r="E364">
        <v>336.26959999999997</v>
      </c>
      <c r="F364" t="s">
        <v>5048</v>
      </c>
    </row>
    <row r="365" spans="1:6" x14ac:dyDescent="0.25">
      <c r="A365" t="s">
        <v>5411</v>
      </c>
      <c r="B365" t="s">
        <v>4897</v>
      </c>
      <c r="C365" t="s">
        <v>5047</v>
      </c>
      <c r="D365">
        <v>177.42</v>
      </c>
      <c r="E365">
        <v>157.90379999999999</v>
      </c>
      <c r="F365" t="s">
        <v>5048</v>
      </c>
    </row>
    <row r="366" spans="1:6" x14ac:dyDescent="0.25">
      <c r="A366" t="s">
        <v>5412</v>
      </c>
      <c r="B366" t="s">
        <v>4898</v>
      </c>
      <c r="C366" t="s">
        <v>5047</v>
      </c>
      <c r="D366">
        <v>317.77</v>
      </c>
      <c r="E366">
        <v>260.57139999999998</v>
      </c>
      <c r="F366" t="s">
        <v>5048</v>
      </c>
    </row>
    <row r="367" spans="1:6" x14ac:dyDescent="0.25">
      <c r="A367" t="s">
        <v>5413</v>
      </c>
      <c r="B367" t="s">
        <v>4899</v>
      </c>
      <c r="C367" t="s">
        <v>5047</v>
      </c>
      <c r="D367">
        <v>444.72</v>
      </c>
      <c r="E367">
        <v>346.88160000000005</v>
      </c>
      <c r="F367" t="s">
        <v>5048</v>
      </c>
    </row>
    <row r="368" spans="1:6" x14ac:dyDescent="0.25">
      <c r="A368" t="s">
        <v>5414</v>
      </c>
      <c r="B368" t="s">
        <v>4900</v>
      </c>
      <c r="C368" t="s">
        <v>5047</v>
      </c>
      <c r="D368">
        <v>416.09</v>
      </c>
      <c r="E368">
        <v>353.67649999999998</v>
      </c>
      <c r="F368" t="s">
        <v>5048</v>
      </c>
    </row>
    <row r="369" spans="1:6" x14ac:dyDescent="0.25">
      <c r="A369" t="s">
        <v>5415</v>
      </c>
      <c r="B369" t="s">
        <v>4901</v>
      </c>
      <c r="C369" t="s">
        <v>5047</v>
      </c>
      <c r="D369">
        <v>204.42</v>
      </c>
      <c r="E369">
        <v>175.80119999999999</v>
      </c>
      <c r="F369" t="s">
        <v>5048</v>
      </c>
    </row>
    <row r="370" spans="1:6" x14ac:dyDescent="0.25">
      <c r="A370" t="s">
        <v>5416</v>
      </c>
      <c r="B370" t="s">
        <v>4903</v>
      </c>
      <c r="C370" t="s">
        <v>5047</v>
      </c>
      <c r="D370">
        <v>177.92</v>
      </c>
      <c r="E370">
        <v>151.232</v>
      </c>
      <c r="F370" t="s">
        <v>5048</v>
      </c>
    </row>
    <row r="371" spans="1:6" x14ac:dyDescent="0.25">
      <c r="A371" t="s">
        <v>5417</v>
      </c>
      <c r="B371" t="s">
        <v>4904</v>
      </c>
      <c r="C371" t="s">
        <v>5047</v>
      </c>
      <c r="D371">
        <v>479.5</v>
      </c>
      <c r="E371">
        <v>426.755</v>
      </c>
      <c r="F371" t="s">
        <v>5048</v>
      </c>
    </row>
    <row r="372" spans="1:6" x14ac:dyDescent="0.25">
      <c r="A372" t="s">
        <v>5418</v>
      </c>
      <c r="B372" t="s">
        <v>4905</v>
      </c>
      <c r="C372" t="s">
        <v>5047</v>
      </c>
      <c r="D372">
        <v>478.64</v>
      </c>
      <c r="E372">
        <v>406.84399999999999</v>
      </c>
      <c r="F372" t="s">
        <v>5048</v>
      </c>
    </row>
    <row r="373" spans="1:6" x14ac:dyDescent="0.25">
      <c r="A373" t="s">
        <v>5419</v>
      </c>
      <c r="B373" t="s">
        <v>4906</v>
      </c>
      <c r="C373" t="s">
        <v>5047</v>
      </c>
      <c r="D373">
        <v>304.44</v>
      </c>
      <c r="E373">
        <v>216.1524</v>
      </c>
      <c r="F373" t="s">
        <v>5048</v>
      </c>
    </row>
    <row r="374" spans="1:6" x14ac:dyDescent="0.25">
      <c r="A374" t="s">
        <v>5420</v>
      </c>
      <c r="B374" t="s">
        <v>4907</v>
      </c>
      <c r="C374" t="s">
        <v>5047</v>
      </c>
      <c r="D374">
        <v>227.05</v>
      </c>
      <c r="E374">
        <v>183.91050000000001</v>
      </c>
      <c r="F374" t="s">
        <v>5048</v>
      </c>
    </row>
    <row r="375" spans="1:6" x14ac:dyDescent="0.25">
      <c r="A375" t="s">
        <v>5421</v>
      </c>
      <c r="B375" t="s">
        <v>4908</v>
      </c>
      <c r="C375" t="s">
        <v>5047</v>
      </c>
      <c r="D375">
        <v>120.29</v>
      </c>
      <c r="E375">
        <v>93.826200000000014</v>
      </c>
      <c r="F375" t="s">
        <v>5048</v>
      </c>
    </row>
    <row r="376" spans="1:6" x14ac:dyDescent="0.25">
      <c r="A376" t="s">
        <v>5422</v>
      </c>
      <c r="B376" t="s">
        <v>4909</v>
      </c>
      <c r="C376" t="s">
        <v>5047</v>
      </c>
      <c r="D376">
        <v>466.83</v>
      </c>
      <c r="E376">
        <v>350.1225</v>
      </c>
      <c r="F376" t="s">
        <v>5048</v>
      </c>
    </row>
    <row r="377" spans="1:6" x14ac:dyDescent="0.25">
      <c r="A377" t="s">
        <v>5423</v>
      </c>
      <c r="B377" t="s">
        <v>4910</v>
      </c>
      <c r="C377" t="s">
        <v>5047</v>
      </c>
      <c r="D377">
        <v>297.69</v>
      </c>
      <c r="E377">
        <v>217.31369999999998</v>
      </c>
      <c r="F377" t="s">
        <v>5048</v>
      </c>
    </row>
    <row r="378" spans="1:6" x14ac:dyDescent="0.25">
      <c r="A378" t="s">
        <v>5424</v>
      </c>
      <c r="B378" t="s">
        <v>4911</v>
      </c>
      <c r="C378" t="s">
        <v>5047</v>
      </c>
      <c r="D378">
        <v>274.72000000000003</v>
      </c>
      <c r="E378">
        <v>219.77600000000004</v>
      </c>
      <c r="F378" t="s">
        <v>5048</v>
      </c>
    </row>
    <row r="379" spans="1:6" x14ac:dyDescent="0.25">
      <c r="A379" t="s">
        <v>5425</v>
      </c>
      <c r="B379" t="s">
        <v>4912</v>
      </c>
      <c r="C379" t="s">
        <v>5047</v>
      </c>
      <c r="D379">
        <v>103.96</v>
      </c>
      <c r="E379">
        <v>72.771999999999991</v>
      </c>
      <c r="F379" t="s">
        <v>5048</v>
      </c>
    </row>
    <row r="380" spans="1:6" x14ac:dyDescent="0.25">
      <c r="A380" t="s">
        <v>5426</v>
      </c>
      <c r="B380" t="s">
        <v>4913</v>
      </c>
      <c r="C380" t="s">
        <v>5047</v>
      </c>
      <c r="D380">
        <v>413.65</v>
      </c>
      <c r="E380">
        <v>293.69149999999996</v>
      </c>
      <c r="F380" t="s">
        <v>5048</v>
      </c>
    </row>
    <row r="381" spans="1:6" x14ac:dyDescent="0.25">
      <c r="A381" t="s">
        <v>5427</v>
      </c>
      <c r="B381" t="s">
        <v>4914</v>
      </c>
      <c r="C381" t="s">
        <v>5047</v>
      </c>
      <c r="D381">
        <v>428.62</v>
      </c>
      <c r="E381">
        <v>330.03739999999999</v>
      </c>
      <c r="F381" t="s">
        <v>5048</v>
      </c>
    </row>
    <row r="382" spans="1:6" x14ac:dyDescent="0.25">
      <c r="A382" t="s">
        <v>5428</v>
      </c>
      <c r="B382" t="s">
        <v>4915</v>
      </c>
      <c r="C382" t="s">
        <v>5047</v>
      </c>
      <c r="D382">
        <v>255.3</v>
      </c>
      <c r="E382">
        <v>217.005</v>
      </c>
      <c r="F382" t="s">
        <v>5048</v>
      </c>
    </row>
    <row r="383" spans="1:6" x14ac:dyDescent="0.25">
      <c r="A383" t="s">
        <v>5429</v>
      </c>
      <c r="B383" t="s">
        <v>4916</v>
      </c>
      <c r="C383" t="s">
        <v>5047</v>
      </c>
      <c r="D383">
        <v>105.32</v>
      </c>
      <c r="E383">
        <v>88.468799999999987</v>
      </c>
      <c r="F383" t="s">
        <v>5048</v>
      </c>
    </row>
    <row r="384" spans="1:6" x14ac:dyDescent="0.25">
      <c r="A384" t="s">
        <v>5430</v>
      </c>
      <c r="B384" t="s">
        <v>4917</v>
      </c>
      <c r="C384" t="s">
        <v>5047</v>
      </c>
      <c r="D384">
        <v>459.33</v>
      </c>
      <c r="E384">
        <v>358.2774</v>
      </c>
      <c r="F384" t="s">
        <v>5048</v>
      </c>
    </row>
    <row r="385" spans="1:6" x14ac:dyDescent="0.25">
      <c r="A385" t="s">
        <v>5431</v>
      </c>
      <c r="B385" t="s">
        <v>4918</v>
      </c>
      <c r="C385" t="s">
        <v>5047</v>
      </c>
      <c r="D385">
        <v>229.31</v>
      </c>
      <c r="E385">
        <v>199.49969999999999</v>
      </c>
      <c r="F385" t="s">
        <v>5048</v>
      </c>
    </row>
    <row r="386" spans="1:6" x14ac:dyDescent="0.25">
      <c r="A386" t="s">
        <v>5432</v>
      </c>
      <c r="B386" t="s">
        <v>4919</v>
      </c>
      <c r="C386" t="s">
        <v>5047</v>
      </c>
      <c r="D386">
        <v>464.51</v>
      </c>
      <c r="E386">
        <v>357.67270000000002</v>
      </c>
      <c r="F386" t="s">
        <v>5048</v>
      </c>
    </row>
    <row r="387" spans="1:6" x14ac:dyDescent="0.25">
      <c r="A387" t="s">
        <v>5433</v>
      </c>
      <c r="B387" t="s">
        <v>4920</v>
      </c>
      <c r="C387" t="s">
        <v>5047</v>
      </c>
      <c r="D387">
        <v>253.12</v>
      </c>
      <c r="E387">
        <v>220.21440000000001</v>
      </c>
      <c r="F387" t="s">
        <v>5048</v>
      </c>
    </row>
    <row r="388" spans="1:6" x14ac:dyDescent="0.25">
      <c r="A388" t="s">
        <v>5434</v>
      </c>
      <c r="B388" t="s">
        <v>4921</v>
      </c>
      <c r="C388" t="s">
        <v>5047</v>
      </c>
      <c r="D388">
        <v>273.55</v>
      </c>
      <c r="E388">
        <v>218.84000000000003</v>
      </c>
      <c r="F388" t="s">
        <v>5048</v>
      </c>
    </row>
    <row r="389" spans="1:6" x14ac:dyDescent="0.25">
      <c r="A389" t="s">
        <v>5435</v>
      </c>
      <c r="B389" t="s">
        <v>4922</v>
      </c>
      <c r="C389" t="s">
        <v>5047</v>
      </c>
      <c r="D389">
        <v>353.04</v>
      </c>
      <c r="E389">
        <v>257.7192</v>
      </c>
      <c r="F389" t="s">
        <v>5048</v>
      </c>
    </row>
    <row r="390" spans="1:6" x14ac:dyDescent="0.25">
      <c r="A390" t="s">
        <v>5436</v>
      </c>
      <c r="B390" t="s">
        <v>4923</v>
      </c>
      <c r="C390" t="s">
        <v>5047</v>
      </c>
      <c r="D390">
        <v>482.31</v>
      </c>
      <c r="E390">
        <v>405.1404</v>
      </c>
      <c r="F390" t="s">
        <v>5048</v>
      </c>
    </row>
    <row r="391" spans="1:6" x14ac:dyDescent="0.25">
      <c r="A391" t="s">
        <v>5437</v>
      </c>
      <c r="B391" t="s">
        <v>4924</v>
      </c>
      <c r="C391" t="s">
        <v>5047</v>
      </c>
      <c r="D391">
        <v>287.5</v>
      </c>
      <c r="E391">
        <v>253</v>
      </c>
      <c r="F391" t="s">
        <v>5048</v>
      </c>
    </row>
    <row r="392" spans="1:6" x14ac:dyDescent="0.25">
      <c r="A392" t="s">
        <v>5438</v>
      </c>
      <c r="B392" t="s">
        <v>4925</v>
      </c>
      <c r="C392" t="s">
        <v>5047</v>
      </c>
      <c r="D392">
        <v>361.7</v>
      </c>
      <c r="E392">
        <v>311.06200000000001</v>
      </c>
      <c r="F392" t="s">
        <v>5048</v>
      </c>
    </row>
    <row r="393" spans="1:6" x14ac:dyDescent="0.25">
      <c r="A393" t="s">
        <v>5439</v>
      </c>
      <c r="B393" t="s">
        <v>4926</v>
      </c>
      <c r="C393" t="s">
        <v>5047</v>
      </c>
      <c r="D393">
        <v>366</v>
      </c>
      <c r="E393">
        <v>296.46000000000004</v>
      </c>
      <c r="F393" t="s">
        <v>5048</v>
      </c>
    </row>
    <row r="394" spans="1:6" x14ac:dyDescent="0.25">
      <c r="A394" t="s">
        <v>5440</v>
      </c>
      <c r="B394" t="s">
        <v>4927</v>
      </c>
      <c r="C394" t="s">
        <v>5047</v>
      </c>
      <c r="D394">
        <v>355.54</v>
      </c>
      <c r="E394">
        <v>270.21039999999999</v>
      </c>
      <c r="F394" t="s">
        <v>5048</v>
      </c>
    </row>
    <row r="395" spans="1:6" x14ac:dyDescent="0.25">
      <c r="A395" t="s">
        <v>5441</v>
      </c>
      <c r="B395" t="s">
        <v>4929</v>
      </c>
      <c r="C395" t="s">
        <v>5047</v>
      </c>
      <c r="D395">
        <v>154.46</v>
      </c>
      <c r="E395">
        <v>112.75580000000001</v>
      </c>
      <c r="F395" t="s">
        <v>5048</v>
      </c>
    </row>
    <row r="396" spans="1:6" x14ac:dyDescent="0.25">
      <c r="A396" t="s">
        <v>5442</v>
      </c>
      <c r="B396" t="s">
        <v>4930</v>
      </c>
      <c r="C396" t="s">
        <v>5047</v>
      </c>
      <c r="D396">
        <v>170.45</v>
      </c>
      <c r="E396">
        <v>146.58699999999999</v>
      </c>
      <c r="F396" t="s">
        <v>5048</v>
      </c>
    </row>
    <row r="397" spans="1:6" x14ac:dyDescent="0.25">
      <c r="A397" t="s">
        <v>5443</v>
      </c>
      <c r="B397" t="s">
        <v>4931</v>
      </c>
      <c r="C397" t="s">
        <v>5047</v>
      </c>
      <c r="D397">
        <v>416.75</v>
      </c>
      <c r="E397">
        <v>366.74</v>
      </c>
      <c r="F397" t="s">
        <v>5048</v>
      </c>
    </row>
    <row r="398" spans="1:6" x14ac:dyDescent="0.25">
      <c r="A398" t="s">
        <v>5444</v>
      </c>
      <c r="B398" t="s">
        <v>4932</v>
      </c>
      <c r="C398" t="s">
        <v>5047</v>
      </c>
      <c r="D398">
        <v>454.4</v>
      </c>
      <c r="E398">
        <v>358.976</v>
      </c>
      <c r="F398" t="s">
        <v>5048</v>
      </c>
    </row>
    <row r="399" spans="1:6" x14ac:dyDescent="0.25">
      <c r="A399" t="s">
        <v>5445</v>
      </c>
      <c r="B399" t="s">
        <v>4933</v>
      </c>
      <c r="C399" t="s">
        <v>5047</v>
      </c>
      <c r="D399">
        <v>412.59</v>
      </c>
      <c r="E399">
        <v>330.072</v>
      </c>
      <c r="F399" t="s">
        <v>5048</v>
      </c>
    </row>
    <row r="400" spans="1:6" x14ac:dyDescent="0.25">
      <c r="A400" t="s">
        <v>5446</v>
      </c>
      <c r="B400" t="s">
        <v>4934</v>
      </c>
      <c r="C400" t="s">
        <v>5047</v>
      </c>
      <c r="D400">
        <v>313.98</v>
      </c>
      <c r="E400">
        <v>257.46359999999999</v>
      </c>
      <c r="F400" t="s">
        <v>5048</v>
      </c>
    </row>
    <row r="401" spans="1:6" x14ac:dyDescent="0.25">
      <c r="A401" t="s">
        <v>5447</v>
      </c>
      <c r="B401" t="s">
        <v>4935</v>
      </c>
      <c r="C401" t="s">
        <v>5047</v>
      </c>
      <c r="D401">
        <v>144.88999999999999</v>
      </c>
      <c r="E401">
        <v>114.4631</v>
      </c>
      <c r="F401" t="s">
        <v>5048</v>
      </c>
    </row>
    <row r="402" spans="1:6" x14ac:dyDescent="0.25">
      <c r="A402" t="s">
        <v>5448</v>
      </c>
      <c r="B402" t="s">
        <v>4936</v>
      </c>
      <c r="C402" t="s">
        <v>5047</v>
      </c>
      <c r="D402">
        <v>400.09</v>
      </c>
      <c r="E402">
        <v>292.06569999999999</v>
      </c>
      <c r="F402" t="s">
        <v>5048</v>
      </c>
    </row>
    <row r="403" spans="1:6" x14ac:dyDescent="0.25">
      <c r="A403" t="s">
        <v>5449</v>
      </c>
      <c r="B403" t="s">
        <v>4937</v>
      </c>
      <c r="C403" t="s">
        <v>5047</v>
      </c>
      <c r="D403">
        <v>287.37</v>
      </c>
      <c r="E403">
        <v>227.0223</v>
      </c>
      <c r="F403" t="s">
        <v>5048</v>
      </c>
    </row>
    <row r="404" spans="1:6" x14ac:dyDescent="0.25">
      <c r="A404" t="s">
        <v>5450</v>
      </c>
      <c r="B404" t="s">
        <v>4938</v>
      </c>
      <c r="C404" t="s">
        <v>5047</v>
      </c>
      <c r="D404">
        <v>150.82</v>
      </c>
      <c r="E404">
        <v>119.1478</v>
      </c>
      <c r="F404" t="s">
        <v>5048</v>
      </c>
    </row>
    <row r="405" spans="1:6" x14ac:dyDescent="0.25">
      <c r="A405" t="s">
        <v>5451</v>
      </c>
      <c r="B405" t="s">
        <v>4939</v>
      </c>
      <c r="C405" t="s">
        <v>5047</v>
      </c>
      <c r="D405">
        <v>212.89</v>
      </c>
      <c r="E405">
        <v>155.40969999999999</v>
      </c>
      <c r="F405" t="s">
        <v>5048</v>
      </c>
    </row>
    <row r="406" spans="1:6" x14ac:dyDescent="0.25">
      <c r="A406" t="s">
        <v>5452</v>
      </c>
      <c r="B406" t="s">
        <v>4940</v>
      </c>
      <c r="C406" t="s">
        <v>5047</v>
      </c>
      <c r="D406">
        <v>73</v>
      </c>
      <c r="E406">
        <v>58.400000000000006</v>
      </c>
      <c r="F406" t="s">
        <v>5048</v>
      </c>
    </row>
    <row r="407" spans="1:6" x14ac:dyDescent="0.25">
      <c r="A407" t="s">
        <v>5453</v>
      </c>
      <c r="B407" t="s">
        <v>4941</v>
      </c>
      <c r="C407" t="s">
        <v>5047</v>
      </c>
      <c r="D407">
        <v>281.73</v>
      </c>
      <c r="E407">
        <v>202.84560000000002</v>
      </c>
      <c r="F407" t="s">
        <v>5048</v>
      </c>
    </row>
    <row r="408" spans="1:6" x14ac:dyDescent="0.25">
      <c r="A408" t="s">
        <v>5454</v>
      </c>
      <c r="B408" t="s">
        <v>4943</v>
      </c>
      <c r="C408" t="s">
        <v>5047</v>
      </c>
      <c r="D408">
        <v>258.99</v>
      </c>
      <c r="E408">
        <v>183.88290000000001</v>
      </c>
      <c r="F408" t="s">
        <v>5048</v>
      </c>
    </row>
    <row r="409" spans="1:6" x14ac:dyDescent="0.25">
      <c r="A409" t="s">
        <v>5455</v>
      </c>
      <c r="B409" t="s">
        <v>4944</v>
      </c>
      <c r="C409" t="s">
        <v>5047</v>
      </c>
      <c r="D409">
        <v>395.07</v>
      </c>
      <c r="E409">
        <v>347.66160000000002</v>
      </c>
      <c r="F409" t="s">
        <v>5048</v>
      </c>
    </row>
    <row r="410" spans="1:6" x14ac:dyDescent="0.25">
      <c r="A410" t="s">
        <v>5456</v>
      </c>
      <c r="B410" t="s">
        <v>4946</v>
      </c>
      <c r="C410" t="s">
        <v>5047</v>
      </c>
      <c r="D410">
        <v>88.42</v>
      </c>
      <c r="E410">
        <v>66.314999999999998</v>
      </c>
      <c r="F410" t="s">
        <v>5048</v>
      </c>
    </row>
    <row r="411" spans="1:6" x14ac:dyDescent="0.25">
      <c r="A411" t="s">
        <v>5457</v>
      </c>
      <c r="B411" t="s">
        <v>4947</v>
      </c>
      <c r="C411" t="s">
        <v>5047</v>
      </c>
      <c r="D411">
        <v>269.31</v>
      </c>
      <c r="E411">
        <v>191.21009999999998</v>
      </c>
      <c r="F411" t="s">
        <v>5048</v>
      </c>
    </row>
    <row r="412" spans="1:6" x14ac:dyDescent="0.25">
      <c r="A412" t="s">
        <v>5458</v>
      </c>
      <c r="B412" t="s">
        <v>4949</v>
      </c>
      <c r="C412" t="s">
        <v>5047</v>
      </c>
      <c r="D412">
        <v>397.6</v>
      </c>
      <c r="E412">
        <v>290.24799999999999</v>
      </c>
      <c r="F412" t="s">
        <v>5048</v>
      </c>
    </row>
    <row r="413" spans="1:6" x14ac:dyDescent="0.25">
      <c r="A413" t="s">
        <v>5459</v>
      </c>
      <c r="B413" t="s">
        <v>4950</v>
      </c>
      <c r="C413" t="s">
        <v>5047</v>
      </c>
      <c r="D413">
        <v>226.23</v>
      </c>
      <c r="E413">
        <v>180.98400000000001</v>
      </c>
      <c r="F413" t="s">
        <v>5048</v>
      </c>
    </row>
    <row r="414" spans="1:6" x14ac:dyDescent="0.25">
      <c r="A414" t="s">
        <v>5460</v>
      </c>
      <c r="B414" t="s">
        <v>4951</v>
      </c>
      <c r="C414" t="s">
        <v>5047</v>
      </c>
      <c r="D414">
        <v>235.09</v>
      </c>
      <c r="E414">
        <v>183.37020000000001</v>
      </c>
      <c r="F414" t="s">
        <v>5048</v>
      </c>
    </row>
    <row r="415" spans="1:6" x14ac:dyDescent="0.25">
      <c r="A415" t="s">
        <v>5461</v>
      </c>
      <c r="B415" t="s">
        <v>4952</v>
      </c>
      <c r="C415" t="s">
        <v>5047</v>
      </c>
      <c r="D415">
        <v>444.94</v>
      </c>
      <c r="E415">
        <v>382.64839999999998</v>
      </c>
      <c r="F415" t="s">
        <v>5048</v>
      </c>
    </row>
    <row r="416" spans="1:6" x14ac:dyDescent="0.25">
      <c r="A416" t="s">
        <v>5462</v>
      </c>
      <c r="B416" t="s">
        <v>4953</v>
      </c>
      <c r="C416" t="s">
        <v>5047</v>
      </c>
      <c r="D416">
        <v>480.81</v>
      </c>
      <c r="E416">
        <v>375.03180000000003</v>
      </c>
      <c r="F416" t="s">
        <v>5048</v>
      </c>
    </row>
    <row r="417" spans="1:6" x14ac:dyDescent="0.25">
      <c r="A417" t="s">
        <v>5463</v>
      </c>
      <c r="B417" t="s">
        <v>4954</v>
      </c>
      <c r="C417" t="s">
        <v>5047</v>
      </c>
      <c r="D417">
        <v>397.05</v>
      </c>
      <c r="E417">
        <v>301.75800000000004</v>
      </c>
      <c r="F417" t="s">
        <v>5048</v>
      </c>
    </row>
    <row r="418" spans="1:6" x14ac:dyDescent="0.25">
      <c r="A418" t="s">
        <v>5464</v>
      </c>
      <c r="B418" t="s">
        <v>4955</v>
      </c>
      <c r="C418" t="s">
        <v>5047</v>
      </c>
      <c r="D418">
        <v>335.79</v>
      </c>
      <c r="E418">
        <v>265.27410000000003</v>
      </c>
      <c r="F418" t="s">
        <v>5048</v>
      </c>
    </row>
    <row r="419" spans="1:6" x14ac:dyDescent="0.25">
      <c r="A419" t="s">
        <v>5465</v>
      </c>
      <c r="B419" t="s">
        <v>4956</v>
      </c>
      <c r="C419" t="s">
        <v>5047</v>
      </c>
      <c r="D419">
        <v>463.18</v>
      </c>
      <c r="E419">
        <v>384.43939999999998</v>
      </c>
      <c r="F419" t="s">
        <v>5048</v>
      </c>
    </row>
    <row r="420" spans="1:6" x14ac:dyDescent="0.25">
      <c r="A420" t="s">
        <v>5466</v>
      </c>
      <c r="B420" t="s">
        <v>4957</v>
      </c>
      <c r="C420" t="s">
        <v>5047</v>
      </c>
      <c r="D420">
        <v>122.55</v>
      </c>
      <c r="E420">
        <v>104.16749999999999</v>
      </c>
      <c r="F420" t="s">
        <v>5048</v>
      </c>
    </row>
    <row r="421" spans="1:6" x14ac:dyDescent="0.25">
      <c r="A421" t="s">
        <v>5467</v>
      </c>
      <c r="B421" t="s">
        <v>4959</v>
      </c>
      <c r="C421" t="s">
        <v>5047</v>
      </c>
      <c r="D421">
        <v>321.56</v>
      </c>
      <c r="E421">
        <v>266.89479999999998</v>
      </c>
      <c r="F421" t="s">
        <v>5048</v>
      </c>
    </row>
    <row r="422" spans="1:6" x14ac:dyDescent="0.25">
      <c r="A422" t="s">
        <v>5468</v>
      </c>
      <c r="B422" t="s">
        <v>4960</v>
      </c>
      <c r="C422" t="s">
        <v>5047</v>
      </c>
      <c r="D422">
        <v>299.76</v>
      </c>
      <c r="E422">
        <v>248.80079999999998</v>
      </c>
      <c r="F422" t="s">
        <v>5048</v>
      </c>
    </row>
    <row r="423" spans="1:6" x14ac:dyDescent="0.25">
      <c r="A423" t="s">
        <v>5469</v>
      </c>
      <c r="B423" t="s">
        <v>4961</v>
      </c>
      <c r="C423" t="s">
        <v>5047</v>
      </c>
      <c r="D423">
        <v>133.56</v>
      </c>
      <c r="E423">
        <v>105.5124</v>
      </c>
      <c r="F423" t="s">
        <v>5048</v>
      </c>
    </row>
    <row r="424" spans="1:6" x14ac:dyDescent="0.25">
      <c r="A424" t="s">
        <v>5470</v>
      </c>
      <c r="B424" t="s">
        <v>4962</v>
      </c>
      <c r="C424" t="s">
        <v>5047</v>
      </c>
      <c r="D424">
        <v>417.21</v>
      </c>
      <c r="E424">
        <v>350.45639999999997</v>
      </c>
      <c r="F424" t="s">
        <v>5048</v>
      </c>
    </row>
    <row r="425" spans="1:6" x14ac:dyDescent="0.25">
      <c r="A425" t="s">
        <v>5471</v>
      </c>
      <c r="B425" t="s">
        <v>4963</v>
      </c>
      <c r="C425" t="s">
        <v>5047</v>
      </c>
      <c r="D425">
        <v>301.05</v>
      </c>
      <c r="E425">
        <v>243.85050000000004</v>
      </c>
      <c r="F425" t="s">
        <v>5048</v>
      </c>
    </row>
    <row r="426" spans="1:6" x14ac:dyDescent="0.25">
      <c r="A426" t="s">
        <v>5472</v>
      </c>
      <c r="B426" t="s">
        <v>4964</v>
      </c>
      <c r="C426" t="s">
        <v>5047</v>
      </c>
      <c r="D426">
        <v>411.84</v>
      </c>
      <c r="E426">
        <v>312.9984</v>
      </c>
      <c r="F426" t="s">
        <v>5048</v>
      </c>
    </row>
    <row r="427" spans="1:6" x14ac:dyDescent="0.25">
      <c r="A427" t="s">
        <v>5473</v>
      </c>
      <c r="B427" t="s">
        <v>4965</v>
      </c>
      <c r="C427" t="s">
        <v>5047</v>
      </c>
      <c r="D427">
        <v>201.84</v>
      </c>
      <c r="E427">
        <v>141.28799999999998</v>
      </c>
      <c r="F427" t="s">
        <v>5048</v>
      </c>
    </row>
    <row r="428" spans="1:6" x14ac:dyDescent="0.25">
      <c r="A428" t="s">
        <v>5474</v>
      </c>
      <c r="B428" t="s">
        <v>4966</v>
      </c>
      <c r="C428" t="s">
        <v>5047</v>
      </c>
      <c r="D428">
        <v>74.739999999999995</v>
      </c>
      <c r="E428">
        <v>56.054999999999993</v>
      </c>
      <c r="F428" t="s">
        <v>5048</v>
      </c>
    </row>
    <row r="429" spans="1:6" x14ac:dyDescent="0.25">
      <c r="A429" t="s">
        <v>5475</v>
      </c>
      <c r="B429" t="s">
        <v>4967</v>
      </c>
      <c r="C429" t="s">
        <v>5047</v>
      </c>
      <c r="D429">
        <v>408.5</v>
      </c>
      <c r="E429">
        <v>294.12</v>
      </c>
      <c r="F429" t="s">
        <v>5048</v>
      </c>
    </row>
    <row r="430" spans="1:6" x14ac:dyDescent="0.25">
      <c r="A430" t="s">
        <v>5476</v>
      </c>
      <c r="B430" t="s">
        <v>4968</v>
      </c>
      <c r="C430" t="s">
        <v>5047</v>
      </c>
      <c r="D430">
        <v>243.67</v>
      </c>
      <c r="E430">
        <v>185.1892</v>
      </c>
      <c r="F430" t="s">
        <v>5048</v>
      </c>
    </row>
    <row r="431" spans="1:6" x14ac:dyDescent="0.25">
      <c r="A431" t="s">
        <v>5477</v>
      </c>
      <c r="B431" t="s">
        <v>4969</v>
      </c>
      <c r="C431" t="s">
        <v>5047</v>
      </c>
      <c r="D431">
        <v>195.4</v>
      </c>
      <c r="E431">
        <v>169.99799999999999</v>
      </c>
      <c r="F431" t="s">
        <v>5048</v>
      </c>
    </row>
    <row r="432" spans="1:6" x14ac:dyDescent="0.25">
      <c r="A432" t="s">
        <v>5478</v>
      </c>
      <c r="B432" t="s">
        <v>4970</v>
      </c>
      <c r="C432" t="s">
        <v>5047</v>
      </c>
      <c r="D432">
        <v>69.989999999999995</v>
      </c>
      <c r="E432">
        <v>51.092699999999994</v>
      </c>
      <c r="F432" t="s">
        <v>5048</v>
      </c>
    </row>
    <row r="433" spans="1:6" x14ac:dyDescent="0.25">
      <c r="A433" t="s">
        <v>5479</v>
      </c>
      <c r="B433" t="s">
        <v>4971</v>
      </c>
      <c r="C433" t="s">
        <v>5047</v>
      </c>
      <c r="D433">
        <v>269.87</v>
      </c>
      <c r="E433">
        <v>191.60769999999999</v>
      </c>
      <c r="F433" t="s">
        <v>5048</v>
      </c>
    </row>
    <row r="434" spans="1:6" x14ac:dyDescent="0.25">
      <c r="A434" t="s">
        <v>5480</v>
      </c>
      <c r="B434" t="s">
        <v>4972</v>
      </c>
      <c r="C434" t="s">
        <v>5047</v>
      </c>
      <c r="D434">
        <v>301.79000000000002</v>
      </c>
      <c r="E434">
        <v>223.3246</v>
      </c>
      <c r="F434" t="s">
        <v>5048</v>
      </c>
    </row>
    <row r="435" spans="1:6" x14ac:dyDescent="0.25">
      <c r="A435" t="s">
        <v>5481</v>
      </c>
      <c r="B435" t="s">
        <v>4973</v>
      </c>
      <c r="C435" t="s">
        <v>5047</v>
      </c>
      <c r="D435">
        <v>135.04</v>
      </c>
      <c r="E435">
        <v>106.6816</v>
      </c>
      <c r="F435" t="s">
        <v>5048</v>
      </c>
    </row>
    <row r="436" spans="1:6" x14ac:dyDescent="0.25">
      <c r="A436" t="s">
        <v>5482</v>
      </c>
      <c r="B436" t="s">
        <v>4974</v>
      </c>
      <c r="C436" t="s">
        <v>5047</v>
      </c>
      <c r="D436">
        <v>150.51</v>
      </c>
      <c r="E436">
        <v>115.89269999999999</v>
      </c>
      <c r="F436" t="s">
        <v>5048</v>
      </c>
    </row>
    <row r="437" spans="1:6" x14ac:dyDescent="0.25">
      <c r="A437" t="s">
        <v>5483</v>
      </c>
      <c r="B437" t="s">
        <v>4975</v>
      </c>
      <c r="C437" t="s">
        <v>5047</v>
      </c>
      <c r="D437">
        <v>54</v>
      </c>
      <c r="E437">
        <v>46.98</v>
      </c>
      <c r="F437" t="s">
        <v>5048</v>
      </c>
    </row>
    <row r="438" spans="1:6" x14ac:dyDescent="0.25">
      <c r="A438" t="s">
        <v>5484</v>
      </c>
      <c r="B438" t="s">
        <v>4977</v>
      </c>
      <c r="C438" t="s">
        <v>5047</v>
      </c>
      <c r="D438">
        <v>282.16000000000003</v>
      </c>
      <c r="E438">
        <v>248.30080000000001</v>
      </c>
      <c r="F438" t="s">
        <v>5048</v>
      </c>
    </row>
    <row r="439" spans="1:6" x14ac:dyDescent="0.25">
      <c r="A439" t="s">
        <v>5485</v>
      </c>
      <c r="B439" t="s">
        <v>4978</v>
      </c>
      <c r="C439" t="s">
        <v>5047</v>
      </c>
      <c r="D439">
        <v>492.88</v>
      </c>
      <c r="E439">
        <v>379.51760000000002</v>
      </c>
      <c r="F439" t="s">
        <v>5048</v>
      </c>
    </row>
    <row r="440" spans="1:6" x14ac:dyDescent="0.25">
      <c r="A440" t="s">
        <v>5486</v>
      </c>
      <c r="B440" t="s">
        <v>4979</v>
      </c>
      <c r="C440" t="s">
        <v>5047</v>
      </c>
      <c r="D440">
        <v>198.7</v>
      </c>
      <c r="E440">
        <v>164.92099999999999</v>
      </c>
      <c r="F440" t="s">
        <v>5048</v>
      </c>
    </row>
    <row r="441" spans="1:6" x14ac:dyDescent="0.25">
      <c r="A441" t="s">
        <v>5487</v>
      </c>
      <c r="B441" t="s">
        <v>4980</v>
      </c>
      <c r="C441" t="s">
        <v>5047</v>
      </c>
      <c r="D441">
        <v>381.74</v>
      </c>
      <c r="E441">
        <v>301.57460000000003</v>
      </c>
      <c r="F441" t="s">
        <v>5048</v>
      </c>
    </row>
    <row r="442" spans="1:6" x14ac:dyDescent="0.25">
      <c r="A442" t="s">
        <v>5488</v>
      </c>
      <c r="B442" t="s">
        <v>4981</v>
      </c>
      <c r="C442" t="s">
        <v>5047</v>
      </c>
      <c r="D442">
        <v>74.56</v>
      </c>
      <c r="E442">
        <v>67.103999999999999</v>
      </c>
      <c r="F442" t="s">
        <v>5048</v>
      </c>
    </row>
    <row r="443" spans="1:6" x14ac:dyDescent="0.25">
      <c r="A443" t="s">
        <v>5489</v>
      </c>
      <c r="B443" t="s">
        <v>4982</v>
      </c>
      <c r="C443" t="s">
        <v>5047</v>
      </c>
      <c r="D443">
        <v>250.93</v>
      </c>
      <c r="E443">
        <v>223.32770000000002</v>
      </c>
      <c r="F443" t="s">
        <v>5048</v>
      </c>
    </row>
    <row r="444" spans="1:6" x14ac:dyDescent="0.25">
      <c r="A444" t="s">
        <v>5490</v>
      </c>
      <c r="B444" t="s">
        <v>4983</v>
      </c>
      <c r="C444" t="s">
        <v>5047</v>
      </c>
      <c r="D444">
        <v>176.26</v>
      </c>
      <c r="E444">
        <v>141.00800000000001</v>
      </c>
      <c r="F444" t="s">
        <v>5048</v>
      </c>
    </row>
    <row r="445" spans="1:6" x14ac:dyDescent="0.25">
      <c r="A445" t="s">
        <v>5491</v>
      </c>
      <c r="B445" t="s">
        <v>4984</v>
      </c>
      <c r="C445" t="s">
        <v>5047</v>
      </c>
      <c r="D445">
        <v>386.19</v>
      </c>
      <c r="E445">
        <v>281.9187</v>
      </c>
      <c r="F445" t="s">
        <v>5048</v>
      </c>
    </row>
    <row r="446" spans="1:6" x14ac:dyDescent="0.25">
      <c r="A446" t="s">
        <v>5492</v>
      </c>
      <c r="B446" t="s">
        <v>4985</v>
      </c>
      <c r="C446" t="s">
        <v>5047</v>
      </c>
      <c r="D446">
        <v>244.96</v>
      </c>
      <c r="E446">
        <v>215.56480000000002</v>
      </c>
      <c r="F446" t="s">
        <v>5048</v>
      </c>
    </row>
    <row r="447" spans="1:6" x14ac:dyDescent="0.25">
      <c r="A447" t="s">
        <v>5493</v>
      </c>
      <c r="B447" t="s">
        <v>4986</v>
      </c>
      <c r="C447" t="s">
        <v>5047</v>
      </c>
      <c r="D447">
        <v>95.31</v>
      </c>
      <c r="E447">
        <v>68.623199999999997</v>
      </c>
      <c r="F447" t="s">
        <v>5048</v>
      </c>
    </row>
    <row r="448" spans="1:6" x14ac:dyDescent="0.25">
      <c r="A448" t="s">
        <v>5494</v>
      </c>
      <c r="B448" t="s">
        <v>4987</v>
      </c>
      <c r="C448" t="s">
        <v>5047</v>
      </c>
      <c r="D448">
        <v>384.78</v>
      </c>
      <c r="E448">
        <v>292.43279999999999</v>
      </c>
      <c r="F448" t="s">
        <v>5048</v>
      </c>
    </row>
    <row r="449" spans="1:6" x14ac:dyDescent="0.25">
      <c r="A449" t="s">
        <v>5495</v>
      </c>
      <c r="B449" t="s">
        <v>4988</v>
      </c>
      <c r="C449" t="s">
        <v>5047</v>
      </c>
      <c r="D449">
        <v>83.05</v>
      </c>
      <c r="E449">
        <v>70.592500000000001</v>
      </c>
      <c r="F449" t="s">
        <v>5048</v>
      </c>
    </row>
    <row r="450" spans="1:6" x14ac:dyDescent="0.25">
      <c r="A450" t="s">
        <v>5496</v>
      </c>
      <c r="B450" t="s">
        <v>4989</v>
      </c>
      <c r="C450" t="s">
        <v>5047</v>
      </c>
      <c r="D450">
        <v>373.63</v>
      </c>
      <c r="E450">
        <v>328.7944</v>
      </c>
      <c r="F450" t="s">
        <v>5048</v>
      </c>
    </row>
    <row r="451" spans="1:6" x14ac:dyDescent="0.25">
      <c r="A451" t="s">
        <v>5497</v>
      </c>
      <c r="B451" t="s">
        <v>4990</v>
      </c>
      <c r="C451" t="s">
        <v>5047</v>
      </c>
      <c r="D451">
        <v>384.14</v>
      </c>
      <c r="E451">
        <v>330.36039999999997</v>
      </c>
      <c r="F451" t="s">
        <v>5048</v>
      </c>
    </row>
    <row r="452" spans="1:6" x14ac:dyDescent="0.25">
      <c r="A452" t="s">
        <v>5498</v>
      </c>
      <c r="B452" t="s">
        <v>4991</v>
      </c>
      <c r="C452" t="s">
        <v>5047</v>
      </c>
      <c r="D452">
        <v>121.69</v>
      </c>
      <c r="E452">
        <v>90.050600000000003</v>
      </c>
      <c r="F452" t="s">
        <v>5048</v>
      </c>
    </row>
    <row r="453" spans="1:6" x14ac:dyDescent="0.25">
      <c r="A453" t="s">
        <v>5499</v>
      </c>
      <c r="B453" t="s">
        <v>4992</v>
      </c>
      <c r="C453" t="s">
        <v>5047</v>
      </c>
      <c r="D453">
        <v>189.8</v>
      </c>
      <c r="E453">
        <v>168.92200000000003</v>
      </c>
      <c r="F453" t="s">
        <v>5048</v>
      </c>
    </row>
    <row r="454" spans="1:6" x14ac:dyDescent="0.25">
      <c r="A454" t="s">
        <v>5500</v>
      </c>
      <c r="B454" t="s">
        <v>4993</v>
      </c>
      <c r="C454" t="s">
        <v>5047</v>
      </c>
      <c r="D454">
        <v>358.63</v>
      </c>
      <c r="E454">
        <v>268.97249999999997</v>
      </c>
      <c r="F454" t="s">
        <v>5048</v>
      </c>
    </row>
    <row r="455" spans="1:6" x14ac:dyDescent="0.25">
      <c r="A455" t="s">
        <v>5501</v>
      </c>
      <c r="B455" t="s">
        <v>4994</v>
      </c>
      <c r="C455" t="s">
        <v>5047</v>
      </c>
      <c r="D455">
        <v>94.91</v>
      </c>
      <c r="E455">
        <v>74.978899999999996</v>
      </c>
      <c r="F455" t="s">
        <v>5048</v>
      </c>
    </row>
    <row r="456" spans="1:6" x14ac:dyDescent="0.25">
      <c r="A456" t="s">
        <v>5502</v>
      </c>
      <c r="B456" t="s">
        <v>4995</v>
      </c>
      <c r="C456" t="s">
        <v>5047</v>
      </c>
      <c r="D456">
        <v>372.97</v>
      </c>
      <c r="E456">
        <v>328.21360000000004</v>
      </c>
      <c r="F456" t="s">
        <v>5048</v>
      </c>
    </row>
    <row r="457" spans="1:6" x14ac:dyDescent="0.25">
      <c r="A457" t="s">
        <v>5503</v>
      </c>
      <c r="B457" t="s">
        <v>4996</v>
      </c>
      <c r="C457" t="s">
        <v>5047</v>
      </c>
      <c r="D457">
        <v>241.48</v>
      </c>
      <c r="E457">
        <v>188.3544</v>
      </c>
      <c r="F457" t="s">
        <v>5048</v>
      </c>
    </row>
    <row r="458" spans="1:6" x14ac:dyDescent="0.25">
      <c r="A458" t="s">
        <v>5504</v>
      </c>
      <c r="B458" t="s">
        <v>4997</v>
      </c>
      <c r="C458" t="s">
        <v>5047</v>
      </c>
      <c r="D458">
        <v>452.06</v>
      </c>
      <c r="E458">
        <v>388.77159999999998</v>
      </c>
      <c r="F458" t="s">
        <v>5048</v>
      </c>
    </row>
    <row r="459" spans="1:6" x14ac:dyDescent="0.25">
      <c r="A459" t="s">
        <v>5505</v>
      </c>
      <c r="B459" t="s">
        <v>4998</v>
      </c>
      <c r="C459" t="s">
        <v>5047</v>
      </c>
      <c r="D459">
        <v>107.27</v>
      </c>
      <c r="E459">
        <v>82.597899999999996</v>
      </c>
      <c r="F459" t="s">
        <v>5048</v>
      </c>
    </row>
    <row r="460" spans="1:6" x14ac:dyDescent="0.25">
      <c r="A460" t="s">
        <v>5506</v>
      </c>
      <c r="B460" t="s">
        <v>4999</v>
      </c>
      <c r="C460" t="s">
        <v>5047</v>
      </c>
      <c r="D460">
        <v>464.81</v>
      </c>
      <c r="E460">
        <v>357.90370000000001</v>
      </c>
      <c r="F460" t="s">
        <v>5048</v>
      </c>
    </row>
    <row r="461" spans="1:6" x14ac:dyDescent="0.25">
      <c r="A461" t="s">
        <v>5507</v>
      </c>
      <c r="B461" t="s">
        <v>5000</v>
      </c>
      <c r="C461" t="s">
        <v>5047</v>
      </c>
      <c r="D461">
        <v>226.6</v>
      </c>
      <c r="E461">
        <v>158.61999999999998</v>
      </c>
      <c r="F461" t="s">
        <v>5048</v>
      </c>
    </row>
    <row r="462" spans="1:6" x14ac:dyDescent="0.25">
      <c r="A462" t="s">
        <v>5508</v>
      </c>
      <c r="B462" t="s">
        <v>5001</v>
      </c>
      <c r="C462" t="s">
        <v>5047</v>
      </c>
      <c r="D462">
        <v>302</v>
      </c>
      <c r="E462">
        <v>256.7</v>
      </c>
      <c r="F462" t="s">
        <v>5048</v>
      </c>
    </row>
    <row r="463" spans="1:6" x14ac:dyDescent="0.25">
      <c r="A463" t="s">
        <v>5509</v>
      </c>
      <c r="B463" t="s">
        <v>5002</v>
      </c>
      <c r="C463" t="s">
        <v>5047</v>
      </c>
      <c r="D463">
        <v>396.7</v>
      </c>
      <c r="E463">
        <v>325.29399999999998</v>
      </c>
      <c r="F463" t="s">
        <v>5048</v>
      </c>
    </row>
    <row r="464" spans="1:6" x14ac:dyDescent="0.25">
      <c r="A464" t="s">
        <v>5510</v>
      </c>
      <c r="B464" t="s">
        <v>5003</v>
      </c>
      <c r="C464" t="s">
        <v>5047</v>
      </c>
      <c r="D464">
        <v>138.88999999999999</v>
      </c>
      <c r="E464">
        <v>104.16749999999999</v>
      </c>
      <c r="F464" t="s">
        <v>5048</v>
      </c>
    </row>
    <row r="465" spans="1:6" x14ac:dyDescent="0.25">
      <c r="A465" t="s">
        <v>5511</v>
      </c>
      <c r="B465" t="s">
        <v>5004</v>
      </c>
      <c r="C465" t="s">
        <v>5047</v>
      </c>
      <c r="D465">
        <v>399.26</v>
      </c>
      <c r="E465">
        <v>307.43020000000001</v>
      </c>
      <c r="F465" t="s">
        <v>5048</v>
      </c>
    </row>
    <row r="466" spans="1:6" x14ac:dyDescent="0.25">
      <c r="A466" t="s">
        <v>5512</v>
      </c>
      <c r="B466" t="s">
        <v>5005</v>
      </c>
      <c r="C466" t="s">
        <v>5047</v>
      </c>
      <c r="D466">
        <v>134.4</v>
      </c>
      <c r="E466">
        <v>95.423999999999992</v>
      </c>
      <c r="F466" t="s">
        <v>5048</v>
      </c>
    </row>
    <row r="467" spans="1:6" x14ac:dyDescent="0.25">
      <c r="A467" t="s">
        <v>5513</v>
      </c>
      <c r="B467" t="s">
        <v>5006</v>
      </c>
      <c r="C467" t="s">
        <v>5047</v>
      </c>
      <c r="D467">
        <v>385.11</v>
      </c>
      <c r="E467">
        <v>296.53470000000004</v>
      </c>
      <c r="F467" t="s">
        <v>5048</v>
      </c>
    </row>
    <row r="468" spans="1:6" x14ac:dyDescent="0.25">
      <c r="A468" t="s">
        <v>5514</v>
      </c>
      <c r="B468" t="s">
        <v>5007</v>
      </c>
      <c r="C468" t="s">
        <v>5047</v>
      </c>
      <c r="D468">
        <v>297.77</v>
      </c>
      <c r="E468">
        <v>244.17139999999998</v>
      </c>
      <c r="F468" t="s">
        <v>5048</v>
      </c>
    </row>
    <row r="469" spans="1:6" x14ac:dyDescent="0.25">
      <c r="A469" t="s">
        <v>5515</v>
      </c>
      <c r="B469" t="s">
        <v>5008</v>
      </c>
      <c r="C469" t="s">
        <v>5047</v>
      </c>
      <c r="D469">
        <v>176.78</v>
      </c>
      <c r="E469">
        <v>153.79859999999999</v>
      </c>
      <c r="F469" t="s">
        <v>5048</v>
      </c>
    </row>
    <row r="470" spans="1:6" x14ac:dyDescent="0.25">
      <c r="A470" t="s">
        <v>5516</v>
      </c>
      <c r="B470" t="s">
        <v>5009</v>
      </c>
      <c r="C470" t="s">
        <v>5047</v>
      </c>
      <c r="D470">
        <v>111.63</v>
      </c>
      <c r="E470">
        <v>84.838799999999992</v>
      </c>
      <c r="F470" t="s">
        <v>5048</v>
      </c>
    </row>
    <row r="471" spans="1:6" x14ac:dyDescent="0.25">
      <c r="A471" t="s">
        <v>5517</v>
      </c>
      <c r="B471" t="s">
        <v>5010</v>
      </c>
      <c r="C471" t="s">
        <v>5047</v>
      </c>
      <c r="D471">
        <v>147.36000000000001</v>
      </c>
      <c r="E471">
        <v>110.52000000000001</v>
      </c>
      <c r="F471" t="s">
        <v>5048</v>
      </c>
    </row>
    <row r="472" spans="1:6" x14ac:dyDescent="0.25">
      <c r="A472" t="s">
        <v>5518</v>
      </c>
      <c r="B472" t="s">
        <v>5011</v>
      </c>
      <c r="C472" t="s">
        <v>5047</v>
      </c>
      <c r="D472">
        <v>183.94</v>
      </c>
      <c r="E472">
        <v>137.95499999999998</v>
      </c>
      <c r="F472" t="s">
        <v>5048</v>
      </c>
    </row>
    <row r="473" spans="1:6" x14ac:dyDescent="0.25">
      <c r="A473" t="s">
        <v>5519</v>
      </c>
      <c r="B473" t="s">
        <v>5012</v>
      </c>
      <c r="C473" t="s">
        <v>5047</v>
      </c>
      <c r="D473">
        <v>139.21</v>
      </c>
      <c r="E473">
        <v>112.76010000000001</v>
      </c>
      <c r="F473" t="s">
        <v>5048</v>
      </c>
    </row>
    <row r="474" spans="1:6" x14ac:dyDescent="0.25">
      <c r="A474" t="s">
        <v>5520</v>
      </c>
      <c r="B474" t="s">
        <v>5013</v>
      </c>
      <c r="C474" t="s">
        <v>5047</v>
      </c>
      <c r="D474">
        <v>110.54</v>
      </c>
      <c r="E474">
        <v>78.483400000000003</v>
      </c>
      <c r="F474" t="s">
        <v>5048</v>
      </c>
    </row>
    <row r="475" spans="1:6" x14ac:dyDescent="0.25">
      <c r="A475" t="s">
        <v>5521</v>
      </c>
      <c r="B475" t="s">
        <v>5014</v>
      </c>
      <c r="C475" t="s">
        <v>5047</v>
      </c>
      <c r="D475">
        <v>298.26</v>
      </c>
      <c r="E475">
        <v>208.78199999999998</v>
      </c>
      <c r="F475" t="s">
        <v>5048</v>
      </c>
    </row>
    <row r="476" spans="1:6" x14ac:dyDescent="0.25">
      <c r="A476" t="s">
        <v>5522</v>
      </c>
      <c r="B476" t="s">
        <v>5015</v>
      </c>
      <c r="C476" t="s">
        <v>5047</v>
      </c>
      <c r="D476">
        <v>462.32</v>
      </c>
      <c r="E476">
        <v>351.36320000000001</v>
      </c>
      <c r="F476" t="s">
        <v>5048</v>
      </c>
    </row>
    <row r="477" spans="1:6" x14ac:dyDescent="0.25">
      <c r="A477" t="s">
        <v>5523</v>
      </c>
      <c r="B477" t="s">
        <v>5016</v>
      </c>
      <c r="C477" t="s">
        <v>5047</v>
      </c>
      <c r="D477">
        <v>219.63</v>
      </c>
      <c r="E477">
        <v>171.31139999999999</v>
      </c>
      <c r="F477" t="s">
        <v>5048</v>
      </c>
    </row>
    <row r="478" spans="1:6" x14ac:dyDescent="0.25">
      <c r="A478" t="s">
        <v>5524</v>
      </c>
      <c r="B478" t="s">
        <v>5017</v>
      </c>
      <c r="C478" t="s">
        <v>5047</v>
      </c>
      <c r="D478">
        <v>163.16999999999999</v>
      </c>
      <c r="E478">
        <v>122.3775</v>
      </c>
      <c r="F478" t="s">
        <v>5048</v>
      </c>
    </row>
    <row r="479" spans="1:6" x14ac:dyDescent="0.25">
      <c r="A479" t="s">
        <v>5525</v>
      </c>
      <c r="B479" t="s">
        <v>5018</v>
      </c>
      <c r="C479" t="s">
        <v>5047</v>
      </c>
      <c r="D479">
        <v>349.18</v>
      </c>
      <c r="E479">
        <v>254.9014</v>
      </c>
      <c r="F479" t="s">
        <v>5048</v>
      </c>
    </row>
    <row r="480" spans="1:6" x14ac:dyDescent="0.25">
      <c r="A480" t="s">
        <v>5526</v>
      </c>
      <c r="B480" t="s">
        <v>5019</v>
      </c>
      <c r="C480" t="s">
        <v>5047</v>
      </c>
      <c r="D480">
        <v>137.91999999999999</v>
      </c>
      <c r="E480">
        <v>111.7152</v>
      </c>
      <c r="F480" t="s">
        <v>5048</v>
      </c>
    </row>
    <row r="481" spans="1:6" x14ac:dyDescent="0.25">
      <c r="A481" t="s">
        <v>5527</v>
      </c>
      <c r="B481" t="s">
        <v>5020</v>
      </c>
      <c r="C481" t="s">
        <v>5047</v>
      </c>
      <c r="D481">
        <v>303.98</v>
      </c>
      <c r="E481">
        <v>246.22380000000004</v>
      </c>
      <c r="F481" t="s">
        <v>5048</v>
      </c>
    </row>
    <row r="482" spans="1:6" x14ac:dyDescent="0.25">
      <c r="A482" t="s">
        <v>5528</v>
      </c>
      <c r="B482" t="s">
        <v>5021</v>
      </c>
      <c r="C482" t="s">
        <v>5047</v>
      </c>
      <c r="D482">
        <v>273.06</v>
      </c>
      <c r="E482">
        <v>212.98680000000002</v>
      </c>
      <c r="F482" t="s">
        <v>5048</v>
      </c>
    </row>
    <row r="483" spans="1:6" x14ac:dyDescent="0.25">
      <c r="A483" t="s">
        <v>5529</v>
      </c>
      <c r="B483" t="s">
        <v>5022</v>
      </c>
      <c r="C483" t="s">
        <v>5047</v>
      </c>
      <c r="D483">
        <v>71.78</v>
      </c>
      <c r="E483">
        <v>50.963799999999999</v>
      </c>
      <c r="F483" t="s">
        <v>5048</v>
      </c>
    </row>
    <row r="484" spans="1:6" x14ac:dyDescent="0.25">
      <c r="A484" t="s">
        <v>5530</v>
      </c>
      <c r="B484" t="s">
        <v>5023</v>
      </c>
      <c r="C484" t="s">
        <v>5047</v>
      </c>
      <c r="D484">
        <v>274.61</v>
      </c>
      <c r="E484">
        <v>230.67240000000001</v>
      </c>
      <c r="F484" t="s">
        <v>5048</v>
      </c>
    </row>
    <row r="485" spans="1:6" x14ac:dyDescent="0.25">
      <c r="A485" t="s">
        <v>5531</v>
      </c>
      <c r="B485" t="s">
        <v>5024</v>
      </c>
      <c r="C485" t="s">
        <v>5047</v>
      </c>
      <c r="D485">
        <v>466.19</v>
      </c>
      <c r="E485">
        <v>400.92340000000002</v>
      </c>
      <c r="F485" t="s">
        <v>5048</v>
      </c>
    </row>
    <row r="486" spans="1:6" x14ac:dyDescent="0.25">
      <c r="A486" t="s">
        <v>5532</v>
      </c>
      <c r="B486" t="s">
        <v>5025</v>
      </c>
      <c r="C486" t="s">
        <v>5047</v>
      </c>
      <c r="D486">
        <v>352.2</v>
      </c>
      <c r="E486">
        <v>288.80399999999997</v>
      </c>
      <c r="F486" t="s">
        <v>5048</v>
      </c>
    </row>
    <row r="487" spans="1:6" x14ac:dyDescent="0.25">
      <c r="A487" t="s">
        <v>5533</v>
      </c>
      <c r="B487" t="s">
        <v>5026</v>
      </c>
      <c r="C487" t="s">
        <v>5047</v>
      </c>
      <c r="D487">
        <v>370.37</v>
      </c>
      <c r="E487">
        <v>299.99970000000002</v>
      </c>
      <c r="F487" t="s">
        <v>5048</v>
      </c>
    </row>
    <row r="488" spans="1:6" x14ac:dyDescent="0.25">
      <c r="A488" t="s">
        <v>5534</v>
      </c>
      <c r="B488" t="s">
        <v>5027</v>
      </c>
      <c r="C488" t="s">
        <v>5047</v>
      </c>
      <c r="D488">
        <v>227.59</v>
      </c>
      <c r="E488">
        <v>163.8648</v>
      </c>
      <c r="F488" t="s">
        <v>5048</v>
      </c>
    </row>
    <row r="489" spans="1:6" x14ac:dyDescent="0.25">
      <c r="A489" t="s">
        <v>5535</v>
      </c>
      <c r="B489" t="s">
        <v>5028</v>
      </c>
      <c r="C489" t="s">
        <v>5047</v>
      </c>
      <c r="D489">
        <v>318.33</v>
      </c>
      <c r="E489">
        <v>251.48069999999998</v>
      </c>
      <c r="F489" t="s">
        <v>5048</v>
      </c>
    </row>
    <row r="490" spans="1:6" x14ac:dyDescent="0.25">
      <c r="A490" t="s">
        <v>5536</v>
      </c>
      <c r="B490" t="s">
        <v>5029</v>
      </c>
      <c r="C490" t="s">
        <v>5047</v>
      </c>
      <c r="D490">
        <v>233.79</v>
      </c>
      <c r="E490">
        <v>173.00459999999998</v>
      </c>
      <c r="F490" t="s">
        <v>5048</v>
      </c>
    </row>
    <row r="491" spans="1:6" x14ac:dyDescent="0.25">
      <c r="A491" t="s">
        <v>5537</v>
      </c>
      <c r="B491" t="s">
        <v>5030</v>
      </c>
      <c r="C491" t="s">
        <v>5047</v>
      </c>
      <c r="D491">
        <v>456.26</v>
      </c>
      <c r="E491">
        <v>406.07139999999998</v>
      </c>
      <c r="F491" t="s">
        <v>5048</v>
      </c>
    </row>
    <row r="492" spans="1:6" x14ac:dyDescent="0.25">
      <c r="A492" t="s">
        <v>5538</v>
      </c>
      <c r="B492" t="s">
        <v>5031</v>
      </c>
      <c r="C492" t="s">
        <v>5047</v>
      </c>
      <c r="D492">
        <v>335.99</v>
      </c>
      <c r="E492">
        <v>251.99250000000001</v>
      </c>
      <c r="F492" t="s">
        <v>5048</v>
      </c>
    </row>
    <row r="493" spans="1:6" x14ac:dyDescent="0.25">
      <c r="A493" t="s">
        <v>5539</v>
      </c>
      <c r="B493" t="s">
        <v>5032</v>
      </c>
      <c r="C493" t="s">
        <v>5047</v>
      </c>
      <c r="D493">
        <v>490.06</v>
      </c>
      <c r="E493">
        <v>372.44560000000001</v>
      </c>
      <c r="F493" t="s">
        <v>5048</v>
      </c>
    </row>
    <row r="494" spans="1:6" x14ac:dyDescent="0.25">
      <c r="A494" t="s">
        <v>5540</v>
      </c>
      <c r="B494" t="s">
        <v>5033</v>
      </c>
      <c r="C494" t="s">
        <v>5047</v>
      </c>
      <c r="D494">
        <v>271.89</v>
      </c>
      <c r="E494">
        <v>228.38759999999999</v>
      </c>
      <c r="F494" t="s">
        <v>5048</v>
      </c>
    </row>
    <row r="495" spans="1:6" x14ac:dyDescent="0.25">
      <c r="A495" t="s">
        <v>5541</v>
      </c>
      <c r="B495" t="s">
        <v>5034</v>
      </c>
      <c r="C495" t="s">
        <v>5047</v>
      </c>
      <c r="D495">
        <v>488.71</v>
      </c>
      <c r="E495">
        <v>361.6454</v>
      </c>
      <c r="F495" t="s">
        <v>5048</v>
      </c>
    </row>
    <row r="496" spans="1:6" x14ac:dyDescent="0.25">
      <c r="A496" t="s">
        <v>5542</v>
      </c>
      <c r="B496" t="s">
        <v>5035</v>
      </c>
      <c r="C496" t="s">
        <v>5047</v>
      </c>
      <c r="D496">
        <v>272.33</v>
      </c>
      <c r="E496">
        <v>245.09699999999998</v>
      </c>
      <c r="F496" t="s">
        <v>5048</v>
      </c>
    </row>
    <row r="497" spans="1:6" x14ac:dyDescent="0.25">
      <c r="A497" t="s">
        <v>5543</v>
      </c>
      <c r="B497" t="s">
        <v>5036</v>
      </c>
      <c r="C497" t="s">
        <v>5047</v>
      </c>
      <c r="D497">
        <v>127.46</v>
      </c>
      <c r="E497">
        <v>91.771199999999993</v>
      </c>
      <c r="F497" t="s">
        <v>5048</v>
      </c>
    </row>
    <row r="498" spans="1:6" x14ac:dyDescent="0.25">
      <c r="A498" t="s">
        <v>5544</v>
      </c>
      <c r="B498" t="s">
        <v>5037</v>
      </c>
      <c r="C498" t="s">
        <v>5047</v>
      </c>
      <c r="D498">
        <v>175.72</v>
      </c>
      <c r="E498">
        <v>158.148</v>
      </c>
      <c r="F498" t="s">
        <v>5048</v>
      </c>
    </row>
    <row r="499" spans="1:6" x14ac:dyDescent="0.25">
      <c r="A499" t="s">
        <v>5545</v>
      </c>
      <c r="B499" t="s">
        <v>5038</v>
      </c>
      <c r="C499" t="s">
        <v>5047</v>
      </c>
      <c r="D499">
        <v>465.62</v>
      </c>
      <c r="E499">
        <v>353.87119999999999</v>
      </c>
      <c r="F499" t="s">
        <v>5048</v>
      </c>
    </row>
    <row r="500" spans="1:6" x14ac:dyDescent="0.25">
      <c r="A500" t="s">
        <v>5546</v>
      </c>
      <c r="B500" t="s">
        <v>5039</v>
      </c>
      <c r="C500" t="s">
        <v>5047</v>
      </c>
      <c r="D500">
        <v>258.33</v>
      </c>
      <c r="E500">
        <v>216.99719999999999</v>
      </c>
      <c r="F500" t="s">
        <v>5048</v>
      </c>
    </row>
    <row r="501" spans="1:6" x14ac:dyDescent="0.25">
      <c r="A501" t="s">
        <v>5547</v>
      </c>
      <c r="B501" t="s">
        <v>5040</v>
      </c>
      <c r="C501" t="s">
        <v>5047</v>
      </c>
      <c r="D501">
        <v>483.63</v>
      </c>
      <c r="E501">
        <v>435.267</v>
      </c>
      <c r="F501" t="s">
        <v>5048</v>
      </c>
    </row>
  </sheetData>
  <pageMargins left="0.7" right="0.7" top="0.75" bottom="0.75" header="0.3" footer="0.3"/>
  <ignoredErrors>
    <ignoredError sqref="A1:F50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1"/>
  <sheetViews>
    <sheetView zoomScale="70" zoomScaleNormal="70" workbookViewId="0">
      <selection activeCell="P21" sqref="P21"/>
    </sheetView>
  </sheetViews>
  <sheetFormatPr defaultRowHeight="15.75" x14ac:dyDescent="0.25"/>
  <cols>
    <col min="2" max="2" width="18" bestFit="1" customWidth="1"/>
  </cols>
  <sheetData>
    <row r="1" spans="1:3" x14ac:dyDescent="0.25">
      <c r="A1" t="s">
        <v>2081</v>
      </c>
      <c r="B1" t="s">
        <v>1</v>
      </c>
      <c r="C1" t="s">
        <v>5548</v>
      </c>
    </row>
    <row r="2" spans="1:3" x14ac:dyDescent="0.25">
      <c r="A2" t="s">
        <v>2169</v>
      </c>
      <c r="B2" t="s">
        <v>5549</v>
      </c>
      <c r="C2" t="s">
        <v>5550</v>
      </c>
    </row>
    <row r="3" spans="1:3" x14ac:dyDescent="0.25">
      <c r="A3" t="s">
        <v>2132</v>
      </c>
      <c r="B3" t="s">
        <v>5551</v>
      </c>
      <c r="C3" t="s">
        <v>5552</v>
      </c>
    </row>
    <row r="4" spans="1:3" x14ac:dyDescent="0.25">
      <c r="A4" t="s">
        <v>2162</v>
      </c>
      <c r="B4" t="s">
        <v>5553</v>
      </c>
      <c r="C4" t="s">
        <v>5550</v>
      </c>
    </row>
    <row r="5" spans="1:3" x14ac:dyDescent="0.25">
      <c r="A5" t="s">
        <v>2086</v>
      </c>
      <c r="B5" t="s">
        <v>5554</v>
      </c>
      <c r="C5" t="s">
        <v>5555</v>
      </c>
    </row>
    <row r="6" spans="1:3" x14ac:dyDescent="0.25">
      <c r="A6" t="s">
        <v>2106</v>
      </c>
      <c r="B6" t="s">
        <v>5556</v>
      </c>
      <c r="C6" t="s">
        <v>5557</v>
      </c>
    </row>
    <row r="7" spans="1:3" x14ac:dyDescent="0.25">
      <c r="A7" t="s">
        <v>2138</v>
      </c>
      <c r="B7" t="s">
        <v>5558</v>
      </c>
      <c r="C7" t="s">
        <v>5555</v>
      </c>
    </row>
    <row r="8" spans="1:3" x14ac:dyDescent="0.25">
      <c r="A8" t="s">
        <v>2102</v>
      </c>
      <c r="B8" t="s">
        <v>5559</v>
      </c>
      <c r="C8" t="s">
        <v>5560</v>
      </c>
    </row>
    <row r="9" spans="1:3" x14ac:dyDescent="0.25">
      <c r="A9" t="s">
        <v>2185</v>
      </c>
      <c r="B9" t="s">
        <v>5561</v>
      </c>
      <c r="C9" t="s">
        <v>5562</v>
      </c>
    </row>
    <row r="10" spans="1:3" x14ac:dyDescent="0.25">
      <c r="A10" t="s">
        <v>2095</v>
      </c>
      <c r="B10" t="s">
        <v>5563</v>
      </c>
      <c r="C10" t="s">
        <v>5552</v>
      </c>
    </row>
    <row r="11" spans="1:3" x14ac:dyDescent="0.25">
      <c r="A11" t="s">
        <v>2227</v>
      </c>
      <c r="B11" t="s">
        <v>5564</v>
      </c>
      <c r="C11" t="s">
        <v>5562</v>
      </c>
    </row>
    <row r="12" spans="1:3" x14ac:dyDescent="0.25">
      <c r="A12" t="s">
        <v>2247</v>
      </c>
      <c r="B12" t="s">
        <v>5565</v>
      </c>
      <c r="C12" t="s">
        <v>5550</v>
      </c>
    </row>
    <row r="13" spans="1:3" x14ac:dyDescent="0.25">
      <c r="A13" t="s">
        <v>2126</v>
      </c>
      <c r="B13" t="s">
        <v>5566</v>
      </c>
      <c r="C13" t="s">
        <v>5560</v>
      </c>
    </row>
    <row r="14" spans="1:3" x14ac:dyDescent="0.25">
      <c r="A14" t="s">
        <v>2123</v>
      </c>
      <c r="B14" t="s">
        <v>5567</v>
      </c>
      <c r="C14" t="s">
        <v>5552</v>
      </c>
    </row>
    <row r="15" spans="1:3" x14ac:dyDescent="0.25">
      <c r="A15" t="s">
        <v>2116</v>
      </c>
      <c r="B15" t="s">
        <v>5568</v>
      </c>
      <c r="C15" t="s">
        <v>5550</v>
      </c>
    </row>
    <row r="16" spans="1:3" x14ac:dyDescent="0.25">
      <c r="A16" t="s">
        <v>2201</v>
      </c>
      <c r="B16" t="s">
        <v>5569</v>
      </c>
      <c r="C16" t="s">
        <v>5560</v>
      </c>
    </row>
    <row r="17" spans="1:3" x14ac:dyDescent="0.25">
      <c r="A17" t="s">
        <v>2196</v>
      </c>
      <c r="B17" t="s">
        <v>5570</v>
      </c>
      <c r="C17" t="s">
        <v>5557</v>
      </c>
    </row>
    <row r="18" spans="1:3" x14ac:dyDescent="0.25">
      <c r="A18" t="s">
        <v>2303</v>
      </c>
      <c r="B18" t="s">
        <v>5571</v>
      </c>
      <c r="C18" t="s">
        <v>5560</v>
      </c>
    </row>
    <row r="19" spans="1:3" x14ac:dyDescent="0.25">
      <c r="A19" t="s">
        <v>2091</v>
      </c>
      <c r="B19" t="s">
        <v>5572</v>
      </c>
      <c r="C19" t="s">
        <v>5573</v>
      </c>
    </row>
    <row r="20" spans="1:3" x14ac:dyDescent="0.25">
      <c r="A20" t="s">
        <v>2147</v>
      </c>
      <c r="B20" t="s">
        <v>5571</v>
      </c>
      <c r="C20" t="s">
        <v>5550</v>
      </c>
    </row>
    <row r="21" spans="1:3" x14ac:dyDescent="0.25">
      <c r="A21" t="s">
        <v>2317</v>
      </c>
      <c r="B21" t="s">
        <v>5574</v>
      </c>
      <c r="C21" t="s">
        <v>5562</v>
      </c>
    </row>
    <row r="22" spans="1:3" x14ac:dyDescent="0.25">
      <c r="A22" t="s">
        <v>2216</v>
      </c>
      <c r="B22" t="s">
        <v>5565</v>
      </c>
      <c r="C22" t="s">
        <v>5562</v>
      </c>
    </row>
    <row r="23" spans="1:3" x14ac:dyDescent="0.25">
      <c r="A23" t="s">
        <v>2129</v>
      </c>
      <c r="B23" t="s">
        <v>5575</v>
      </c>
      <c r="C23" t="s">
        <v>5573</v>
      </c>
    </row>
    <row r="24" spans="1:3" x14ac:dyDescent="0.25">
      <c r="A24" t="s">
        <v>2258</v>
      </c>
      <c r="B24" t="s">
        <v>5558</v>
      </c>
      <c r="C24" t="s">
        <v>5573</v>
      </c>
    </row>
    <row r="25" spans="1:3" x14ac:dyDescent="0.25">
      <c r="A25" t="s">
        <v>2113</v>
      </c>
      <c r="B25" t="s">
        <v>5576</v>
      </c>
      <c r="C25" t="s">
        <v>5550</v>
      </c>
    </row>
    <row r="26" spans="1:3" x14ac:dyDescent="0.25">
      <c r="A26" t="s">
        <v>2135</v>
      </c>
      <c r="B26" t="s">
        <v>5577</v>
      </c>
      <c r="C26" t="s">
        <v>5562</v>
      </c>
    </row>
    <row r="27" spans="1:3" x14ac:dyDescent="0.25">
      <c r="A27" t="s">
        <v>2152</v>
      </c>
      <c r="B27" t="s">
        <v>5578</v>
      </c>
      <c r="C27" t="s">
        <v>5560</v>
      </c>
    </row>
    <row r="28" spans="1:3" x14ac:dyDescent="0.25">
      <c r="A28" t="s">
        <v>2099</v>
      </c>
      <c r="B28" t="s">
        <v>5579</v>
      </c>
      <c r="C28" t="s">
        <v>5560</v>
      </c>
    </row>
    <row r="29" spans="1:3" x14ac:dyDescent="0.25">
      <c r="A29" t="s">
        <v>2110</v>
      </c>
      <c r="B29" t="s">
        <v>5580</v>
      </c>
      <c r="C29" t="s">
        <v>5550</v>
      </c>
    </row>
    <row r="30" spans="1:3" x14ac:dyDescent="0.25">
      <c r="A30" t="s">
        <v>2157</v>
      </c>
      <c r="B30" t="s">
        <v>5577</v>
      </c>
      <c r="C30" t="s">
        <v>5557</v>
      </c>
    </row>
    <row r="31" spans="1:3" x14ac:dyDescent="0.25">
      <c r="A31" t="s">
        <v>2180</v>
      </c>
      <c r="B31" t="s">
        <v>5581</v>
      </c>
      <c r="C31" t="s">
        <v>5562</v>
      </c>
    </row>
  </sheetData>
  <pageMargins left="0.7" right="0.7" top="0.75" bottom="0.75" header="0.3" footer="0.3"/>
  <ignoredErrors>
    <ignoredError sqref="A1:C3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501"/>
  <sheetViews>
    <sheetView topLeftCell="A483" zoomScale="145" zoomScaleNormal="145" workbookViewId="0">
      <selection activeCell="I488" sqref="I488"/>
    </sheetView>
  </sheetViews>
  <sheetFormatPr defaultRowHeight="15.75" x14ac:dyDescent="0.25"/>
  <cols>
    <col min="4" max="4" width="10.875" bestFit="1" customWidth="1"/>
  </cols>
  <sheetData>
    <row r="1" spans="1:7" x14ac:dyDescent="0.25">
      <c r="A1" t="s">
        <v>5582</v>
      </c>
      <c r="B1" t="s">
        <v>2080</v>
      </c>
      <c r="C1" t="s">
        <v>5583</v>
      </c>
      <c r="D1" t="s">
        <v>5584</v>
      </c>
      <c r="E1" t="s">
        <v>5585</v>
      </c>
      <c r="F1" t="s">
        <v>5586</v>
      </c>
      <c r="G1" t="s">
        <v>5587</v>
      </c>
    </row>
    <row r="2" spans="1:7" x14ac:dyDescent="0.25">
      <c r="A2" t="s">
        <v>5588</v>
      </c>
      <c r="B2" t="s">
        <v>2090</v>
      </c>
      <c r="C2" t="s">
        <v>5589</v>
      </c>
      <c r="D2" t="s">
        <v>5590</v>
      </c>
      <c r="E2" t="s">
        <v>2092</v>
      </c>
      <c r="F2">
        <v>30</v>
      </c>
      <c r="G2">
        <v>1</v>
      </c>
    </row>
    <row r="3" spans="1:7" x14ac:dyDescent="0.25">
      <c r="A3" t="s">
        <v>5591</v>
      </c>
      <c r="B3" t="s">
        <v>2094</v>
      </c>
      <c r="C3" t="s">
        <v>5592</v>
      </c>
      <c r="D3" t="s">
        <v>5593</v>
      </c>
      <c r="E3" t="s">
        <v>2097</v>
      </c>
      <c r="F3">
        <v>30</v>
      </c>
      <c r="G3">
        <v>1</v>
      </c>
    </row>
    <row r="4" spans="1:7" x14ac:dyDescent="0.25">
      <c r="A4" t="s">
        <v>5594</v>
      </c>
      <c r="B4" t="s">
        <v>2098</v>
      </c>
      <c r="C4" t="s">
        <v>5592</v>
      </c>
      <c r="D4" t="s">
        <v>5595</v>
      </c>
      <c r="E4" t="s">
        <v>2100</v>
      </c>
      <c r="F4">
        <v>30</v>
      </c>
      <c r="G4">
        <v>1</v>
      </c>
    </row>
    <row r="5" spans="1:7" x14ac:dyDescent="0.25">
      <c r="A5" t="s">
        <v>5596</v>
      </c>
      <c r="B5" t="s">
        <v>2105</v>
      </c>
      <c r="C5" t="s">
        <v>5597</v>
      </c>
      <c r="D5" t="s">
        <v>5598</v>
      </c>
      <c r="E5" t="s">
        <v>2107</v>
      </c>
      <c r="F5">
        <v>30</v>
      </c>
      <c r="G5">
        <v>1</v>
      </c>
    </row>
    <row r="6" spans="1:7" x14ac:dyDescent="0.25">
      <c r="A6" t="s">
        <v>5599</v>
      </c>
      <c r="B6" t="s">
        <v>2112</v>
      </c>
      <c r="C6" t="s">
        <v>5592</v>
      </c>
      <c r="D6" t="s">
        <v>5593</v>
      </c>
      <c r="E6" t="s">
        <v>2114</v>
      </c>
      <c r="F6">
        <v>30</v>
      </c>
      <c r="G6">
        <v>1</v>
      </c>
    </row>
    <row r="7" spans="1:7" x14ac:dyDescent="0.25">
      <c r="A7" t="s">
        <v>5600</v>
      </c>
      <c r="B7" t="s">
        <v>2115</v>
      </c>
      <c r="C7" t="s">
        <v>5592</v>
      </c>
      <c r="D7" t="s">
        <v>5598</v>
      </c>
      <c r="E7" t="s">
        <v>2117</v>
      </c>
      <c r="F7">
        <v>30</v>
      </c>
      <c r="G7">
        <v>1</v>
      </c>
    </row>
    <row r="8" spans="1:7" x14ac:dyDescent="0.25">
      <c r="A8" t="s">
        <v>5601</v>
      </c>
      <c r="B8" t="s">
        <v>2118</v>
      </c>
      <c r="C8" t="s">
        <v>5602</v>
      </c>
      <c r="D8" t="s">
        <v>5598</v>
      </c>
      <c r="E8" t="s">
        <v>2119</v>
      </c>
      <c r="F8">
        <v>30</v>
      </c>
      <c r="G8">
        <v>1</v>
      </c>
    </row>
    <row r="9" spans="1:7" x14ac:dyDescent="0.25">
      <c r="A9" t="s">
        <v>5603</v>
      </c>
      <c r="B9" t="s">
        <v>2120</v>
      </c>
      <c r="C9" t="s">
        <v>5592</v>
      </c>
      <c r="D9" t="s">
        <v>5590</v>
      </c>
      <c r="E9" t="s">
        <v>2121</v>
      </c>
      <c r="F9">
        <v>30</v>
      </c>
      <c r="G9">
        <v>1</v>
      </c>
    </row>
    <row r="10" spans="1:7" x14ac:dyDescent="0.25">
      <c r="A10" t="s">
        <v>5604</v>
      </c>
      <c r="B10" t="s">
        <v>2122</v>
      </c>
      <c r="C10" t="s">
        <v>5592</v>
      </c>
      <c r="D10" t="s">
        <v>5595</v>
      </c>
      <c r="E10" t="s">
        <v>2124</v>
      </c>
      <c r="F10">
        <v>30</v>
      </c>
      <c r="G10">
        <v>1</v>
      </c>
    </row>
    <row r="11" spans="1:7" x14ac:dyDescent="0.25">
      <c r="A11" t="s">
        <v>5605</v>
      </c>
      <c r="B11" t="s">
        <v>2125</v>
      </c>
      <c r="C11" t="s">
        <v>5589</v>
      </c>
      <c r="D11" t="s">
        <v>5593</v>
      </c>
      <c r="E11" t="s">
        <v>2127</v>
      </c>
      <c r="F11">
        <v>30</v>
      </c>
      <c r="G11">
        <v>1</v>
      </c>
    </row>
    <row r="12" spans="1:7" x14ac:dyDescent="0.25">
      <c r="A12" t="s">
        <v>5606</v>
      </c>
      <c r="B12" t="s">
        <v>2131</v>
      </c>
      <c r="C12" t="s">
        <v>5592</v>
      </c>
      <c r="D12" t="s">
        <v>5598</v>
      </c>
      <c r="E12" t="s">
        <v>2133</v>
      </c>
      <c r="F12">
        <v>30</v>
      </c>
      <c r="G12">
        <v>1</v>
      </c>
    </row>
    <row r="13" spans="1:7" x14ac:dyDescent="0.25">
      <c r="A13" t="s">
        <v>5607</v>
      </c>
      <c r="B13" t="s">
        <v>2142</v>
      </c>
      <c r="C13" t="s">
        <v>5589</v>
      </c>
      <c r="D13" t="s">
        <v>5590</v>
      </c>
      <c r="E13" t="s">
        <v>2143</v>
      </c>
      <c r="F13">
        <v>30</v>
      </c>
      <c r="G13">
        <v>1</v>
      </c>
    </row>
    <row r="14" spans="1:7" x14ac:dyDescent="0.25">
      <c r="A14" t="s">
        <v>5608</v>
      </c>
      <c r="B14" t="s">
        <v>2146</v>
      </c>
      <c r="C14" t="s">
        <v>5589</v>
      </c>
      <c r="D14" t="s">
        <v>5595</v>
      </c>
      <c r="E14" t="s">
        <v>2148</v>
      </c>
      <c r="F14">
        <v>30</v>
      </c>
      <c r="G14">
        <v>1</v>
      </c>
    </row>
    <row r="15" spans="1:7" x14ac:dyDescent="0.25">
      <c r="A15" t="s">
        <v>5609</v>
      </c>
      <c r="B15" t="s">
        <v>2151</v>
      </c>
      <c r="C15" t="s">
        <v>5602</v>
      </c>
      <c r="D15" t="s">
        <v>5590</v>
      </c>
      <c r="E15" t="s">
        <v>2153</v>
      </c>
      <c r="F15">
        <v>30</v>
      </c>
      <c r="G15">
        <v>1</v>
      </c>
    </row>
    <row r="16" spans="1:7" x14ac:dyDescent="0.25">
      <c r="A16" t="s">
        <v>5610</v>
      </c>
      <c r="B16" t="s">
        <v>2154</v>
      </c>
      <c r="C16" t="s">
        <v>5589</v>
      </c>
      <c r="D16" t="s">
        <v>5593</v>
      </c>
      <c r="E16" t="s">
        <v>2155</v>
      </c>
      <c r="F16">
        <v>30</v>
      </c>
      <c r="G16">
        <v>1</v>
      </c>
    </row>
    <row r="17" spans="1:7" x14ac:dyDescent="0.25">
      <c r="A17" t="s">
        <v>5611</v>
      </c>
      <c r="B17" t="s">
        <v>2159</v>
      </c>
      <c r="C17" t="s">
        <v>5602</v>
      </c>
      <c r="D17" t="s">
        <v>5595</v>
      </c>
      <c r="E17" t="s">
        <v>2160</v>
      </c>
      <c r="F17">
        <v>30</v>
      </c>
      <c r="G17">
        <v>1</v>
      </c>
    </row>
    <row r="18" spans="1:7" x14ac:dyDescent="0.25">
      <c r="A18" t="s">
        <v>5612</v>
      </c>
      <c r="B18" t="s">
        <v>2166</v>
      </c>
      <c r="C18" t="s">
        <v>5589</v>
      </c>
      <c r="D18" t="s">
        <v>5593</v>
      </c>
      <c r="E18" t="s">
        <v>2167</v>
      </c>
      <c r="F18">
        <v>30</v>
      </c>
      <c r="G18">
        <v>1</v>
      </c>
    </row>
    <row r="19" spans="1:7" x14ac:dyDescent="0.25">
      <c r="A19" t="s">
        <v>5613</v>
      </c>
      <c r="B19" t="s">
        <v>2175</v>
      </c>
      <c r="C19" t="s">
        <v>5592</v>
      </c>
      <c r="D19" t="s">
        <v>5595</v>
      </c>
      <c r="E19" t="s">
        <v>2176</v>
      </c>
      <c r="F19">
        <v>30</v>
      </c>
      <c r="G19">
        <v>1</v>
      </c>
    </row>
    <row r="20" spans="1:7" x14ac:dyDescent="0.25">
      <c r="A20" t="s">
        <v>5614</v>
      </c>
      <c r="B20" t="s">
        <v>2177</v>
      </c>
      <c r="C20" t="s">
        <v>5589</v>
      </c>
      <c r="D20" t="s">
        <v>5595</v>
      </c>
      <c r="E20" t="s">
        <v>2178</v>
      </c>
      <c r="F20">
        <v>30</v>
      </c>
      <c r="G20">
        <v>1</v>
      </c>
    </row>
    <row r="21" spans="1:7" x14ac:dyDescent="0.25">
      <c r="A21" t="s">
        <v>5615</v>
      </c>
      <c r="B21" t="s">
        <v>2179</v>
      </c>
      <c r="C21" t="s">
        <v>5597</v>
      </c>
      <c r="D21" t="s">
        <v>5593</v>
      </c>
      <c r="E21" t="s">
        <v>2181</v>
      </c>
      <c r="F21">
        <v>30</v>
      </c>
      <c r="G21">
        <v>1</v>
      </c>
    </row>
    <row r="22" spans="1:7" x14ac:dyDescent="0.25">
      <c r="A22" t="s">
        <v>5616</v>
      </c>
      <c r="B22" t="s">
        <v>2184</v>
      </c>
      <c r="C22" t="s">
        <v>5602</v>
      </c>
      <c r="D22" t="s">
        <v>5593</v>
      </c>
      <c r="E22" t="s">
        <v>2186</v>
      </c>
      <c r="F22">
        <v>30</v>
      </c>
      <c r="G22">
        <v>1</v>
      </c>
    </row>
    <row r="23" spans="1:7" x14ac:dyDescent="0.25">
      <c r="A23" t="s">
        <v>5617</v>
      </c>
      <c r="B23" t="s">
        <v>2187</v>
      </c>
      <c r="C23" t="s">
        <v>5602</v>
      </c>
      <c r="D23" t="s">
        <v>5590</v>
      </c>
      <c r="E23" t="s">
        <v>2188</v>
      </c>
      <c r="F23">
        <v>30</v>
      </c>
      <c r="G23">
        <v>1</v>
      </c>
    </row>
    <row r="24" spans="1:7" x14ac:dyDescent="0.25">
      <c r="A24" t="s">
        <v>5618</v>
      </c>
      <c r="B24" t="s">
        <v>2195</v>
      </c>
      <c r="C24" t="s">
        <v>5592</v>
      </c>
      <c r="D24" t="s">
        <v>5593</v>
      </c>
      <c r="E24" t="s">
        <v>2197</v>
      </c>
      <c r="F24">
        <v>30</v>
      </c>
      <c r="G24">
        <v>1</v>
      </c>
    </row>
    <row r="25" spans="1:7" x14ac:dyDescent="0.25">
      <c r="A25" t="s">
        <v>5619</v>
      </c>
      <c r="B25" t="s">
        <v>2200</v>
      </c>
      <c r="C25" t="s">
        <v>5602</v>
      </c>
      <c r="D25" t="s">
        <v>5590</v>
      </c>
      <c r="E25" t="s">
        <v>2202</v>
      </c>
      <c r="F25">
        <v>30</v>
      </c>
      <c r="G25">
        <v>1</v>
      </c>
    </row>
    <row r="26" spans="1:7" x14ac:dyDescent="0.25">
      <c r="A26" t="s">
        <v>5620</v>
      </c>
      <c r="B26" t="s">
        <v>2203</v>
      </c>
      <c r="C26" t="s">
        <v>5602</v>
      </c>
      <c r="D26" t="s">
        <v>5598</v>
      </c>
      <c r="E26" t="s">
        <v>2107</v>
      </c>
      <c r="F26">
        <v>30</v>
      </c>
      <c r="G26">
        <v>1</v>
      </c>
    </row>
    <row r="27" spans="1:7" x14ac:dyDescent="0.25">
      <c r="A27" t="s">
        <v>5621</v>
      </c>
      <c r="B27" t="s">
        <v>2205</v>
      </c>
      <c r="C27" t="s">
        <v>5589</v>
      </c>
      <c r="D27" t="s">
        <v>5590</v>
      </c>
      <c r="E27" t="s">
        <v>2206</v>
      </c>
      <c r="F27">
        <v>30</v>
      </c>
      <c r="G27">
        <v>1</v>
      </c>
    </row>
    <row r="28" spans="1:7" x14ac:dyDescent="0.25">
      <c r="A28" t="s">
        <v>5622</v>
      </c>
      <c r="B28" t="s">
        <v>2207</v>
      </c>
      <c r="C28" t="s">
        <v>5589</v>
      </c>
      <c r="D28" t="s">
        <v>5595</v>
      </c>
      <c r="E28" t="s">
        <v>2208</v>
      </c>
      <c r="F28">
        <v>30</v>
      </c>
      <c r="G28">
        <v>1</v>
      </c>
    </row>
    <row r="29" spans="1:7" x14ac:dyDescent="0.25">
      <c r="A29" t="s">
        <v>5623</v>
      </c>
      <c r="B29" t="s">
        <v>2209</v>
      </c>
      <c r="C29" t="s">
        <v>5602</v>
      </c>
      <c r="D29" t="s">
        <v>5595</v>
      </c>
      <c r="E29" t="s">
        <v>2210</v>
      </c>
      <c r="F29">
        <v>30</v>
      </c>
      <c r="G29">
        <v>1</v>
      </c>
    </row>
    <row r="30" spans="1:7" x14ac:dyDescent="0.25">
      <c r="A30" t="s">
        <v>5624</v>
      </c>
      <c r="B30" t="s">
        <v>2213</v>
      </c>
      <c r="C30" t="s">
        <v>5597</v>
      </c>
      <c r="D30" t="s">
        <v>5598</v>
      </c>
      <c r="E30" t="s">
        <v>2214</v>
      </c>
      <c r="F30">
        <v>30</v>
      </c>
      <c r="G30">
        <v>1</v>
      </c>
    </row>
    <row r="31" spans="1:7" x14ac:dyDescent="0.25">
      <c r="A31" t="s">
        <v>5625</v>
      </c>
      <c r="B31" t="s">
        <v>2218</v>
      </c>
      <c r="C31" t="s">
        <v>5602</v>
      </c>
      <c r="D31" t="s">
        <v>5590</v>
      </c>
      <c r="E31" t="s">
        <v>2219</v>
      </c>
      <c r="F31">
        <v>30</v>
      </c>
      <c r="G31">
        <v>1</v>
      </c>
    </row>
    <row r="32" spans="1:7" x14ac:dyDescent="0.25">
      <c r="A32" t="s">
        <v>5626</v>
      </c>
      <c r="B32" t="s">
        <v>2226</v>
      </c>
      <c r="C32" t="s">
        <v>5602</v>
      </c>
      <c r="D32" t="s">
        <v>5590</v>
      </c>
      <c r="E32" t="s">
        <v>2228</v>
      </c>
      <c r="F32">
        <v>30</v>
      </c>
      <c r="G32">
        <v>1</v>
      </c>
    </row>
    <row r="33" spans="1:7" x14ac:dyDescent="0.25">
      <c r="A33" t="s">
        <v>5627</v>
      </c>
      <c r="B33" t="s">
        <v>2231</v>
      </c>
      <c r="C33" t="s">
        <v>5597</v>
      </c>
      <c r="D33" t="s">
        <v>5598</v>
      </c>
      <c r="E33" t="s">
        <v>2232</v>
      </c>
      <c r="F33">
        <v>30</v>
      </c>
      <c r="G33">
        <v>1</v>
      </c>
    </row>
    <row r="34" spans="1:7" x14ac:dyDescent="0.25">
      <c r="A34" t="s">
        <v>5628</v>
      </c>
      <c r="B34" t="s">
        <v>2234</v>
      </c>
      <c r="C34" t="s">
        <v>5602</v>
      </c>
      <c r="D34" t="s">
        <v>5598</v>
      </c>
      <c r="E34" t="s">
        <v>2235</v>
      </c>
      <c r="F34">
        <v>30</v>
      </c>
      <c r="G34">
        <v>1</v>
      </c>
    </row>
    <row r="35" spans="1:7" x14ac:dyDescent="0.25">
      <c r="A35" t="s">
        <v>5629</v>
      </c>
      <c r="B35" t="s">
        <v>2238</v>
      </c>
      <c r="C35" t="s">
        <v>5597</v>
      </c>
      <c r="D35" t="s">
        <v>5590</v>
      </c>
      <c r="E35" t="s">
        <v>2239</v>
      </c>
      <c r="F35">
        <v>30</v>
      </c>
      <c r="G35">
        <v>1</v>
      </c>
    </row>
    <row r="36" spans="1:7" x14ac:dyDescent="0.25">
      <c r="A36" t="s">
        <v>5630</v>
      </c>
      <c r="B36" t="s">
        <v>2240</v>
      </c>
      <c r="C36" t="s">
        <v>5597</v>
      </c>
      <c r="D36" t="s">
        <v>5595</v>
      </c>
      <c r="E36" t="s">
        <v>2241</v>
      </c>
      <c r="F36">
        <v>30</v>
      </c>
      <c r="G36">
        <v>1</v>
      </c>
    </row>
    <row r="37" spans="1:7" x14ac:dyDescent="0.25">
      <c r="A37" t="s">
        <v>5631</v>
      </c>
      <c r="B37" t="s">
        <v>2242</v>
      </c>
      <c r="C37" t="s">
        <v>5602</v>
      </c>
      <c r="D37" t="s">
        <v>5590</v>
      </c>
      <c r="E37" t="s">
        <v>2243</v>
      </c>
      <c r="F37">
        <v>30</v>
      </c>
      <c r="G37">
        <v>1</v>
      </c>
    </row>
    <row r="38" spans="1:7" x14ac:dyDescent="0.25">
      <c r="A38" t="s">
        <v>5632</v>
      </c>
      <c r="B38" t="s">
        <v>2251</v>
      </c>
      <c r="C38" t="s">
        <v>5589</v>
      </c>
      <c r="D38" t="s">
        <v>5593</v>
      </c>
      <c r="E38" t="s">
        <v>2252</v>
      </c>
      <c r="F38">
        <v>30</v>
      </c>
      <c r="G38">
        <v>1</v>
      </c>
    </row>
    <row r="39" spans="1:7" x14ac:dyDescent="0.25">
      <c r="A39" t="s">
        <v>5633</v>
      </c>
      <c r="B39" t="s">
        <v>2262</v>
      </c>
      <c r="C39" t="s">
        <v>5597</v>
      </c>
      <c r="D39" t="s">
        <v>5593</v>
      </c>
      <c r="E39" t="s">
        <v>2263</v>
      </c>
      <c r="F39">
        <v>30</v>
      </c>
      <c r="G39">
        <v>1</v>
      </c>
    </row>
    <row r="40" spans="1:7" x14ac:dyDescent="0.25">
      <c r="A40" t="s">
        <v>5634</v>
      </c>
      <c r="B40" t="s">
        <v>2264</v>
      </c>
      <c r="C40" t="s">
        <v>5602</v>
      </c>
      <c r="D40" t="s">
        <v>5593</v>
      </c>
      <c r="E40" t="s">
        <v>2265</v>
      </c>
      <c r="F40">
        <v>30</v>
      </c>
      <c r="G40">
        <v>1</v>
      </c>
    </row>
    <row r="41" spans="1:7" x14ac:dyDescent="0.25">
      <c r="A41" t="s">
        <v>5635</v>
      </c>
      <c r="B41" t="s">
        <v>2266</v>
      </c>
      <c r="C41" t="s">
        <v>5597</v>
      </c>
      <c r="D41" t="s">
        <v>5598</v>
      </c>
      <c r="E41" t="s">
        <v>2267</v>
      </c>
      <c r="F41">
        <v>30</v>
      </c>
      <c r="G41">
        <v>1</v>
      </c>
    </row>
    <row r="42" spans="1:7" x14ac:dyDescent="0.25">
      <c r="A42" t="s">
        <v>5636</v>
      </c>
      <c r="B42" t="s">
        <v>2269</v>
      </c>
      <c r="C42" t="s">
        <v>5592</v>
      </c>
      <c r="D42" t="s">
        <v>5595</v>
      </c>
      <c r="E42" t="s">
        <v>2270</v>
      </c>
      <c r="F42">
        <v>30</v>
      </c>
      <c r="G42">
        <v>1</v>
      </c>
    </row>
    <row r="43" spans="1:7" x14ac:dyDescent="0.25">
      <c r="A43" t="s">
        <v>5637</v>
      </c>
      <c r="B43" t="s">
        <v>2273</v>
      </c>
      <c r="C43" t="s">
        <v>5589</v>
      </c>
      <c r="D43" t="s">
        <v>5590</v>
      </c>
      <c r="E43" t="s">
        <v>2274</v>
      </c>
      <c r="F43">
        <v>30</v>
      </c>
      <c r="G43">
        <v>1</v>
      </c>
    </row>
    <row r="44" spans="1:7" x14ac:dyDescent="0.25">
      <c r="A44" t="s">
        <v>5638</v>
      </c>
      <c r="B44" t="s">
        <v>2281</v>
      </c>
      <c r="C44" t="s">
        <v>5592</v>
      </c>
      <c r="D44" t="s">
        <v>5595</v>
      </c>
      <c r="E44" t="s">
        <v>2282</v>
      </c>
      <c r="F44">
        <v>30</v>
      </c>
      <c r="G44">
        <v>1</v>
      </c>
    </row>
    <row r="45" spans="1:7" x14ac:dyDescent="0.25">
      <c r="A45" t="s">
        <v>5639</v>
      </c>
      <c r="B45" t="s">
        <v>2283</v>
      </c>
      <c r="C45" t="s">
        <v>5597</v>
      </c>
      <c r="D45" t="s">
        <v>5590</v>
      </c>
      <c r="E45" t="s">
        <v>2194</v>
      </c>
      <c r="F45">
        <v>30</v>
      </c>
      <c r="G45">
        <v>1</v>
      </c>
    </row>
    <row r="46" spans="1:7" x14ac:dyDescent="0.25">
      <c r="A46" t="s">
        <v>5640</v>
      </c>
      <c r="B46" t="s">
        <v>2286</v>
      </c>
      <c r="C46" t="s">
        <v>5592</v>
      </c>
      <c r="D46" t="s">
        <v>5590</v>
      </c>
      <c r="E46" t="s">
        <v>2287</v>
      </c>
      <c r="F46">
        <v>30</v>
      </c>
      <c r="G46">
        <v>1</v>
      </c>
    </row>
    <row r="47" spans="1:7" x14ac:dyDescent="0.25">
      <c r="A47" t="s">
        <v>5641</v>
      </c>
      <c r="B47" t="s">
        <v>2290</v>
      </c>
      <c r="C47" t="s">
        <v>5592</v>
      </c>
      <c r="D47" t="s">
        <v>5598</v>
      </c>
      <c r="E47" t="s">
        <v>2291</v>
      </c>
      <c r="F47">
        <v>30</v>
      </c>
      <c r="G47">
        <v>1</v>
      </c>
    </row>
    <row r="48" spans="1:7" x14ac:dyDescent="0.25">
      <c r="A48" t="s">
        <v>5642</v>
      </c>
      <c r="B48" t="s">
        <v>2294</v>
      </c>
      <c r="C48" t="s">
        <v>5602</v>
      </c>
      <c r="D48" t="s">
        <v>5590</v>
      </c>
      <c r="E48" t="s">
        <v>2295</v>
      </c>
      <c r="F48">
        <v>30</v>
      </c>
      <c r="G48">
        <v>1</v>
      </c>
    </row>
    <row r="49" spans="1:7" x14ac:dyDescent="0.25">
      <c r="A49" t="s">
        <v>5643</v>
      </c>
      <c r="B49" t="s">
        <v>2298</v>
      </c>
      <c r="C49" t="s">
        <v>5589</v>
      </c>
      <c r="D49" t="s">
        <v>5595</v>
      </c>
      <c r="E49" t="s">
        <v>2299</v>
      </c>
      <c r="F49">
        <v>30</v>
      </c>
      <c r="G49">
        <v>1</v>
      </c>
    </row>
    <row r="50" spans="1:7" x14ac:dyDescent="0.25">
      <c r="A50" t="s">
        <v>5644</v>
      </c>
      <c r="B50" t="s">
        <v>2302</v>
      </c>
      <c r="C50" t="s">
        <v>5602</v>
      </c>
      <c r="D50" t="s">
        <v>5593</v>
      </c>
      <c r="E50" t="s">
        <v>2183</v>
      </c>
      <c r="F50">
        <v>30</v>
      </c>
      <c r="G50">
        <v>1</v>
      </c>
    </row>
    <row r="51" spans="1:7" x14ac:dyDescent="0.25">
      <c r="A51" t="s">
        <v>5645</v>
      </c>
      <c r="B51" t="s">
        <v>2306</v>
      </c>
      <c r="C51" t="s">
        <v>5589</v>
      </c>
      <c r="D51" t="s">
        <v>5590</v>
      </c>
      <c r="E51" t="s">
        <v>2307</v>
      </c>
      <c r="F51">
        <v>30</v>
      </c>
      <c r="G51">
        <v>1</v>
      </c>
    </row>
    <row r="52" spans="1:7" x14ac:dyDescent="0.25">
      <c r="A52" t="s">
        <v>5646</v>
      </c>
      <c r="B52" t="s">
        <v>2314</v>
      </c>
      <c r="C52" t="s">
        <v>5602</v>
      </c>
      <c r="D52" t="s">
        <v>5593</v>
      </c>
      <c r="E52" t="s">
        <v>2315</v>
      </c>
      <c r="F52">
        <v>30</v>
      </c>
      <c r="G52">
        <v>1</v>
      </c>
    </row>
    <row r="53" spans="1:7" x14ac:dyDescent="0.25">
      <c r="A53" t="s">
        <v>5647</v>
      </c>
      <c r="B53" t="s">
        <v>2316</v>
      </c>
      <c r="C53" t="s">
        <v>5597</v>
      </c>
      <c r="D53" t="s">
        <v>5590</v>
      </c>
      <c r="E53" t="s">
        <v>2318</v>
      </c>
      <c r="F53">
        <v>30</v>
      </c>
      <c r="G53">
        <v>1</v>
      </c>
    </row>
    <row r="54" spans="1:7" x14ac:dyDescent="0.25">
      <c r="A54" t="s">
        <v>5648</v>
      </c>
      <c r="B54" t="s">
        <v>2319</v>
      </c>
      <c r="C54" t="s">
        <v>5589</v>
      </c>
      <c r="D54" t="s">
        <v>5598</v>
      </c>
      <c r="E54" t="s">
        <v>2320</v>
      </c>
      <c r="F54">
        <v>30</v>
      </c>
      <c r="G54">
        <v>1</v>
      </c>
    </row>
    <row r="55" spans="1:7" x14ac:dyDescent="0.25">
      <c r="A55" t="s">
        <v>5649</v>
      </c>
      <c r="B55" t="s">
        <v>2321</v>
      </c>
      <c r="C55" t="s">
        <v>5602</v>
      </c>
      <c r="D55" t="s">
        <v>5598</v>
      </c>
      <c r="E55" t="s">
        <v>2103</v>
      </c>
      <c r="F55">
        <v>30</v>
      </c>
      <c r="G55">
        <v>1</v>
      </c>
    </row>
    <row r="56" spans="1:7" x14ac:dyDescent="0.25">
      <c r="A56" t="s">
        <v>5650</v>
      </c>
      <c r="B56" t="s">
        <v>2322</v>
      </c>
      <c r="C56" t="s">
        <v>5602</v>
      </c>
      <c r="D56" t="s">
        <v>5598</v>
      </c>
      <c r="E56" t="s">
        <v>2323</v>
      </c>
      <c r="F56">
        <v>30</v>
      </c>
      <c r="G56">
        <v>1</v>
      </c>
    </row>
    <row r="57" spans="1:7" x14ac:dyDescent="0.25">
      <c r="A57" t="s">
        <v>5651</v>
      </c>
      <c r="B57" t="s">
        <v>2326</v>
      </c>
      <c r="C57" t="s">
        <v>5592</v>
      </c>
      <c r="D57" t="s">
        <v>5598</v>
      </c>
      <c r="E57" t="s">
        <v>2327</v>
      </c>
      <c r="F57">
        <v>30</v>
      </c>
      <c r="G57">
        <v>1</v>
      </c>
    </row>
    <row r="58" spans="1:7" x14ac:dyDescent="0.25">
      <c r="A58" t="s">
        <v>5652</v>
      </c>
      <c r="B58" t="s">
        <v>2332</v>
      </c>
      <c r="C58" t="s">
        <v>5592</v>
      </c>
      <c r="D58" t="s">
        <v>5598</v>
      </c>
      <c r="E58" t="s">
        <v>2333</v>
      </c>
      <c r="F58">
        <v>30</v>
      </c>
      <c r="G58">
        <v>1</v>
      </c>
    </row>
    <row r="59" spans="1:7" x14ac:dyDescent="0.25">
      <c r="A59" t="s">
        <v>5653</v>
      </c>
      <c r="B59" t="s">
        <v>2334</v>
      </c>
      <c r="C59" t="s">
        <v>5597</v>
      </c>
      <c r="D59" t="s">
        <v>5598</v>
      </c>
      <c r="E59" t="s">
        <v>2335</v>
      </c>
      <c r="F59">
        <v>30</v>
      </c>
      <c r="G59">
        <v>1</v>
      </c>
    </row>
    <row r="60" spans="1:7" x14ac:dyDescent="0.25">
      <c r="A60" t="s">
        <v>5654</v>
      </c>
      <c r="B60" t="s">
        <v>2336</v>
      </c>
      <c r="C60" t="s">
        <v>5589</v>
      </c>
      <c r="D60" t="s">
        <v>5590</v>
      </c>
      <c r="E60" t="s">
        <v>2337</v>
      </c>
      <c r="F60">
        <v>30</v>
      </c>
      <c r="G60">
        <v>1</v>
      </c>
    </row>
    <row r="61" spans="1:7" x14ac:dyDescent="0.25">
      <c r="A61" t="s">
        <v>5655</v>
      </c>
      <c r="B61" t="s">
        <v>2342</v>
      </c>
      <c r="C61" t="s">
        <v>5592</v>
      </c>
      <c r="D61" t="s">
        <v>5598</v>
      </c>
      <c r="E61" t="s">
        <v>2343</v>
      </c>
      <c r="F61">
        <v>30</v>
      </c>
      <c r="G61">
        <v>1</v>
      </c>
    </row>
    <row r="62" spans="1:7" x14ac:dyDescent="0.25">
      <c r="A62" t="s">
        <v>5656</v>
      </c>
      <c r="B62" t="s">
        <v>2344</v>
      </c>
      <c r="C62" t="s">
        <v>5592</v>
      </c>
      <c r="D62" t="s">
        <v>5595</v>
      </c>
      <c r="E62" t="s">
        <v>2345</v>
      </c>
      <c r="F62">
        <v>30</v>
      </c>
      <c r="G62">
        <v>1</v>
      </c>
    </row>
    <row r="63" spans="1:7" x14ac:dyDescent="0.25">
      <c r="A63" t="s">
        <v>5657</v>
      </c>
      <c r="B63" t="s">
        <v>2346</v>
      </c>
      <c r="C63" t="s">
        <v>5602</v>
      </c>
      <c r="D63" t="s">
        <v>5598</v>
      </c>
      <c r="E63" t="s">
        <v>2347</v>
      </c>
      <c r="F63">
        <v>30</v>
      </c>
      <c r="G63">
        <v>1</v>
      </c>
    </row>
    <row r="64" spans="1:7" x14ac:dyDescent="0.25">
      <c r="A64" t="s">
        <v>5658</v>
      </c>
      <c r="B64" t="s">
        <v>2354</v>
      </c>
      <c r="C64" t="s">
        <v>5592</v>
      </c>
      <c r="D64" t="s">
        <v>5595</v>
      </c>
      <c r="E64" t="s">
        <v>2355</v>
      </c>
      <c r="F64">
        <v>30</v>
      </c>
      <c r="G64">
        <v>1</v>
      </c>
    </row>
    <row r="65" spans="1:7" x14ac:dyDescent="0.25">
      <c r="A65" t="s">
        <v>5659</v>
      </c>
      <c r="B65" t="s">
        <v>2357</v>
      </c>
      <c r="C65" t="s">
        <v>5592</v>
      </c>
      <c r="D65" t="s">
        <v>5595</v>
      </c>
      <c r="E65" t="s">
        <v>2358</v>
      </c>
      <c r="F65">
        <v>30</v>
      </c>
      <c r="G65">
        <v>1</v>
      </c>
    </row>
    <row r="66" spans="1:7" x14ac:dyDescent="0.25">
      <c r="A66" t="s">
        <v>5660</v>
      </c>
      <c r="B66" t="s">
        <v>2359</v>
      </c>
      <c r="C66" t="s">
        <v>5589</v>
      </c>
      <c r="D66" t="s">
        <v>5595</v>
      </c>
      <c r="E66" t="s">
        <v>2360</v>
      </c>
      <c r="F66">
        <v>30</v>
      </c>
      <c r="G66">
        <v>1</v>
      </c>
    </row>
    <row r="67" spans="1:7" x14ac:dyDescent="0.25">
      <c r="A67" t="s">
        <v>5661</v>
      </c>
      <c r="B67" t="s">
        <v>2361</v>
      </c>
      <c r="C67" t="s">
        <v>5597</v>
      </c>
      <c r="D67" t="s">
        <v>5593</v>
      </c>
      <c r="E67" t="s">
        <v>2362</v>
      </c>
      <c r="F67">
        <v>30</v>
      </c>
      <c r="G67">
        <v>1</v>
      </c>
    </row>
    <row r="68" spans="1:7" x14ac:dyDescent="0.25">
      <c r="A68" t="s">
        <v>5662</v>
      </c>
      <c r="B68" t="s">
        <v>2365</v>
      </c>
      <c r="C68" t="s">
        <v>5592</v>
      </c>
      <c r="D68" t="s">
        <v>5595</v>
      </c>
      <c r="E68" t="s">
        <v>2366</v>
      </c>
      <c r="F68">
        <v>30</v>
      </c>
      <c r="G68">
        <v>1</v>
      </c>
    </row>
    <row r="69" spans="1:7" x14ac:dyDescent="0.25">
      <c r="A69" t="s">
        <v>5663</v>
      </c>
      <c r="B69" t="s">
        <v>2369</v>
      </c>
      <c r="C69" t="s">
        <v>5589</v>
      </c>
      <c r="D69" t="s">
        <v>5598</v>
      </c>
      <c r="E69" t="s">
        <v>2370</v>
      </c>
      <c r="F69">
        <v>30</v>
      </c>
      <c r="G69">
        <v>1</v>
      </c>
    </row>
    <row r="70" spans="1:7" x14ac:dyDescent="0.25">
      <c r="A70" t="s">
        <v>5664</v>
      </c>
      <c r="B70" t="s">
        <v>2372</v>
      </c>
      <c r="C70" t="s">
        <v>5592</v>
      </c>
      <c r="D70" t="s">
        <v>5598</v>
      </c>
      <c r="E70" t="s">
        <v>2373</v>
      </c>
      <c r="F70">
        <v>30</v>
      </c>
      <c r="G70">
        <v>1</v>
      </c>
    </row>
    <row r="71" spans="1:7" x14ac:dyDescent="0.25">
      <c r="A71" t="s">
        <v>5665</v>
      </c>
      <c r="B71" t="s">
        <v>2374</v>
      </c>
      <c r="C71" t="s">
        <v>5597</v>
      </c>
      <c r="D71" t="s">
        <v>5590</v>
      </c>
      <c r="E71" t="s">
        <v>2375</v>
      </c>
      <c r="F71">
        <v>30</v>
      </c>
      <c r="G71">
        <v>1</v>
      </c>
    </row>
    <row r="72" spans="1:7" x14ac:dyDescent="0.25">
      <c r="A72" t="s">
        <v>5666</v>
      </c>
      <c r="B72" t="s">
        <v>2382</v>
      </c>
      <c r="C72" t="s">
        <v>5597</v>
      </c>
      <c r="D72" t="s">
        <v>5595</v>
      </c>
      <c r="E72" t="s">
        <v>2383</v>
      </c>
      <c r="F72">
        <v>30</v>
      </c>
      <c r="G72">
        <v>1</v>
      </c>
    </row>
    <row r="73" spans="1:7" x14ac:dyDescent="0.25">
      <c r="A73" t="s">
        <v>5667</v>
      </c>
      <c r="B73" t="s">
        <v>2386</v>
      </c>
      <c r="C73" t="s">
        <v>5597</v>
      </c>
      <c r="D73" t="s">
        <v>5590</v>
      </c>
      <c r="E73" t="s">
        <v>2387</v>
      </c>
      <c r="F73">
        <v>30</v>
      </c>
      <c r="G73">
        <v>1</v>
      </c>
    </row>
    <row r="74" spans="1:7" x14ac:dyDescent="0.25">
      <c r="A74" t="s">
        <v>5668</v>
      </c>
      <c r="B74" t="s">
        <v>2390</v>
      </c>
      <c r="C74" t="s">
        <v>5597</v>
      </c>
      <c r="D74" t="s">
        <v>5595</v>
      </c>
      <c r="E74" t="s">
        <v>2391</v>
      </c>
      <c r="F74">
        <v>30</v>
      </c>
      <c r="G74">
        <v>1</v>
      </c>
    </row>
    <row r="75" spans="1:7" x14ac:dyDescent="0.25">
      <c r="A75" t="s">
        <v>5669</v>
      </c>
      <c r="B75" t="s">
        <v>2394</v>
      </c>
      <c r="C75" t="s">
        <v>5592</v>
      </c>
      <c r="D75" t="s">
        <v>5593</v>
      </c>
      <c r="E75" t="s">
        <v>2395</v>
      </c>
      <c r="F75">
        <v>30</v>
      </c>
      <c r="G75">
        <v>1</v>
      </c>
    </row>
    <row r="76" spans="1:7" x14ac:dyDescent="0.25">
      <c r="A76" t="s">
        <v>5670</v>
      </c>
      <c r="B76" t="s">
        <v>2396</v>
      </c>
      <c r="C76" t="s">
        <v>5597</v>
      </c>
      <c r="D76" t="s">
        <v>5590</v>
      </c>
      <c r="E76" t="s">
        <v>2397</v>
      </c>
      <c r="F76">
        <v>30</v>
      </c>
      <c r="G76">
        <v>1</v>
      </c>
    </row>
    <row r="77" spans="1:7" x14ac:dyDescent="0.25">
      <c r="A77" t="s">
        <v>5671</v>
      </c>
      <c r="B77" t="s">
        <v>2399</v>
      </c>
      <c r="C77" t="s">
        <v>5602</v>
      </c>
      <c r="D77" t="s">
        <v>5593</v>
      </c>
      <c r="E77" t="s">
        <v>2219</v>
      </c>
      <c r="F77">
        <v>30</v>
      </c>
      <c r="G77">
        <v>1</v>
      </c>
    </row>
    <row r="78" spans="1:7" x14ac:dyDescent="0.25">
      <c r="A78" t="s">
        <v>5672</v>
      </c>
      <c r="B78" t="s">
        <v>2402</v>
      </c>
      <c r="C78" t="s">
        <v>5589</v>
      </c>
      <c r="D78" t="s">
        <v>5595</v>
      </c>
      <c r="E78" t="s">
        <v>2403</v>
      </c>
      <c r="F78">
        <v>30</v>
      </c>
      <c r="G78">
        <v>1</v>
      </c>
    </row>
    <row r="79" spans="1:7" x14ac:dyDescent="0.25">
      <c r="A79" t="s">
        <v>5673</v>
      </c>
      <c r="B79" t="s">
        <v>2404</v>
      </c>
      <c r="C79" t="s">
        <v>5602</v>
      </c>
      <c r="D79" t="s">
        <v>5590</v>
      </c>
      <c r="E79" t="s">
        <v>2405</v>
      </c>
      <c r="F79">
        <v>30</v>
      </c>
      <c r="G79">
        <v>1</v>
      </c>
    </row>
    <row r="80" spans="1:7" x14ac:dyDescent="0.25">
      <c r="A80" t="s">
        <v>5674</v>
      </c>
      <c r="B80" t="s">
        <v>2412</v>
      </c>
      <c r="C80" t="s">
        <v>5597</v>
      </c>
      <c r="D80" t="s">
        <v>5595</v>
      </c>
      <c r="E80" t="s">
        <v>2413</v>
      </c>
      <c r="F80">
        <v>30</v>
      </c>
      <c r="G80">
        <v>1</v>
      </c>
    </row>
    <row r="81" spans="1:7" x14ac:dyDescent="0.25">
      <c r="A81" t="s">
        <v>5675</v>
      </c>
      <c r="B81" t="s">
        <v>2416</v>
      </c>
      <c r="C81" t="s">
        <v>5597</v>
      </c>
      <c r="D81" t="s">
        <v>5598</v>
      </c>
      <c r="E81" t="s">
        <v>2417</v>
      </c>
      <c r="F81">
        <v>30</v>
      </c>
      <c r="G81">
        <v>1</v>
      </c>
    </row>
    <row r="82" spans="1:7" x14ac:dyDescent="0.25">
      <c r="A82" t="s">
        <v>5676</v>
      </c>
      <c r="B82" t="s">
        <v>2418</v>
      </c>
      <c r="C82" t="s">
        <v>5589</v>
      </c>
      <c r="D82" t="s">
        <v>5593</v>
      </c>
      <c r="E82" t="s">
        <v>2419</v>
      </c>
      <c r="F82">
        <v>30</v>
      </c>
      <c r="G82">
        <v>1</v>
      </c>
    </row>
    <row r="83" spans="1:7" x14ac:dyDescent="0.25">
      <c r="A83" t="s">
        <v>5677</v>
      </c>
      <c r="B83" t="s">
        <v>2420</v>
      </c>
      <c r="C83" t="s">
        <v>5597</v>
      </c>
      <c r="D83" t="s">
        <v>5593</v>
      </c>
      <c r="E83" t="s">
        <v>2421</v>
      </c>
      <c r="F83">
        <v>30</v>
      </c>
      <c r="G83">
        <v>1</v>
      </c>
    </row>
    <row r="84" spans="1:7" x14ac:dyDescent="0.25">
      <c r="A84" t="s">
        <v>5678</v>
      </c>
      <c r="B84" t="s">
        <v>2422</v>
      </c>
      <c r="C84" t="s">
        <v>5597</v>
      </c>
      <c r="D84" t="s">
        <v>5595</v>
      </c>
      <c r="E84" t="s">
        <v>2423</v>
      </c>
      <c r="F84">
        <v>30</v>
      </c>
      <c r="G84">
        <v>1</v>
      </c>
    </row>
    <row r="85" spans="1:7" x14ac:dyDescent="0.25">
      <c r="A85" t="s">
        <v>5679</v>
      </c>
      <c r="B85" t="s">
        <v>2424</v>
      </c>
      <c r="C85" t="s">
        <v>5602</v>
      </c>
      <c r="D85" t="s">
        <v>5593</v>
      </c>
      <c r="E85" t="s">
        <v>2425</v>
      </c>
      <c r="F85">
        <v>30</v>
      </c>
      <c r="G85">
        <v>1</v>
      </c>
    </row>
    <row r="86" spans="1:7" x14ac:dyDescent="0.25">
      <c r="A86" t="s">
        <v>5680</v>
      </c>
      <c r="B86" t="s">
        <v>2433</v>
      </c>
      <c r="C86" t="s">
        <v>5602</v>
      </c>
      <c r="D86" t="s">
        <v>5590</v>
      </c>
      <c r="E86" t="s">
        <v>2434</v>
      </c>
      <c r="F86">
        <v>30</v>
      </c>
      <c r="G86">
        <v>1</v>
      </c>
    </row>
    <row r="87" spans="1:7" x14ac:dyDescent="0.25">
      <c r="A87" t="s">
        <v>5681</v>
      </c>
      <c r="B87" t="s">
        <v>2435</v>
      </c>
      <c r="C87" t="s">
        <v>5597</v>
      </c>
      <c r="D87" t="s">
        <v>5590</v>
      </c>
      <c r="E87" t="s">
        <v>2436</v>
      </c>
      <c r="F87">
        <v>30</v>
      </c>
      <c r="G87">
        <v>1</v>
      </c>
    </row>
    <row r="88" spans="1:7" x14ac:dyDescent="0.25">
      <c r="A88" t="s">
        <v>5682</v>
      </c>
      <c r="B88" t="s">
        <v>2447</v>
      </c>
      <c r="C88" t="s">
        <v>5597</v>
      </c>
      <c r="D88" t="s">
        <v>5598</v>
      </c>
      <c r="E88" t="s">
        <v>2448</v>
      </c>
      <c r="F88">
        <v>30</v>
      </c>
      <c r="G88">
        <v>1</v>
      </c>
    </row>
    <row r="89" spans="1:7" x14ac:dyDescent="0.25">
      <c r="A89" t="s">
        <v>5683</v>
      </c>
      <c r="B89" t="s">
        <v>2449</v>
      </c>
      <c r="C89" t="s">
        <v>5589</v>
      </c>
      <c r="D89" t="s">
        <v>5590</v>
      </c>
      <c r="E89" t="s">
        <v>2450</v>
      </c>
      <c r="F89">
        <v>30</v>
      </c>
      <c r="G89">
        <v>1</v>
      </c>
    </row>
    <row r="90" spans="1:7" x14ac:dyDescent="0.25">
      <c r="A90" t="s">
        <v>5684</v>
      </c>
      <c r="B90" t="s">
        <v>2453</v>
      </c>
      <c r="C90" t="s">
        <v>5597</v>
      </c>
      <c r="D90" t="s">
        <v>5598</v>
      </c>
      <c r="E90" t="s">
        <v>2454</v>
      </c>
      <c r="F90">
        <v>30</v>
      </c>
      <c r="G90">
        <v>1</v>
      </c>
    </row>
    <row r="91" spans="1:7" x14ac:dyDescent="0.25">
      <c r="A91" t="s">
        <v>5685</v>
      </c>
      <c r="B91" t="s">
        <v>2455</v>
      </c>
      <c r="C91" t="s">
        <v>5597</v>
      </c>
      <c r="D91" t="s">
        <v>5595</v>
      </c>
      <c r="E91" t="s">
        <v>2456</v>
      </c>
      <c r="F91">
        <v>30</v>
      </c>
      <c r="G91">
        <v>1</v>
      </c>
    </row>
    <row r="92" spans="1:7" x14ac:dyDescent="0.25">
      <c r="A92" t="s">
        <v>5686</v>
      </c>
      <c r="B92" t="s">
        <v>2457</v>
      </c>
      <c r="C92" t="s">
        <v>5589</v>
      </c>
      <c r="D92" t="s">
        <v>5598</v>
      </c>
      <c r="E92" t="s">
        <v>2458</v>
      </c>
      <c r="F92">
        <v>30</v>
      </c>
      <c r="G92">
        <v>1</v>
      </c>
    </row>
    <row r="93" spans="1:7" x14ac:dyDescent="0.25">
      <c r="A93" t="s">
        <v>5687</v>
      </c>
      <c r="B93" t="s">
        <v>2461</v>
      </c>
      <c r="C93" t="s">
        <v>5592</v>
      </c>
      <c r="D93" t="s">
        <v>5595</v>
      </c>
      <c r="E93" t="s">
        <v>2462</v>
      </c>
      <c r="F93">
        <v>30</v>
      </c>
      <c r="G93">
        <v>1</v>
      </c>
    </row>
    <row r="94" spans="1:7" x14ac:dyDescent="0.25">
      <c r="A94" t="s">
        <v>5688</v>
      </c>
      <c r="B94" t="s">
        <v>2469</v>
      </c>
      <c r="C94" t="s">
        <v>5597</v>
      </c>
      <c r="D94" t="s">
        <v>5590</v>
      </c>
      <c r="E94" t="s">
        <v>2470</v>
      </c>
      <c r="F94">
        <v>30</v>
      </c>
      <c r="G94">
        <v>1</v>
      </c>
    </row>
    <row r="95" spans="1:7" x14ac:dyDescent="0.25">
      <c r="A95" t="s">
        <v>5689</v>
      </c>
      <c r="B95" t="s">
        <v>2473</v>
      </c>
      <c r="C95" t="s">
        <v>5589</v>
      </c>
      <c r="D95" t="s">
        <v>5590</v>
      </c>
      <c r="E95" t="s">
        <v>2474</v>
      </c>
      <c r="F95">
        <v>30</v>
      </c>
      <c r="G95">
        <v>1</v>
      </c>
    </row>
    <row r="96" spans="1:7" x14ac:dyDescent="0.25">
      <c r="A96" t="s">
        <v>5690</v>
      </c>
      <c r="B96" t="s">
        <v>2477</v>
      </c>
      <c r="C96" t="s">
        <v>5589</v>
      </c>
      <c r="D96" t="s">
        <v>5593</v>
      </c>
      <c r="E96" t="s">
        <v>2478</v>
      </c>
      <c r="F96">
        <v>30</v>
      </c>
      <c r="G96">
        <v>1</v>
      </c>
    </row>
    <row r="97" spans="1:7" x14ac:dyDescent="0.25">
      <c r="A97" t="s">
        <v>5691</v>
      </c>
      <c r="B97" t="s">
        <v>2479</v>
      </c>
      <c r="C97" t="s">
        <v>5589</v>
      </c>
      <c r="D97" t="s">
        <v>5598</v>
      </c>
      <c r="E97" t="s">
        <v>2480</v>
      </c>
      <c r="F97">
        <v>30</v>
      </c>
      <c r="G97">
        <v>1</v>
      </c>
    </row>
    <row r="98" spans="1:7" x14ac:dyDescent="0.25">
      <c r="A98" t="s">
        <v>5692</v>
      </c>
      <c r="B98" t="s">
        <v>2481</v>
      </c>
      <c r="C98" t="s">
        <v>5589</v>
      </c>
      <c r="D98" t="s">
        <v>5595</v>
      </c>
      <c r="E98" t="s">
        <v>2217</v>
      </c>
      <c r="F98">
        <v>30</v>
      </c>
      <c r="G98">
        <v>1</v>
      </c>
    </row>
    <row r="99" spans="1:7" x14ac:dyDescent="0.25">
      <c r="A99" t="s">
        <v>5693</v>
      </c>
      <c r="B99" t="s">
        <v>2482</v>
      </c>
      <c r="C99" t="s">
        <v>5592</v>
      </c>
      <c r="D99" t="s">
        <v>5595</v>
      </c>
      <c r="E99" t="s">
        <v>2483</v>
      </c>
      <c r="F99">
        <v>30</v>
      </c>
      <c r="G99">
        <v>1</v>
      </c>
    </row>
    <row r="100" spans="1:7" x14ac:dyDescent="0.25">
      <c r="A100" t="s">
        <v>5694</v>
      </c>
      <c r="B100" t="s">
        <v>2484</v>
      </c>
      <c r="C100" t="s">
        <v>5602</v>
      </c>
      <c r="D100" t="s">
        <v>5595</v>
      </c>
      <c r="E100" t="s">
        <v>2485</v>
      </c>
      <c r="F100">
        <v>30</v>
      </c>
      <c r="G100">
        <v>1</v>
      </c>
    </row>
    <row r="101" spans="1:7" x14ac:dyDescent="0.25">
      <c r="A101" t="s">
        <v>5695</v>
      </c>
      <c r="B101" t="s">
        <v>2488</v>
      </c>
      <c r="C101" t="s">
        <v>5597</v>
      </c>
      <c r="D101" t="s">
        <v>5593</v>
      </c>
      <c r="E101" t="s">
        <v>2489</v>
      </c>
      <c r="F101">
        <v>30</v>
      </c>
      <c r="G101">
        <v>1</v>
      </c>
    </row>
    <row r="102" spans="1:7" x14ac:dyDescent="0.25">
      <c r="A102" t="s">
        <v>5696</v>
      </c>
      <c r="B102" t="s">
        <v>2490</v>
      </c>
      <c r="C102" t="s">
        <v>5597</v>
      </c>
      <c r="D102" t="s">
        <v>5598</v>
      </c>
      <c r="E102" t="s">
        <v>2491</v>
      </c>
      <c r="F102">
        <v>30</v>
      </c>
      <c r="G102">
        <v>1</v>
      </c>
    </row>
    <row r="103" spans="1:7" x14ac:dyDescent="0.25">
      <c r="A103" t="s">
        <v>5697</v>
      </c>
      <c r="B103" t="s">
        <v>2492</v>
      </c>
      <c r="C103" t="s">
        <v>5602</v>
      </c>
      <c r="D103" t="s">
        <v>5595</v>
      </c>
      <c r="E103" t="s">
        <v>2493</v>
      </c>
      <c r="F103">
        <v>30</v>
      </c>
      <c r="G103">
        <v>1</v>
      </c>
    </row>
    <row r="104" spans="1:7" x14ac:dyDescent="0.25">
      <c r="A104" t="s">
        <v>5698</v>
      </c>
      <c r="B104" t="s">
        <v>2496</v>
      </c>
      <c r="C104" t="s">
        <v>5592</v>
      </c>
      <c r="D104" t="s">
        <v>5593</v>
      </c>
      <c r="E104" t="s">
        <v>2393</v>
      </c>
      <c r="F104">
        <v>30</v>
      </c>
      <c r="G104">
        <v>1</v>
      </c>
    </row>
    <row r="105" spans="1:7" x14ac:dyDescent="0.25">
      <c r="A105" t="s">
        <v>5699</v>
      </c>
      <c r="B105" t="s">
        <v>2497</v>
      </c>
      <c r="C105" t="s">
        <v>5589</v>
      </c>
      <c r="D105" t="s">
        <v>5590</v>
      </c>
      <c r="E105" t="s">
        <v>2498</v>
      </c>
      <c r="F105">
        <v>30</v>
      </c>
      <c r="G105">
        <v>1</v>
      </c>
    </row>
    <row r="106" spans="1:7" x14ac:dyDescent="0.25">
      <c r="A106" t="s">
        <v>5700</v>
      </c>
      <c r="B106" t="s">
        <v>2501</v>
      </c>
      <c r="C106" t="s">
        <v>5589</v>
      </c>
      <c r="D106" t="s">
        <v>5595</v>
      </c>
      <c r="E106" t="s">
        <v>2423</v>
      </c>
      <c r="F106">
        <v>30</v>
      </c>
      <c r="G106">
        <v>1</v>
      </c>
    </row>
    <row r="107" spans="1:7" x14ac:dyDescent="0.25">
      <c r="A107" t="s">
        <v>5701</v>
      </c>
      <c r="B107" t="s">
        <v>2502</v>
      </c>
      <c r="C107" t="s">
        <v>5597</v>
      </c>
      <c r="D107" t="s">
        <v>5590</v>
      </c>
      <c r="E107" t="s">
        <v>2206</v>
      </c>
      <c r="F107">
        <v>30</v>
      </c>
      <c r="G107">
        <v>1</v>
      </c>
    </row>
    <row r="108" spans="1:7" x14ac:dyDescent="0.25">
      <c r="A108" t="s">
        <v>5702</v>
      </c>
      <c r="B108" t="s">
        <v>2503</v>
      </c>
      <c r="C108" t="s">
        <v>5589</v>
      </c>
      <c r="D108" t="s">
        <v>5598</v>
      </c>
      <c r="E108" t="s">
        <v>2504</v>
      </c>
      <c r="F108">
        <v>30</v>
      </c>
      <c r="G108">
        <v>1</v>
      </c>
    </row>
    <row r="109" spans="1:7" x14ac:dyDescent="0.25">
      <c r="A109" t="s">
        <v>5703</v>
      </c>
      <c r="B109" t="s">
        <v>2505</v>
      </c>
      <c r="C109" t="s">
        <v>5589</v>
      </c>
      <c r="D109" t="s">
        <v>5593</v>
      </c>
      <c r="E109" t="s">
        <v>2506</v>
      </c>
      <c r="F109">
        <v>30</v>
      </c>
      <c r="G109">
        <v>1</v>
      </c>
    </row>
    <row r="110" spans="1:7" x14ac:dyDescent="0.25">
      <c r="A110" t="s">
        <v>5704</v>
      </c>
      <c r="B110" t="s">
        <v>2507</v>
      </c>
      <c r="C110" t="s">
        <v>5592</v>
      </c>
      <c r="D110" t="s">
        <v>5590</v>
      </c>
      <c r="E110" t="s">
        <v>2508</v>
      </c>
      <c r="F110">
        <v>30</v>
      </c>
      <c r="G110">
        <v>1</v>
      </c>
    </row>
    <row r="111" spans="1:7" x14ac:dyDescent="0.25">
      <c r="A111" t="s">
        <v>5705</v>
      </c>
      <c r="B111" t="s">
        <v>2511</v>
      </c>
      <c r="C111" t="s">
        <v>5597</v>
      </c>
      <c r="D111" t="s">
        <v>5595</v>
      </c>
      <c r="E111" t="s">
        <v>2512</v>
      </c>
      <c r="F111">
        <v>30</v>
      </c>
      <c r="G111">
        <v>1</v>
      </c>
    </row>
    <row r="112" spans="1:7" x14ac:dyDescent="0.25">
      <c r="A112" t="s">
        <v>5706</v>
      </c>
      <c r="B112" t="s">
        <v>2513</v>
      </c>
      <c r="C112" t="s">
        <v>5597</v>
      </c>
      <c r="D112" t="s">
        <v>5593</v>
      </c>
      <c r="E112" t="s">
        <v>2514</v>
      </c>
      <c r="F112">
        <v>30</v>
      </c>
      <c r="G112">
        <v>1</v>
      </c>
    </row>
    <row r="113" spans="1:7" x14ac:dyDescent="0.25">
      <c r="A113" t="s">
        <v>5707</v>
      </c>
      <c r="B113" t="s">
        <v>2515</v>
      </c>
      <c r="C113" t="s">
        <v>5589</v>
      </c>
      <c r="D113" t="s">
        <v>5590</v>
      </c>
      <c r="E113" t="s">
        <v>2516</v>
      </c>
      <c r="F113">
        <v>30</v>
      </c>
      <c r="G113">
        <v>1</v>
      </c>
    </row>
    <row r="114" spans="1:7" x14ac:dyDescent="0.25">
      <c r="A114" t="s">
        <v>5708</v>
      </c>
      <c r="B114" t="s">
        <v>2517</v>
      </c>
      <c r="C114" t="s">
        <v>5597</v>
      </c>
      <c r="D114" t="s">
        <v>5595</v>
      </c>
      <c r="E114" t="s">
        <v>2518</v>
      </c>
      <c r="F114">
        <v>30</v>
      </c>
      <c r="G114">
        <v>1</v>
      </c>
    </row>
    <row r="115" spans="1:7" x14ac:dyDescent="0.25">
      <c r="A115" t="s">
        <v>5709</v>
      </c>
      <c r="B115" t="s">
        <v>2519</v>
      </c>
      <c r="C115" t="s">
        <v>5602</v>
      </c>
      <c r="D115" t="s">
        <v>5595</v>
      </c>
      <c r="E115" t="s">
        <v>2520</v>
      </c>
      <c r="F115">
        <v>30</v>
      </c>
      <c r="G115">
        <v>1</v>
      </c>
    </row>
    <row r="116" spans="1:7" x14ac:dyDescent="0.25">
      <c r="A116" t="s">
        <v>5710</v>
      </c>
      <c r="B116" t="s">
        <v>2521</v>
      </c>
      <c r="C116" t="s">
        <v>5597</v>
      </c>
      <c r="D116" t="s">
        <v>5598</v>
      </c>
      <c r="E116" t="s">
        <v>2522</v>
      </c>
      <c r="F116">
        <v>30</v>
      </c>
      <c r="G116">
        <v>1</v>
      </c>
    </row>
    <row r="117" spans="1:7" x14ac:dyDescent="0.25">
      <c r="A117" t="s">
        <v>5711</v>
      </c>
      <c r="B117" t="s">
        <v>2529</v>
      </c>
      <c r="C117" t="s">
        <v>5589</v>
      </c>
      <c r="D117" t="s">
        <v>5593</v>
      </c>
      <c r="E117" t="s">
        <v>2530</v>
      </c>
      <c r="F117">
        <v>30</v>
      </c>
      <c r="G117">
        <v>1</v>
      </c>
    </row>
    <row r="118" spans="1:7" x14ac:dyDescent="0.25">
      <c r="A118" t="s">
        <v>5712</v>
      </c>
      <c r="B118" t="s">
        <v>2533</v>
      </c>
      <c r="C118" t="s">
        <v>5602</v>
      </c>
      <c r="D118" t="s">
        <v>5595</v>
      </c>
      <c r="E118" t="s">
        <v>2534</v>
      </c>
      <c r="F118">
        <v>30</v>
      </c>
      <c r="G118">
        <v>1</v>
      </c>
    </row>
    <row r="119" spans="1:7" x14ac:dyDescent="0.25">
      <c r="A119" t="s">
        <v>5713</v>
      </c>
      <c r="B119" t="s">
        <v>2535</v>
      </c>
      <c r="C119" t="s">
        <v>5597</v>
      </c>
      <c r="D119" t="s">
        <v>5598</v>
      </c>
      <c r="E119" t="s">
        <v>2536</v>
      </c>
      <c r="F119">
        <v>30</v>
      </c>
      <c r="G119">
        <v>1</v>
      </c>
    </row>
    <row r="120" spans="1:7" x14ac:dyDescent="0.25">
      <c r="A120" t="s">
        <v>5714</v>
      </c>
      <c r="B120" t="s">
        <v>2537</v>
      </c>
      <c r="C120" t="s">
        <v>5592</v>
      </c>
      <c r="D120" t="s">
        <v>5593</v>
      </c>
      <c r="E120" t="s">
        <v>2538</v>
      </c>
      <c r="F120">
        <v>30</v>
      </c>
      <c r="G120">
        <v>1</v>
      </c>
    </row>
    <row r="121" spans="1:7" x14ac:dyDescent="0.25">
      <c r="A121" t="s">
        <v>5715</v>
      </c>
      <c r="B121" t="s">
        <v>2539</v>
      </c>
      <c r="C121" t="s">
        <v>5602</v>
      </c>
      <c r="D121" t="s">
        <v>5593</v>
      </c>
      <c r="E121" t="s">
        <v>2540</v>
      </c>
      <c r="F121">
        <v>30</v>
      </c>
      <c r="G121">
        <v>1</v>
      </c>
    </row>
    <row r="122" spans="1:7" x14ac:dyDescent="0.25">
      <c r="A122" t="s">
        <v>5716</v>
      </c>
      <c r="B122" t="s">
        <v>2545</v>
      </c>
      <c r="C122" t="s">
        <v>5602</v>
      </c>
      <c r="D122" t="s">
        <v>5595</v>
      </c>
      <c r="E122" t="s">
        <v>2546</v>
      </c>
      <c r="F122">
        <v>30</v>
      </c>
      <c r="G122">
        <v>1</v>
      </c>
    </row>
    <row r="123" spans="1:7" x14ac:dyDescent="0.25">
      <c r="A123" t="s">
        <v>5717</v>
      </c>
      <c r="B123" t="s">
        <v>2554</v>
      </c>
      <c r="C123" t="s">
        <v>5589</v>
      </c>
      <c r="D123" t="s">
        <v>5598</v>
      </c>
      <c r="E123" t="s">
        <v>2555</v>
      </c>
      <c r="F123">
        <v>30</v>
      </c>
      <c r="G123">
        <v>1</v>
      </c>
    </row>
    <row r="124" spans="1:7" x14ac:dyDescent="0.25">
      <c r="A124" t="s">
        <v>5718</v>
      </c>
      <c r="B124" t="s">
        <v>2558</v>
      </c>
      <c r="C124" t="s">
        <v>5589</v>
      </c>
      <c r="D124" t="s">
        <v>5598</v>
      </c>
      <c r="E124" t="s">
        <v>2559</v>
      </c>
      <c r="F124">
        <v>30</v>
      </c>
      <c r="G124">
        <v>1</v>
      </c>
    </row>
    <row r="125" spans="1:7" x14ac:dyDescent="0.25">
      <c r="A125" t="s">
        <v>5719</v>
      </c>
      <c r="B125" t="s">
        <v>2560</v>
      </c>
      <c r="C125" t="s">
        <v>5597</v>
      </c>
      <c r="D125" t="s">
        <v>5593</v>
      </c>
      <c r="E125" t="s">
        <v>2561</v>
      </c>
      <c r="F125">
        <v>30</v>
      </c>
      <c r="G125">
        <v>1</v>
      </c>
    </row>
    <row r="126" spans="1:7" x14ac:dyDescent="0.25">
      <c r="A126" t="s">
        <v>5720</v>
      </c>
      <c r="B126" t="s">
        <v>2564</v>
      </c>
      <c r="C126" t="s">
        <v>5602</v>
      </c>
      <c r="D126" t="s">
        <v>5590</v>
      </c>
      <c r="E126" t="s">
        <v>2565</v>
      </c>
      <c r="F126">
        <v>30</v>
      </c>
      <c r="G126">
        <v>1</v>
      </c>
    </row>
    <row r="127" spans="1:7" x14ac:dyDescent="0.25">
      <c r="A127" t="s">
        <v>5721</v>
      </c>
      <c r="B127" t="s">
        <v>2566</v>
      </c>
      <c r="C127" t="s">
        <v>5592</v>
      </c>
      <c r="D127" t="s">
        <v>5590</v>
      </c>
      <c r="E127" t="s">
        <v>2567</v>
      </c>
      <c r="F127">
        <v>30</v>
      </c>
      <c r="G127">
        <v>1</v>
      </c>
    </row>
    <row r="128" spans="1:7" x14ac:dyDescent="0.25">
      <c r="A128" t="s">
        <v>5722</v>
      </c>
      <c r="B128" t="s">
        <v>2568</v>
      </c>
      <c r="C128" t="s">
        <v>5597</v>
      </c>
      <c r="D128" t="s">
        <v>5593</v>
      </c>
      <c r="E128" t="s">
        <v>2569</v>
      </c>
      <c r="F128">
        <v>30</v>
      </c>
      <c r="G128">
        <v>1</v>
      </c>
    </row>
    <row r="129" spans="1:7" x14ac:dyDescent="0.25">
      <c r="A129" t="s">
        <v>5723</v>
      </c>
      <c r="B129" t="s">
        <v>2572</v>
      </c>
      <c r="C129" t="s">
        <v>5602</v>
      </c>
      <c r="D129" t="s">
        <v>5595</v>
      </c>
      <c r="E129" t="s">
        <v>2573</v>
      </c>
      <c r="F129">
        <v>30</v>
      </c>
      <c r="G129">
        <v>1</v>
      </c>
    </row>
    <row r="130" spans="1:7" x14ac:dyDescent="0.25">
      <c r="A130" t="s">
        <v>5724</v>
      </c>
      <c r="B130" t="s">
        <v>2576</v>
      </c>
      <c r="C130" t="s">
        <v>5602</v>
      </c>
      <c r="D130" t="s">
        <v>5590</v>
      </c>
      <c r="E130" t="s">
        <v>2577</v>
      </c>
      <c r="F130">
        <v>30</v>
      </c>
      <c r="G130">
        <v>1</v>
      </c>
    </row>
    <row r="131" spans="1:7" x14ac:dyDescent="0.25">
      <c r="A131" t="s">
        <v>5725</v>
      </c>
      <c r="B131" t="s">
        <v>2578</v>
      </c>
      <c r="C131" t="s">
        <v>5592</v>
      </c>
      <c r="D131" t="s">
        <v>5598</v>
      </c>
      <c r="E131" t="s">
        <v>2579</v>
      </c>
      <c r="F131">
        <v>30</v>
      </c>
      <c r="G131">
        <v>1</v>
      </c>
    </row>
    <row r="132" spans="1:7" x14ac:dyDescent="0.25">
      <c r="A132" t="s">
        <v>5726</v>
      </c>
      <c r="B132" t="s">
        <v>2580</v>
      </c>
      <c r="C132" t="s">
        <v>5597</v>
      </c>
      <c r="D132" t="s">
        <v>5593</v>
      </c>
      <c r="E132" t="s">
        <v>2581</v>
      </c>
      <c r="F132">
        <v>30</v>
      </c>
      <c r="G132">
        <v>1</v>
      </c>
    </row>
    <row r="133" spans="1:7" x14ac:dyDescent="0.25">
      <c r="A133" t="s">
        <v>5727</v>
      </c>
      <c r="B133" t="s">
        <v>2582</v>
      </c>
      <c r="C133" t="s">
        <v>5597</v>
      </c>
      <c r="D133" t="s">
        <v>5595</v>
      </c>
      <c r="E133" t="s">
        <v>2241</v>
      </c>
      <c r="F133">
        <v>30</v>
      </c>
      <c r="G133">
        <v>1</v>
      </c>
    </row>
    <row r="134" spans="1:7" x14ac:dyDescent="0.25">
      <c r="A134" t="s">
        <v>5728</v>
      </c>
      <c r="B134" t="s">
        <v>2583</v>
      </c>
      <c r="C134" t="s">
        <v>5602</v>
      </c>
      <c r="D134" t="s">
        <v>5598</v>
      </c>
      <c r="E134" t="s">
        <v>2584</v>
      </c>
      <c r="F134">
        <v>30</v>
      </c>
      <c r="G134">
        <v>1</v>
      </c>
    </row>
    <row r="135" spans="1:7" x14ac:dyDescent="0.25">
      <c r="A135" t="s">
        <v>5729</v>
      </c>
      <c r="B135" t="s">
        <v>2586</v>
      </c>
      <c r="C135" t="s">
        <v>5589</v>
      </c>
      <c r="D135" t="s">
        <v>5590</v>
      </c>
      <c r="E135" t="s">
        <v>2587</v>
      </c>
      <c r="F135">
        <v>30</v>
      </c>
      <c r="G135">
        <v>1</v>
      </c>
    </row>
    <row r="136" spans="1:7" x14ac:dyDescent="0.25">
      <c r="A136" t="s">
        <v>5730</v>
      </c>
      <c r="B136" t="s">
        <v>2588</v>
      </c>
      <c r="C136" t="s">
        <v>5592</v>
      </c>
      <c r="D136" t="s">
        <v>5598</v>
      </c>
      <c r="E136" t="s">
        <v>2589</v>
      </c>
      <c r="F136">
        <v>30</v>
      </c>
      <c r="G136">
        <v>1</v>
      </c>
    </row>
    <row r="137" spans="1:7" x14ac:dyDescent="0.25">
      <c r="A137" t="s">
        <v>5731</v>
      </c>
      <c r="B137" t="s">
        <v>2590</v>
      </c>
      <c r="C137" t="s">
        <v>5589</v>
      </c>
      <c r="D137" t="s">
        <v>5598</v>
      </c>
      <c r="E137" t="s">
        <v>2591</v>
      </c>
      <c r="F137">
        <v>30</v>
      </c>
      <c r="G137">
        <v>1</v>
      </c>
    </row>
    <row r="138" spans="1:7" x14ac:dyDescent="0.25">
      <c r="A138" t="s">
        <v>5732</v>
      </c>
      <c r="B138" t="s">
        <v>2596</v>
      </c>
      <c r="C138" t="s">
        <v>5597</v>
      </c>
      <c r="D138" t="s">
        <v>5593</v>
      </c>
      <c r="E138" t="s">
        <v>2597</v>
      </c>
      <c r="F138">
        <v>30</v>
      </c>
      <c r="G138">
        <v>1</v>
      </c>
    </row>
    <row r="139" spans="1:7" x14ac:dyDescent="0.25">
      <c r="A139" t="s">
        <v>5733</v>
      </c>
      <c r="B139" t="s">
        <v>2598</v>
      </c>
      <c r="C139" t="s">
        <v>5589</v>
      </c>
      <c r="D139" t="s">
        <v>5598</v>
      </c>
      <c r="E139" t="s">
        <v>2599</v>
      </c>
      <c r="F139">
        <v>30</v>
      </c>
      <c r="G139">
        <v>1</v>
      </c>
    </row>
    <row r="140" spans="1:7" x14ac:dyDescent="0.25">
      <c r="A140" t="s">
        <v>5734</v>
      </c>
      <c r="B140" t="s">
        <v>2610</v>
      </c>
      <c r="C140" t="s">
        <v>5589</v>
      </c>
      <c r="D140" t="s">
        <v>5590</v>
      </c>
      <c r="E140" t="s">
        <v>2611</v>
      </c>
      <c r="F140">
        <v>30</v>
      </c>
      <c r="G140">
        <v>1</v>
      </c>
    </row>
    <row r="141" spans="1:7" x14ac:dyDescent="0.25">
      <c r="A141" t="s">
        <v>5735</v>
      </c>
      <c r="B141" t="s">
        <v>2612</v>
      </c>
      <c r="C141" t="s">
        <v>5597</v>
      </c>
      <c r="D141" t="s">
        <v>5598</v>
      </c>
      <c r="E141" t="s">
        <v>2613</v>
      </c>
      <c r="F141">
        <v>30</v>
      </c>
      <c r="G141">
        <v>1</v>
      </c>
    </row>
    <row r="142" spans="1:7" x14ac:dyDescent="0.25">
      <c r="A142" t="s">
        <v>5736</v>
      </c>
      <c r="B142" t="s">
        <v>2614</v>
      </c>
      <c r="C142" t="s">
        <v>5592</v>
      </c>
      <c r="D142" t="s">
        <v>5595</v>
      </c>
      <c r="E142" t="s">
        <v>2546</v>
      </c>
      <c r="F142">
        <v>30</v>
      </c>
      <c r="G142">
        <v>1</v>
      </c>
    </row>
    <row r="143" spans="1:7" x14ac:dyDescent="0.25">
      <c r="A143" t="s">
        <v>5737</v>
      </c>
      <c r="B143" t="s">
        <v>2623</v>
      </c>
      <c r="C143" t="s">
        <v>5589</v>
      </c>
      <c r="D143" t="s">
        <v>5598</v>
      </c>
      <c r="E143" t="s">
        <v>2624</v>
      </c>
      <c r="F143">
        <v>30</v>
      </c>
      <c r="G143">
        <v>1</v>
      </c>
    </row>
    <row r="144" spans="1:7" x14ac:dyDescent="0.25">
      <c r="A144" t="s">
        <v>5738</v>
      </c>
      <c r="B144" t="s">
        <v>2629</v>
      </c>
      <c r="C144" t="s">
        <v>5592</v>
      </c>
      <c r="D144" t="s">
        <v>5595</v>
      </c>
      <c r="E144" t="s">
        <v>2630</v>
      </c>
      <c r="F144">
        <v>30</v>
      </c>
      <c r="G144">
        <v>1</v>
      </c>
    </row>
    <row r="145" spans="1:7" x14ac:dyDescent="0.25">
      <c r="A145" t="s">
        <v>5739</v>
      </c>
      <c r="B145" t="s">
        <v>2631</v>
      </c>
      <c r="C145" t="s">
        <v>5589</v>
      </c>
      <c r="D145" t="s">
        <v>5593</v>
      </c>
      <c r="E145" t="s">
        <v>2632</v>
      </c>
      <c r="F145">
        <v>30</v>
      </c>
      <c r="G145">
        <v>1</v>
      </c>
    </row>
    <row r="146" spans="1:7" x14ac:dyDescent="0.25">
      <c r="A146" t="s">
        <v>5740</v>
      </c>
      <c r="B146" t="s">
        <v>2633</v>
      </c>
      <c r="C146" t="s">
        <v>5589</v>
      </c>
      <c r="D146" t="s">
        <v>5593</v>
      </c>
      <c r="E146" t="s">
        <v>2634</v>
      </c>
      <c r="F146">
        <v>30</v>
      </c>
      <c r="G146">
        <v>1</v>
      </c>
    </row>
    <row r="147" spans="1:7" x14ac:dyDescent="0.25">
      <c r="A147" t="s">
        <v>5741</v>
      </c>
      <c r="B147" t="s">
        <v>2635</v>
      </c>
      <c r="C147" t="s">
        <v>5589</v>
      </c>
      <c r="D147" t="s">
        <v>5595</v>
      </c>
      <c r="E147" t="s">
        <v>2636</v>
      </c>
      <c r="F147">
        <v>30</v>
      </c>
      <c r="G147">
        <v>1</v>
      </c>
    </row>
    <row r="148" spans="1:7" x14ac:dyDescent="0.25">
      <c r="A148" t="s">
        <v>5742</v>
      </c>
      <c r="B148" t="s">
        <v>2637</v>
      </c>
      <c r="C148" t="s">
        <v>5602</v>
      </c>
      <c r="D148" t="s">
        <v>5593</v>
      </c>
      <c r="E148" t="s">
        <v>2638</v>
      </c>
      <c r="F148">
        <v>30</v>
      </c>
      <c r="G148">
        <v>1</v>
      </c>
    </row>
    <row r="149" spans="1:7" x14ac:dyDescent="0.25">
      <c r="A149" t="s">
        <v>5743</v>
      </c>
      <c r="B149" t="s">
        <v>2639</v>
      </c>
      <c r="C149" t="s">
        <v>5602</v>
      </c>
      <c r="D149" t="s">
        <v>5590</v>
      </c>
      <c r="E149" t="s">
        <v>2640</v>
      </c>
      <c r="F149">
        <v>30</v>
      </c>
      <c r="G149">
        <v>1</v>
      </c>
    </row>
    <row r="150" spans="1:7" x14ac:dyDescent="0.25">
      <c r="A150" t="s">
        <v>5744</v>
      </c>
      <c r="B150" t="s">
        <v>2641</v>
      </c>
      <c r="C150" t="s">
        <v>5589</v>
      </c>
      <c r="D150" t="s">
        <v>5593</v>
      </c>
      <c r="E150" t="s">
        <v>2355</v>
      </c>
      <c r="F150">
        <v>30</v>
      </c>
      <c r="G150">
        <v>1</v>
      </c>
    </row>
    <row r="151" spans="1:7" x14ac:dyDescent="0.25">
      <c r="A151" t="s">
        <v>5745</v>
      </c>
      <c r="B151" t="s">
        <v>2642</v>
      </c>
      <c r="C151" t="s">
        <v>5589</v>
      </c>
      <c r="D151" t="s">
        <v>5593</v>
      </c>
      <c r="E151" t="s">
        <v>2643</v>
      </c>
      <c r="F151">
        <v>30</v>
      </c>
      <c r="G151">
        <v>1</v>
      </c>
    </row>
    <row r="152" spans="1:7" x14ac:dyDescent="0.25">
      <c r="A152" t="s">
        <v>5746</v>
      </c>
      <c r="B152" t="s">
        <v>2644</v>
      </c>
      <c r="C152" t="s">
        <v>5589</v>
      </c>
      <c r="D152" t="s">
        <v>5590</v>
      </c>
      <c r="E152" t="s">
        <v>2645</v>
      </c>
      <c r="F152">
        <v>30</v>
      </c>
      <c r="G152">
        <v>1</v>
      </c>
    </row>
    <row r="153" spans="1:7" x14ac:dyDescent="0.25">
      <c r="A153" t="s">
        <v>5747</v>
      </c>
      <c r="B153" t="s">
        <v>2650</v>
      </c>
      <c r="C153" t="s">
        <v>5597</v>
      </c>
      <c r="D153" t="s">
        <v>5598</v>
      </c>
      <c r="E153" t="s">
        <v>2651</v>
      </c>
      <c r="F153">
        <v>30</v>
      </c>
      <c r="G153">
        <v>1</v>
      </c>
    </row>
    <row r="154" spans="1:7" x14ac:dyDescent="0.25">
      <c r="A154" t="s">
        <v>5748</v>
      </c>
      <c r="B154" t="s">
        <v>2652</v>
      </c>
      <c r="C154" t="s">
        <v>5602</v>
      </c>
      <c r="D154" t="s">
        <v>5595</v>
      </c>
      <c r="E154" t="s">
        <v>2653</v>
      </c>
      <c r="F154">
        <v>30</v>
      </c>
      <c r="G154">
        <v>1</v>
      </c>
    </row>
    <row r="155" spans="1:7" x14ac:dyDescent="0.25">
      <c r="A155" t="s">
        <v>5749</v>
      </c>
      <c r="B155" t="s">
        <v>2654</v>
      </c>
      <c r="C155" t="s">
        <v>5592</v>
      </c>
      <c r="D155" t="s">
        <v>5590</v>
      </c>
      <c r="E155" t="s">
        <v>2655</v>
      </c>
      <c r="F155">
        <v>30</v>
      </c>
      <c r="G155">
        <v>1</v>
      </c>
    </row>
    <row r="156" spans="1:7" x14ac:dyDescent="0.25">
      <c r="A156" t="s">
        <v>5750</v>
      </c>
      <c r="B156" t="s">
        <v>2656</v>
      </c>
      <c r="C156" t="s">
        <v>5597</v>
      </c>
      <c r="D156" t="s">
        <v>5593</v>
      </c>
      <c r="E156" t="s">
        <v>2657</v>
      </c>
      <c r="F156">
        <v>30</v>
      </c>
      <c r="G156">
        <v>1</v>
      </c>
    </row>
    <row r="157" spans="1:7" x14ac:dyDescent="0.25">
      <c r="A157" t="s">
        <v>5751</v>
      </c>
      <c r="B157" t="s">
        <v>2660</v>
      </c>
      <c r="C157" t="s">
        <v>5602</v>
      </c>
      <c r="D157" t="s">
        <v>5598</v>
      </c>
      <c r="E157" t="s">
        <v>2661</v>
      </c>
      <c r="F157">
        <v>30</v>
      </c>
      <c r="G157">
        <v>1</v>
      </c>
    </row>
    <row r="158" spans="1:7" x14ac:dyDescent="0.25">
      <c r="A158" t="s">
        <v>5752</v>
      </c>
      <c r="B158" t="s">
        <v>2662</v>
      </c>
      <c r="C158" t="s">
        <v>5589</v>
      </c>
      <c r="D158" t="s">
        <v>5598</v>
      </c>
      <c r="E158" t="s">
        <v>2663</v>
      </c>
      <c r="F158">
        <v>30</v>
      </c>
      <c r="G158">
        <v>1</v>
      </c>
    </row>
    <row r="159" spans="1:7" x14ac:dyDescent="0.25">
      <c r="A159" t="s">
        <v>5753</v>
      </c>
      <c r="B159" t="s">
        <v>2670</v>
      </c>
      <c r="C159" t="s">
        <v>5592</v>
      </c>
      <c r="D159" t="s">
        <v>5595</v>
      </c>
      <c r="E159" t="s">
        <v>2671</v>
      </c>
      <c r="F159">
        <v>30</v>
      </c>
      <c r="G159">
        <v>1</v>
      </c>
    </row>
    <row r="160" spans="1:7" x14ac:dyDescent="0.25">
      <c r="A160" t="s">
        <v>5754</v>
      </c>
      <c r="B160" t="s">
        <v>2674</v>
      </c>
      <c r="C160" t="s">
        <v>5592</v>
      </c>
      <c r="D160" t="s">
        <v>5593</v>
      </c>
      <c r="E160" t="s">
        <v>2235</v>
      </c>
      <c r="F160">
        <v>30</v>
      </c>
      <c r="G160">
        <v>1</v>
      </c>
    </row>
    <row r="161" spans="1:7" x14ac:dyDescent="0.25">
      <c r="A161" t="s">
        <v>5755</v>
      </c>
      <c r="B161" t="s">
        <v>2675</v>
      </c>
      <c r="C161" t="s">
        <v>5597</v>
      </c>
      <c r="D161" t="s">
        <v>5593</v>
      </c>
      <c r="E161" t="s">
        <v>2676</v>
      </c>
      <c r="F161">
        <v>30</v>
      </c>
      <c r="G161">
        <v>1</v>
      </c>
    </row>
    <row r="162" spans="1:7" x14ac:dyDescent="0.25">
      <c r="A162" t="s">
        <v>5756</v>
      </c>
      <c r="B162" t="s">
        <v>2682</v>
      </c>
      <c r="C162" t="s">
        <v>5592</v>
      </c>
      <c r="D162" t="s">
        <v>5590</v>
      </c>
      <c r="E162" t="s">
        <v>2683</v>
      </c>
      <c r="F162">
        <v>30</v>
      </c>
      <c r="G162">
        <v>1</v>
      </c>
    </row>
    <row r="163" spans="1:7" x14ac:dyDescent="0.25">
      <c r="A163" t="s">
        <v>5757</v>
      </c>
      <c r="B163" t="s">
        <v>2685</v>
      </c>
      <c r="C163" t="s">
        <v>5597</v>
      </c>
      <c r="D163" t="s">
        <v>5598</v>
      </c>
      <c r="E163" t="s">
        <v>2686</v>
      </c>
      <c r="F163">
        <v>30</v>
      </c>
      <c r="G163">
        <v>1</v>
      </c>
    </row>
    <row r="164" spans="1:7" x14ac:dyDescent="0.25">
      <c r="A164" t="s">
        <v>5758</v>
      </c>
      <c r="B164" t="s">
        <v>2689</v>
      </c>
      <c r="C164" t="s">
        <v>5602</v>
      </c>
      <c r="D164" t="s">
        <v>5593</v>
      </c>
      <c r="E164" t="s">
        <v>2573</v>
      </c>
      <c r="F164">
        <v>30</v>
      </c>
      <c r="G164">
        <v>1</v>
      </c>
    </row>
    <row r="165" spans="1:7" x14ac:dyDescent="0.25">
      <c r="A165" t="s">
        <v>5759</v>
      </c>
      <c r="B165" t="s">
        <v>2694</v>
      </c>
      <c r="C165" t="s">
        <v>5592</v>
      </c>
      <c r="D165" t="s">
        <v>5593</v>
      </c>
      <c r="E165" t="s">
        <v>2695</v>
      </c>
      <c r="F165">
        <v>30</v>
      </c>
      <c r="G165">
        <v>1</v>
      </c>
    </row>
    <row r="166" spans="1:7" x14ac:dyDescent="0.25">
      <c r="A166" t="s">
        <v>5760</v>
      </c>
      <c r="B166" t="s">
        <v>2696</v>
      </c>
      <c r="C166" t="s">
        <v>5602</v>
      </c>
      <c r="D166" t="s">
        <v>5593</v>
      </c>
      <c r="E166" t="s">
        <v>2697</v>
      </c>
      <c r="F166">
        <v>30</v>
      </c>
      <c r="G166">
        <v>1</v>
      </c>
    </row>
    <row r="167" spans="1:7" x14ac:dyDescent="0.25">
      <c r="A167" t="s">
        <v>5761</v>
      </c>
      <c r="B167" t="s">
        <v>2700</v>
      </c>
      <c r="C167" t="s">
        <v>5589</v>
      </c>
      <c r="D167" t="s">
        <v>5593</v>
      </c>
      <c r="E167" t="s">
        <v>2172</v>
      </c>
      <c r="F167">
        <v>30</v>
      </c>
      <c r="G167">
        <v>1</v>
      </c>
    </row>
    <row r="168" spans="1:7" x14ac:dyDescent="0.25">
      <c r="A168" t="s">
        <v>5762</v>
      </c>
      <c r="B168" t="s">
        <v>2703</v>
      </c>
      <c r="C168" t="s">
        <v>5597</v>
      </c>
      <c r="D168" t="s">
        <v>5595</v>
      </c>
      <c r="E168" t="s">
        <v>2542</v>
      </c>
      <c r="F168">
        <v>30</v>
      </c>
      <c r="G168">
        <v>1</v>
      </c>
    </row>
    <row r="169" spans="1:7" x14ac:dyDescent="0.25">
      <c r="A169" t="s">
        <v>5763</v>
      </c>
      <c r="B169" t="s">
        <v>2706</v>
      </c>
      <c r="C169" t="s">
        <v>5597</v>
      </c>
      <c r="D169" t="s">
        <v>5598</v>
      </c>
      <c r="E169" t="s">
        <v>2707</v>
      </c>
      <c r="F169">
        <v>30</v>
      </c>
      <c r="G169">
        <v>1</v>
      </c>
    </row>
    <row r="170" spans="1:7" x14ac:dyDescent="0.25">
      <c r="A170" t="s">
        <v>5764</v>
      </c>
      <c r="B170" t="s">
        <v>2710</v>
      </c>
      <c r="C170" t="s">
        <v>5602</v>
      </c>
      <c r="D170" t="s">
        <v>5593</v>
      </c>
      <c r="E170" t="s">
        <v>2711</v>
      </c>
      <c r="F170">
        <v>30</v>
      </c>
      <c r="G170">
        <v>1</v>
      </c>
    </row>
    <row r="171" spans="1:7" x14ac:dyDescent="0.25">
      <c r="A171" t="s">
        <v>5765</v>
      </c>
      <c r="B171" t="s">
        <v>2714</v>
      </c>
      <c r="C171" t="s">
        <v>5589</v>
      </c>
      <c r="D171" t="s">
        <v>5590</v>
      </c>
      <c r="E171" t="s">
        <v>2715</v>
      </c>
      <c r="F171">
        <v>30</v>
      </c>
      <c r="G171">
        <v>1</v>
      </c>
    </row>
    <row r="172" spans="1:7" x14ac:dyDescent="0.25">
      <c r="A172" t="s">
        <v>5766</v>
      </c>
      <c r="B172" t="s">
        <v>2724</v>
      </c>
      <c r="C172" t="s">
        <v>5597</v>
      </c>
      <c r="D172" t="s">
        <v>5595</v>
      </c>
      <c r="E172" t="s">
        <v>2725</v>
      </c>
      <c r="F172">
        <v>30</v>
      </c>
      <c r="G172">
        <v>1</v>
      </c>
    </row>
    <row r="173" spans="1:7" x14ac:dyDescent="0.25">
      <c r="A173" t="s">
        <v>5767</v>
      </c>
      <c r="B173" t="s">
        <v>2735</v>
      </c>
      <c r="C173" t="s">
        <v>5589</v>
      </c>
      <c r="D173" t="s">
        <v>5595</v>
      </c>
      <c r="E173" t="s">
        <v>2736</v>
      </c>
      <c r="F173">
        <v>30</v>
      </c>
      <c r="G173">
        <v>1</v>
      </c>
    </row>
    <row r="174" spans="1:7" x14ac:dyDescent="0.25">
      <c r="A174" t="s">
        <v>5768</v>
      </c>
      <c r="B174" t="s">
        <v>2742</v>
      </c>
      <c r="C174" t="s">
        <v>5602</v>
      </c>
      <c r="D174" t="s">
        <v>5595</v>
      </c>
      <c r="E174" t="s">
        <v>2163</v>
      </c>
      <c r="F174">
        <v>30</v>
      </c>
      <c r="G174">
        <v>1</v>
      </c>
    </row>
    <row r="175" spans="1:7" x14ac:dyDescent="0.25">
      <c r="A175" t="s">
        <v>5769</v>
      </c>
      <c r="B175" t="s">
        <v>2743</v>
      </c>
      <c r="C175" t="s">
        <v>5597</v>
      </c>
      <c r="D175" t="s">
        <v>5598</v>
      </c>
      <c r="E175" t="s">
        <v>2744</v>
      </c>
      <c r="F175">
        <v>30</v>
      </c>
      <c r="G175">
        <v>1</v>
      </c>
    </row>
    <row r="176" spans="1:7" x14ac:dyDescent="0.25">
      <c r="A176" t="s">
        <v>5770</v>
      </c>
      <c r="B176" t="s">
        <v>2745</v>
      </c>
      <c r="C176" t="s">
        <v>5602</v>
      </c>
      <c r="D176" t="s">
        <v>5593</v>
      </c>
      <c r="E176" t="s">
        <v>2746</v>
      </c>
      <c r="F176">
        <v>30</v>
      </c>
      <c r="G176">
        <v>1</v>
      </c>
    </row>
    <row r="177" spans="1:7" x14ac:dyDescent="0.25">
      <c r="A177" t="s">
        <v>5771</v>
      </c>
      <c r="B177" t="s">
        <v>2755</v>
      </c>
      <c r="C177" t="s">
        <v>5589</v>
      </c>
      <c r="D177" t="s">
        <v>5595</v>
      </c>
      <c r="E177" t="s">
        <v>2756</v>
      </c>
      <c r="F177">
        <v>30</v>
      </c>
      <c r="G177">
        <v>1</v>
      </c>
    </row>
    <row r="178" spans="1:7" x14ac:dyDescent="0.25">
      <c r="A178" t="s">
        <v>5772</v>
      </c>
      <c r="B178" t="s">
        <v>2757</v>
      </c>
      <c r="C178" t="s">
        <v>5597</v>
      </c>
      <c r="D178" t="s">
        <v>5590</v>
      </c>
      <c r="E178" t="s">
        <v>2758</v>
      </c>
      <c r="F178">
        <v>30</v>
      </c>
      <c r="G178">
        <v>1</v>
      </c>
    </row>
    <row r="179" spans="1:7" x14ac:dyDescent="0.25">
      <c r="A179" t="s">
        <v>5773</v>
      </c>
      <c r="B179" t="s">
        <v>2761</v>
      </c>
      <c r="C179" t="s">
        <v>5597</v>
      </c>
      <c r="D179" t="s">
        <v>5595</v>
      </c>
      <c r="E179" t="s">
        <v>2762</v>
      </c>
      <c r="F179">
        <v>30</v>
      </c>
      <c r="G179">
        <v>1</v>
      </c>
    </row>
    <row r="180" spans="1:7" x14ac:dyDescent="0.25">
      <c r="A180" t="s">
        <v>5774</v>
      </c>
      <c r="B180" t="s">
        <v>2763</v>
      </c>
      <c r="C180" t="s">
        <v>5602</v>
      </c>
      <c r="D180" t="s">
        <v>5593</v>
      </c>
      <c r="E180" t="s">
        <v>2764</v>
      </c>
      <c r="F180">
        <v>30</v>
      </c>
      <c r="G180">
        <v>1</v>
      </c>
    </row>
    <row r="181" spans="1:7" x14ac:dyDescent="0.25">
      <c r="A181" t="s">
        <v>5775</v>
      </c>
      <c r="B181" t="s">
        <v>2765</v>
      </c>
      <c r="C181" t="s">
        <v>5597</v>
      </c>
      <c r="D181" t="s">
        <v>5590</v>
      </c>
      <c r="E181" t="s">
        <v>2766</v>
      </c>
      <c r="F181">
        <v>30</v>
      </c>
      <c r="G181">
        <v>1</v>
      </c>
    </row>
    <row r="182" spans="1:7" x14ac:dyDescent="0.25">
      <c r="A182" t="s">
        <v>5776</v>
      </c>
      <c r="B182" t="s">
        <v>2768</v>
      </c>
      <c r="C182" t="s">
        <v>5589</v>
      </c>
      <c r="D182" t="s">
        <v>5598</v>
      </c>
      <c r="E182" t="s">
        <v>2769</v>
      </c>
      <c r="F182">
        <v>30</v>
      </c>
      <c r="G182">
        <v>1</v>
      </c>
    </row>
    <row r="183" spans="1:7" x14ac:dyDescent="0.25">
      <c r="A183" t="s">
        <v>5777</v>
      </c>
      <c r="B183" t="s">
        <v>2770</v>
      </c>
      <c r="C183" t="s">
        <v>5602</v>
      </c>
      <c r="D183" t="s">
        <v>5593</v>
      </c>
      <c r="E183" t="s">
        <v>2771</v>
      </c>
      <c r="F183">
        <v>30</v>
      </c>
      <c r="G183">
        <v>1</v>
      </c>
    </row>
    <row r="184" spans="1:7" x14ac:dyDescent="0.25">
      <c r="A184" t="s">
        <v>5778</v>
      </c>
      <c r="B184" t="s">
        <v>2774</v>
      </c>
      <c r="C184" t="s">
        <v>5602</v>
      </c>
      <c r="D184" t="s">
        <v>5598</v>
      </c>
      <c r="E184" t="s">
        <v>2775</v>
      </c>
      <c r="F184">
        <v>30</v>
      </c>
      <c r="G184">
        <v>1</v>
      </c>
    </row>
    <row r="185" spans="1:7" x14ac:dyDescent="0.25">
      <c r="A185" t="s">
        <v>5779</v>
      </c>
      <c r="B185" t="s">
        <v>2776</v>
      </c>
      <c r="C185" t="s">
        <v>5597</v>
      </c>
      <c r="D185" t="s">
        <v>5593</v>
      </c>
      <c r="E185" t="s">
        <v>2777</v>
      </c>
      <c r="F185">
        <v>30</v>
      </c>
      <c r="G185">
        <v>1</v>
      </c>
    </row>
    <row r="186" spans="1:7" x14ac:dyDescent="0.25">
      <c r="A186" t="s">
        <v>5780</v>
      </c>
      <c r="B186" t="s">
        <v>2779</v>
      </c>
      <c r="C186" t="s">
        <v>5602</v>
      </c>
      <c r="D186" t="s">
        <v>5590</v>
      </c>
      <c r="E186" t="s">
        <v>2780</v>
      </c>
      <c r="F186">
        <v>30</v>
      </c>
      <c r="G186">
        <v>1</v>
      </c>
    </row>
    <row r="187" spans="1:7" x14ac:dyDescent="0.25">
      <c r="A187" t="s">
        <v>5781</v>
      </c>
      <c r="B187" t="s">
        <v>2781</v>
      </c>
      <c r="C187" t="s">
        <v>5592</v>
      </c>
      <c r="D187" t="s">
        <v>5595</v>
      </c>
      <c r="E187" t="s">
        <v>2782</v>
      </c>
      <c r="F187">
        <v>30</v>
      </c>
      <c r="G187">
        <v>1</v>
      </c>
    </row>
    <row r="188" spans="1:7" x14ac:dyDescent="0.25">
      <c r="A188" t="s">
        <v>5782</v>
      </c>
      <c r="B188" t="s">
        <v>2784</v>
      </c>
      <c r="C188" t="s">
        <v>5597</v>
      </c>
      <c r="D188" t="s">
        <v>5598</v>
      </c>
      <c r="E188" t="s">
        <v>2671</v>
      </c>
      <c r="F188">
        <v>30</v>
      </c>
      <c r="G188">
        <v>1</v>
      </c>
    </row>
    <row r="189" spans="1:7" x14ac:dyDescent="0.25">
      <c r="A189" t="s">
        <v>5783</v>
      </c>
      <c r="B189" t="s">
        <v>2789</v>
      </c>
      <c r="C189" t="s">
        <v>5592</v>
      </c>
      <c r="D189" t="s">
        <v>5598</v>
      </c>
      <c r="E189" t="s">
        <v>2790</v>
      </c>
      <c r="F189">
        <v>30</v>
      </c>
      <c r="G189">
        <v>1</v>
      </c>
    </row>
    <row r="190" spans="1:7" x14ac:dyDescent="0.25">
      <c r="A190" t="s">
        <v>5784</v>
      </c>
      <c r="B190" t="s">
        <v>2791</v>
      </c>
      <c r="C190" t="s">
        <v>5592</v>
      </c>
      <c r="D190" t="s">
        <v>5595</v>
      </c>
      <c r="E190" t="s">
        <v>2738</v>
      </c>
      <c r="F190">
        <v>30</v>
      </c>
      <c r="G190">
        <v>1</v>
      </c>
    </row>
    <row r="191" spans="1:7" x14ac:dyDescent="0.25">
      <c r="A191" t="s">
        <v>5785</v>
      </c>
      <c r="B191" t="s">
        <v>2796</v>
      </c>
      <c r="C191" t="s">
        <v>5597</v>
      </c>
      <c r="D191" t="s">
        <v>5595</v>
      </c>
      <c r="E191" t="s">
        <v>2797</v>
      </c>
      <c r="F191">
        <v>30</v>
      </c>
      <c r="G191">
        <v>1</v>
      </c>
    </row>
    <row r="192" spans="1:7" x14ac:dyDescent="0.25">
      <c r="A192" t="s">
        <v>5786</v>
      </c>
      <c r="B192" t="s">
        <v>2798</v>
      </c>
      <c r="C192" t="s">
        <v>5592</v>
      </c>
      <c r="D192" t="s">
        <v>5598</v>
      </c>
      <c r="E192" t="s">
        <v>2799</v>
      </c>
      <c r="F192">
        <v>30</v>
      </c>
      <c r="G192">
        <v>1</v>
      </c>
    </row>
    <row r="193" spans="1:7" x14ac:dyDescent="0.25">
      <c r="A193" t="s">
        <v>5787</v>
      </c>
      <c r="B193" t="s">
        <v>2805</v>
      </c>
      <c r="C193" t="s">
        <v>5597</v>
      </c>
      <c r="D193" t="s">
        <v>5598</v>
      </c>
      <c r="E193" t="s">
        <v>2806</v>
      </c>
      <c r="F193">
        <v>30</v>
      </c>
      <c r="G193">
        <v>1</v>
      </c>
    </row>
    <row r="194" spans="1:7" x14ac:dyDescent="0.25">
      <c r="A194" t="s">
        <v>5788</v>
      </c>
      <c r="B194" t="s">
        <v>2809</v>
      </c>
      <c r="C194" t="s">
        <v>5597</v>
      </c>
      <c r="D194" t="s">
        <v>5593</v>
      </c>
      <c r="E194" t="s">
        <v>2762</v>
      </c>
      <c r="F194">
        <v>30</v>
      </c>
      <c r="G194">
        <v>1</v>
      </c>
    </row>
    <row r="195" spans="1:7" x14ac:dyDescent="0.25">
      <c r="A195" t="s">
        <v>5789</v>
      </c>
      <c r="B195" t="s">
        <v>2814</v>
      </c>
      <c r="C195" t="s">
        <v>5597</v>
      </c>
      <c r="D195" t="s">
        <v>5593</v>
      </c>
      <c r="E195" t="s">
        <v>2815</v>
      </c>
      <c r="F195">
        <v>30</v>
      </c>
      <c r="G195">
        <v>1</v>
      </c>
    </row>
    <row r="196" spans="1:7" x14ac:dyDescent="0.25">
      <c r="A196" t="s">
        <v>5790</v>
      </c>
      <c r="B196" t="s">
        <v>2816</v>
      </c>
      <c r="C196" t="s">
        <v>5592</v>
      </c>
      <c r="D196" t="s">
        <v>5598</v>
      </c>
      <c r="E196" t="s">
        <v>2817</v>
      </c>
      <c r="F196">
        <v>30</v>
      </c>
      <c r="G196">
        <v>1</v>
      </c>
    </row>
    <row r="197" spans="1:7" x14ac:dyDescent="0.25">
      <c r="A197" t="s">
        <v>5791</v>
      </c>
      <c r="B197" t="s">
        <v>2818</v>
      </c>
      <c r="C197" t="s">
        <v>5602</v>
      </c>
      <c r="D197" t="s">
        <v>5590</v>
      </c>
      <c r="E197" t="s">
        <v>2819</v>
      </c>
      <c r="F197">
        <v>30</v>
      </c>
      <c r="G197">
        <v>1</v>
      </c>
    </row>
    <row r="198" spans="1:7" x14ac:dyDescent="0.25">
      <c r="A198" t="s">
        <v>5792</v>
      </c>
      <c r="B198" t="s">
        <v>2820</v>
      </c>
      <c r="C198" t="s">
        <v>5592</v>
      </c>
      <c r="D198" t="s">
        <v>5590</v>
      </c>
      <c r="E198" t="s">
        <v>2821</v>
      </c>
      <c r="F198">
        <v>30</v>
      </c>
      <c r="G198">
        <v>1</v>
      </c>
    </row>
    <row r="199" spans="1:7" x14ac:dyDescent="0.25">
      <c r="A199" t="s">
        <v>5793</v>
      </c>
      <c r="B199" t="s">
        <v>2824</v>
      </c>
      <c r="C199" t="s">
        <v>5602</v>
      </c>
      <c r="D199" t="s">
        <v>5593</v>
      </c>
      <c r="E199" t="s">
        <v>2825</v>
      </c>
      <c r="F199">
        <v>30</v>
      </c>
      <c r="G199">
        <v>1</v>
      </c>
    </row>
    <row r="200" spans="1:7" x14ac:dyDescent="0.25">
      <c r="A200" t="s">
        <v>5794</v>
      </c>
      <c r="B200" t="s">
        <v>2828</v>
      </c>
      <c r="C200" t="s">
        <v>5602</v>
      </c>
      <c r="D200" t="s">
        <v>5598</v>
      </c>
      <c r="E200" t="s">
        <v>2829</v>
      </c>
      <c r="F200">
        <v>30</v>
      </c>
      <c r="G200">
        <v>1</v>
      </c>
    </row>
    <row r="201" spans="1:7" x14ac:dyDescent="0.25">
      <c r="A201" t="s">
        <v>5795</v>
      </c>
      <c r="B201" t="s">
        <v>2831</v>
      </c>
      <c r="C201" t="s">
        <v>5597</v>
      </c>
      <c r="D201" t="s">
        <v>5598</v>
      </c>
      <c r="E201" t="s">
        <v>2470</v>
      </c>
      <c r="F201">
        <v>30</v>
      </c>
      <c r="G201">
        <v>1</v>
      </c>
    </row>
    <row r="202" spans="1:7" x14ac:dyDescent="0.25">
      <c r="A202" t="s">
        <v>5796</v>
      </c>
      <c r="B202" t="s">
        <v>2832</v>
      </c>
      <c r="C202" t="s">
        <v>5597</v>
      </c>
      <c r="D202" t="s">
        <v>5593</v>
      </c>
      <c r="E202" t="s">
        <v>2833</v>
      </c>
      <c r="F202">
        <v>30</v>
      </c>
      <c r="G202">
        <v>1</v>
      </c>
    </row>
    <row r="203" spans="1:7" x14ac:dyDescent="0.25">
      <c r="A203" t="s">
        <v>5797</v>
      </c>
      <c r="B203" t="s">
        <v>2836</v>
      </c>
      <c r="C203" t="s">
        <v>5592</v>
      </c>
      <c r="D203" t="s">
        <v>5595</v>
      </c>
      <c r="E203" t="s">
        <v>2837</v>
      </c>
      <c r="F203">
        <v>30</v>
      </c>
      <c r="G203">
        <v>1</v>
      </c>
    </row>
    <row r="204" spans="1:7" x14ac:dyDescent="0.25">
      <c r="A204" t="s">
        <v>5798</v>
      </c>
      <c r="B204" t="s">
        <v>2843</v>
      </c>
      <c r="C204" t="s">
        <v>5602</v>
      </c>
      <c r="D204" t="s">
        <v>5598</v>
      </c>
      <c r="E204" t="s">
        <v>2844</v>
      </c>
      <c r="F204">
        <v>30</v>
      </c>
      <c r="G204">
        <v>1</v>
      </c>
    </row>
    <row r="205" spans="1:7" x14ac:dyDescent="0.25">
      <c r="A205" t="s">
        <v>5799</v>
      </c>
      <c r="B205" t="s">
        <v>2845</v>
      </c>
      <c r="C205" t="s">
        <v>5592</v>
      </c>
      <c r="D205" t="s">
        <v>5593</v>
      </c>
      <c r="E205" t="s">
        <v>2846</v>
      </c>
      <c r="F205">
        <v>30</v>
      </c>
      <c r="G205">
        <v>1</v>
      </c>
    </row>
    <row r="206" spans="1:7" x14ac:dyDescent="0.25">
      <c r="A206" t="s">
        <v>5800</v>
      </c>
      <c r="B206" t="s">
        <v>2847</v>
      </c>
      <c r="C206" t="s">
        <v>5589</v>
      </c>
      <c r="D206" t="s">
        <v>5590</v>
      </c>
      <c r="E206" t="s">
        <v>2848</v>
      </c>
      <c r="F206">
        <v>30</v>
      </c>
      <c r="G206">
        <v>1</v>
      </c>
    </row>
    <row r="207" spans="1:7" x14ac:dyDescent="0.25">
      <c r="A207" t="s">
        <v>5801</v>
      </c>
      <c r="B207" t="s">
        <v>2849</v>
      </c>
      <c r="C207" t="s">
        <v>5592</v>
      </c>
      <c r="D207" t="s">
        <v>5590</v>
      </c>
      <c r="E207" t="s">
        <v>2850</v>
      </c>
      <c r="F207">
        <v>30</v>
      </c>
      <c r="G207">
        <v>1</v>
      </c>
    </row>
    <row r="208" spans="1:7" x14ac:dyDescent="0.25">
      <c r="A208" t="s">
        <v>5802</v>
      </c>
      <c r="B208" t="s">
        <v>2851</v>
      </c>
      <c r="C208" t="s">
        <v>5602</v>
      </c>
      <c r="D208" t="s">
        <v>5595</v>
      </c>
      <c r="E208" t="s">
        <v>2852</v>
      </c>
      <c r="F208">
        <v>30</v>
      </c>
      <c r="G208">
        <v>1</v>
      </c>
    </row>
    <row r="209" spans="1:7" x14ac:dyDescent="0.25">
      <c r="A209" t="s">
        <v>5803</v>
      </c>
      <c r="B209" t="s">
        <v>2853</v>
      </c>
      <c r="C209" t="s">
        <v>5597</v>
      </c>
      <c r="D209" t="s">
        <v>5593</v>
      </c>
      <c r="E209" t="s">
        <v>2854</v>
      </c>
      <c r="F209">
        <v>30</v>
      </c>
      <c r="G209">
        <v>1</v>
      </c>
    </row>
    <row r="210" spans="1:7" x14ac:dyDescent="0.25">
      <c r="A210" t="s">
        <v>5804</v>
      </c>
      <c r="B210" t="s">
        <v>2855</v>
      </c>
      <c r="C210" t="s">
        <v>5602</v>
      </c>
      <c r="D210" t="s">
        <v>5590</v>
      </c>
      <c r="E210" t="s">
        <v>2856</v>
      </c>
      <c r="F210">
        <v>30</v>
      </c>
      <c r="G210">
        <v>1</v>
      </c>
    </row>
    <row r="211" spans="1:7" x14ac:dyDescent="0.25">
      <c r="A211" t="s">
        <v>5805</v>
      </c>
      <c r="B211" t="s">
        <v>2858</v>
      </c>
      <c r="C211" t="s">
        <v>5597</v>
      </c>
      <c r="D211" t="s">
        <v>5590</v>
      </c>
      <c r="E211" t="s">
        <v>2859</v>
      </c>
      <c r="F211">
        <v>30</v>
      </c>
      <c r="G211">
        <v>1</v>
      </c>
    </row>
    <row r="212" spans="1:7" x14ac:dyDescent="0.25">
      <c r="A212" t="s">
        <v>5806</v>
      </c>
      <c r="B212" t="s">
        <v>2862</v>
      </c>
      <c r="C212" t="s">
        <v>5597</v>
      </c>
      <c r="D212" t="s">
        <v>5595</v>
      </c>
      <c r="E212" t="s">
        <v>2863</v>
      </c>
      <c r="F212">
        <v>30</v>
      </c>
      <c r="G212">
        <v>1</v>
      </c>
    </row>
    <row r="213" spans="1:7" x14ac:dyDescent="0.25">
      <c r="A213" t="s">
        <v>5807</v>
      </c>
      <c r="B213" t="s">
        <v>2866</v>
      </c>
      <c r="C213" t="s">
        <v>5602</v>
      </c>
      <c r="D213" t="s">
        <v>5593</v>
      </c>
      <c r="E213" t="s">
        <v>2331</v>
      </c>
      <c r="F213">
        <v>30</v>
      </c>
      <c r="G213">
        <v>1</v>
      </c>
    </row>
    <row r="214" spans="1:7" x14ac:dyDescent="0.25">
      <c r="A214" t="s">
        <v>5808</v>
      </c>
      <c r="B214" t="s">
        <v>2867</v>
      </c>
      <c r="C214" t="s">
        <v>5592</v>
      </c>
      <c r="D214" t="s">
        <v>5590</v>
      </c>
      <c r="E214" t="s">
        <v>2868</v>
      </c>
      <c r="F214">
        <v>30</v>
      </c>
      <c r="G214">
        <v>1</v>
      </c>
    </row>
    <row r="215" spans="1:7" x14ac:dyDescent="0.25">
      <c r="A215" t="s">
        <v>5809</v>
      </c>
      <c r="B215" t="s">
        <v>2869</v>
      </c>
      <c r="C215" t="s">
        <v>5602</v>
      </c>
      <c r="D215" t="s">
        <v>5595</v>
      </c>
      <c r="E215" t="s">
        <v>2870</v>
      </c>
      <c r="F215">
        <v>30</v>
      </c>
      <c r="G215">
        <v>1</v>
      </c>
    </row>
    <row r="216" spans="1:7" x14ac:dyDescent="0.25">
      <c r="A216" t="s">
        <v>5810</v>
      </c>
      <c r="B216" t="s">
        <v>2871</v>
      </c>
      <c r="C216" t="s">
        <v>5597</v>
      </c>
      <c r="D216" t="s">
        <v>5590</v>
      </c>
      <c r="E216" t="s">
        <v>2872</v>
      </c>
      <c r="F216">
        <v>30</v>
      </c>
      <c r="G216">
        <v>1</v>
      </c>
    </row>
    <row r="217" spans="1:7" x14ac:dyDescent="0.25">
      <c r="A217" t="s">
        <v>5811</v>
      </c>
      <c r="B217" t="s">
        <v>2873</v>
      </c>
      <c r="C217" t="s">
        <v>5602</v>
      </c>
      <c r="D217" t="s">
        <v>5598</v>
      </c>
      <c r="E217" t="s">
        <v>2760</v>
      </c>
      <c r="F217">
        <v>30</v>
      </c>
      <c r="G217">
        <v>1</v>
      </c>
    </row>
    <row r="218" spans="1:7" x14ac:dyDescent="0.25">
      <c r="A218" t="s">
        <v>5812</v>
      </c>
      <c r="B218" t="s">
        <v>2874</v>
      </c>
      <c r="C218" t="s">
        <v>5602</v>
      </c>
      <c r="D218" t="s">
        <v>5593</v>
      </c>
      <c r="E218" t="s">
        <v>2875</v>
      </c>
      <c r="F218">
        <v>30</v>
      </c>
      <c r="G218">
        <v>1</v>
      </c>
    </row>
    <row r="219" spans="1:7" x14ac:dyDescent="0.25">
      <c r="A219" t="s">
        <v>5813</v>
      </c>
      <c r="B219" t="s">
        <v>2876</v>
      </c>
      <c r="C219" t="s">
        <v>5597</v>
      </c>
      <c r="D219" t="s">
        <v>5593</v>
      </c>
      <c r="E219" t="s">
        <v>2877</v>
      </c>
      <c r="F219">
        <v>30</v>
      </c>
      <c r="G219">
        <v>1</v>
      </c>
    </row>
    <row r="220" spans="1:7" x14ac:dyDescent="0.25">
      <c r="A220" t="s">
        <v>5814</v>
      </c>
      <c r="B220" t="s">
        <v>2880</v>
      </c>
      <c r="C220" t="s">
        <v>5597</v>
      </c>
      <c r="D220" t="s">
        <v>5598</v>
      </c>
      <c r="E220" t="s">
        <v>2145</v>
      </c>
      <c r="F220">
        <v>30</v>
      </c>
      <c r="G220">
        <v>1</v>
      </c>
    </row>
    <row r="221" spans="1:7" x14ac:dyDescent="0.25">
      <c r="A221" t="s">
        <v>5815</v>
      </c>
      <c r="B221" t="s">
        <v>2882</v>
      </c>
      <c r="C221" t="s">
        <v>5602</v>
      </c>
      <c r="D221" t="s">
        <v>5593</v>
      </c>
      <c r="E221" t="s">
        <v>2883</v>
      </c>
      <c r="F221">
        <v>30</v>
      </c>
      <c r="G221">
        <v>1</v>
      </c>
    </row>
    <row r="222" spans="1:7" x14ac:dyDescent="0.25">
      <c r="A222" t="s">
        <v>5816</v>
      </c>
      <c r="B222" t="s">
        <v>2885</v>
      </c>
      <c r="C222" t="s">
        <v>5602</v>
      </c>
      <c r="D222" t="s">
        <v>5598</v>
      </c>
      <c r="E222" t="s">
        <v>2530</v>
      </c>
      <c r="F222">
        <v>30</v>
      </c>
      <c r="G222">
        <v>1</v>
      </c>
    </row>
    <row r="223" spans="1:7" x14ac:dyDescent="0.25">
      <c r="A223" t="s">
        <v>5817</v>
      </c>
      <c r="B223" t="s">
        <v>2890</v>
      </c>
      <c r="C223" t="s">
        <v>5602</v>
      </c>
      <c r="D223" t="s">
        <v>5590</v>
      </c>
      <c r="E223" t="s">
        <v>2891</v>
      </c>
      <c r="F223">
        <v>30</v>
      </c>
      <c r="G223">
        <v>1</v>
      </c>
    </row>
    <row r="224" spans="1:7" x14ac:dyDescent="0.25">
      <c r="A224" t="s">
        <v>5818</v>
      </c>
      <c r="B224" t="s">
        <v>2892</v>
      </c>
      <c r="C224" t="s">
        <v>5592</v>
      </c>
      <c r="D224" t="s">
        <v>5590</v>
      </c>
      <c r="E224" t="s">
        <v>2401</v>
      </c>
      <c r="F224">
        <v>30</v>
      </c>
      <c r="G224">
        <v>1</v>
      </c>
    </row>
    <row r="225" spans="1:7" x14ac:dyDescent="0.25">
      <c r="A225" t="s">
        <v>5819</v>
      </c>
      <c r="B225" t="s">
        <v>2895</v>
      </c>
      <c r="C225" t="s">
        <v>5597</v>
      </c>
      <c r="D225" t="s">
        <v>5595</v>
      </c>
      <c r="E225" t="s">
        <v>2896</v>
      </c>
      <c r="F225">
        <v>30</v>
      </c>
      <c r="G225">
        <v>1</v>
      </c>
    </row>
    <row r="226" spans="1:7" x14ac:dyDescent="0.25">
      <c r="A226" t="s">
        <v>5820</v>
      </c>
      <c r="B226" t="s">
        <v>2899</v>
      </c>
      <c r="C226" t="s">
        <v>5589</v>
      </c>
      <c r="D226" t="s">
        <v>5593</v>
      </c>
      <c r="E226" t="s">
        <v>2900</v>
      </c>
      <c r="F226">
        <v>30</v>
      </c>
      <c r="G226">
        <v>1</v>
      </c>
    </row>
    <row r="227" spans="1:7" x14ac:dyDescent="0.25">
      <c r="A227" t="s">
        <v>5821</v>
      </c>
      <c r="B227" t="s">
        <v>2901</v>
      </c>
      <c r="C227" t="s">
        <v>5597</v>
      </c>
      <c r="D227" t="s">
        <v>5595</v>
      </c>
      <c r="E227" t="s">
        <v>2902</v>
      </c>
      <c r="F227">
        <v>30</v>
      </c>
      <c r="G227">
        <v>1</v>
      </c>
    </row>
    <row r="228" spans="1:7" x14ac:dyDescent="0.25">
      <c r="A228" t="s">
        <v>5822</v>
      </c>
      <c r="B228" t="s">
        <v>2903</v>
      </c>
      <c r="C228" t="s">
        <v>5597</v>
      </c>
      <c r="D228" t="s">
        <v>5590</v>
      </c>
      <c r="E228" t="s">
        <v>2904</v>
      </c>
      <c r="F228">
        <v>30</v>
      </c>
      <c r="G228">
        <v>1</v>
      </c>
    </row>
    <row r="229" spans="1:7" x14ac:dyDescent="0.25">
      <c r="A229" t="s">
        <v>5823</v>
      </c>
      <c r="B229" t="s">
        <v>2905</v>
      </c>
      <c r="C229" t="s">
        <v>5589</v>
      </c>
      <c r="D229" t="s">
        <v>5598</v>
      </c>
      <c r="E229" t="s">
        <v>2906</v>
      </c>
      <c r="F229">
        <v>30</v>
      </c>
      <c r="G229">
        <v>1</v>
      </c>
    </row>
    <row r="230" spans="1:7" x14ac:dyDescent="0.25">
      <c r="A230" t="s">
        <v>5824</v>
      </c>
      <c r="B230" t="s">
        <v>2909</v>
      </c>
      <c r="C230" t="s">
        <v>5589</v>
      </c>
      <c r="D230" t="s">
        <v>5590</v>
      </c>
      <c r="E230" t="s">
        <v>2910</v>
      </c>
      <c r="F230">
        <v>30</v>
      </c>
      <c r="G230">
        <v>1</v>
      </c>
    </row>
    <row r="231" spans="1:7" x14ac:dyDescent="0.25">
      <c r="A231" t="s">
        <v>5825</v>
      </c>
      <c r="B231" t="s">
        <v>2914</v>
      </c>
      <c r="C231" t="s">
        <v>5597</v>
      </c>
      <c r="D231" t="s">
        <v>5593</v>
      </c>
      <c r="E231" t="s">
        <v>2915</v>
      </c>
      <c r="F231">
        <v>30</v>
      </c>
      <c r="G231">
        <v>1</v>
      </c>
    </row>
    <row r="232" spans="1:7" x14ac:dyDescent="0.25">
      <c r="A232" t="s">
        <v>5826</v>
      </c>
      <c r="B232" t="s">
        <v>2916</v>
      </c>
      <c r="C232" t="s">
        <v>5589</v>
      </c>
      <c r="D232" t="s">
        <v>5590</v>
      </c>
      <c r="E232" t="s">
        <v>2364</v>
      </c>
      <c r="F232">
        <v>30</v>
      </c>
      <c r="G232">
        <v>1</v>
      </c>
    </row>
    <row r="233" spans="1:7" x14ac:dyDescent="0.25">
      <c r="A233" t="s">
        <v>5827</v>
      </c>
      <c r="B233" t="s">
        <v>2920</v>
      </c>
      <c r="C233" t="s">
        <v>5597</v>
      </c>
      <c r="D233" t="s">
        <v>5595</v>
      </c>
      <c r="E233" t="s">
        <v>2921</v>
      </c>
      <c r="F233">
        <v>30</v>
      </c>
      <c r="G233">
        <v>1</v>
      </c>
    </row>
    <row r="234" spans="1:7" x14ac:dyDescent="0.25">
      <c r="A234" t="s">
        <v>5828</v>
      </c>
      <c r="B234" t="s">
        <v>2925</v>
      </c>
      <c r="C234" t="s">
        <v>5597</v>
      </c>
      <c r="D234" t="s">
        <v>5598</v>
      </c>
      <c r="E234" t="s">
        <v>2926</v>
      </c>
      <c r="F234">
        <v>30</v>
      </c>
      <c r="G234">
        <v>1</v>
      </c>
    </row>
    <row r="235" spans="1:7" x14ac:dyDescent="0.25">
      <c r="A235" t="s">
        <v>5829</v>
      </c>
      <c r="B235" t="s">
        <v>2933</v>
      </c>
      <c r="C235" t="s">
        <v>5602</v>
      </c>
      <c r="D235" t="s">
        <v>5590</v>
      </c>
      <c r="E235" t="s">
        <v>2331</v>
      </c>
      <c r="F235">
        <v>30</v>
      </c>
      <c r="G235">
        <v>1</v>
      </c>
    </row>
    <row r="236" spans="1:7" x14ac:dyDescent="0.25">
      <c r="A236" t="s">
        <v>5830</v>
      </c>
      <c r="B236" t="s">
        <v>2934</v>
      </c>
      <c r="C236" t="s">
        <v>5592</v>
      </c>
      <c r="D236" t="s">
        <v>5593</v>
      </c>
      <c r="E236" t="s">
        <v>2248</v>
      </c>
      <c r="F236">
        <v>30</v>
      </c>
      <c r="G236">
        <v>1</v>
      </c>
    </row>
    <row r="237" spans="1:7" x14ac:dyDescent="0.25">
      <c r="A237" t="s">
        <v>5831</v>
      </c>
      <c r="B237" t="s">
        <v>2937</v>
      </c>
      <c r="C237" t="s">
        <v>5592</v>
      </c>
      <c r="D237" t="s">
        <v>5598</v>
      </c>
      <c r="E237" t="s">
        <v>2561</v>
      </c>
      <c r="F237">
        <v>30</v>
      </c>
      <c r="G237">
        <v>1</v>
      </c>
    </row>
    <row r="238" spans="1:7" x14ac:dyDescent="0.25">
      <c r="A238" t="s">
        <v>5832</v>
      </c>
      <c r="B238" t="s">
        <v>2942</v>
      </c>
      <c r="C238" t="s">
        <v>5592</v>
      </c>
      <c r="D238" t="s">
        <v>5595</v>
      </c>
      <c r="E238" t="s">
        <v>2943</v>
      </c>
      <c r="F238">
        <v>30</v>
      </c>
      <c r="G238">
        <v>1</v>
      </c>
    </row>
    <row r="239" spans="1:7" x14ac:dyDescent="0.25">
      <c r="A239" t="s">
        <v>5833</v>
      </c>
      <c r="B239" t="s">
        <v>2946</v>
      </c>
      <c r="C239" t="s">
        <v>5602</v>
      </c>
      <c r="D239" t="s">
        <v>5595</v>
      </c>
      <c r="E239" t="s">
        <v>2947</v>
      </c>
      <c r="F239">
        <v>30</v>
      </c>
      <c r="G239">
        <v>1</v>
      </c>
    </row>
    <row r="240" spans="1:7" x14ac:dyDescent="0.25">
      <c r="A240" t="s">
        <v>5834</v>
      </c>
      <c r="B240" t="s">
        <v>2951</v>
      </c>
      <c r="C240" t="s">
        <v>5589</v>
      </c>
      <c r="D240" t="s">
        <v>5595</v>
      </c>
      <c r="E240" t="s">
        <v>2952</v>
      </c>
      <c r="F240">
        <v>30</v>
      </c>
      <c r="G240">
        <v>1</v>
      </c>
    </row>
    <row r="241" spans="1:7" x14ac:dyDescent="0.25">
      <c r="A241" t="s">
        <v>5835</v>
      </c>
      <c r="B241" t="s">
        <v>2953</v>
      </c>
      <c r="C241" t="s">
        <v>5589</v>
      </c>
      <c r="D241" t="s">
        <v>5595</v>
      </c>
      <c r="E241" t="s">
        <v>2546</v>
      </c>
      <c r="F241">
        <v>30</v>
      </c>
      <c r="G241">
        <v>1</v>
      </c>
    </row>
    <row r="242" spans="1:7" x14ac:dyDescent="0.25">
      <c r="A242" t="s">
        <v>5836</v>
      </c>
      <c r="B242" t="s">
        <v>2959</v>
      </c>
      <c r="C242" t="s">
        <v>5592</v>
      </c>
      <c r="D242" t="s">
        <v>5590</v>
      </c>
      <c r="E242" t="s">
        <v>2960</v>
      </c>
      <c r="F242">
        <v>30</v>
      </c>
      <c r="G242">
        <v>1</v>
      </c>
    </row>
    <row r="243" spans="1:7" x14ac:dyDescent="0.25">
      <c r="A243" t="s">
        <v>5837</v>
      </c>
      <c r="B243" t="s">
        <v>2961</v>
      </c>
      <c r="C243" t="s">
        <v>5592</v>
      </c>
      <c r="D243" t="s">
        <v>5595</v>
      </c>
      <c r="E243" t="s">
        <v>2962</v>
      </c>
      <c r="F243">
        <v>30</v>
      </c>
      <c r="G243">
        <v>1</v>
      </c>
    </row>
    <row r="244" spans="1:7" x14ac:dyDescent="0.25">
      <c r="A244" t="s">
        <v>5838</v>
      </c>
      <c r="B244" t="s">
        <v>2969</v>
      </c>
      <c r="C244" t="s">
        <v>5597</v>
      </c>
      <c r="D244" t="s">
        <v>5590</v>
      </c>
      <c r="E244" t="s">
        <v>2970</v>
      </c>
      <c r="F244">
        <v>30</v>
      </c>
      <c r="G244">
        <v>1</v>
      </c>
    </row>
    <row r="245" spans="1:7" x14ac:dyDescent="0.25">
      <c r="A245" t="s">
        <v>5839</v>
      </c>
      <c r="B245" t="s">
        <v>2975</v>
      </c>
      <c r="C245" t="s">
        <v>5592</v>
      </c>
      <c r="D245" t="s">
        <v>5595</v>
      </c>
      <c r="E245" t="s">
        <v>2976</v>
      </c>
      <c r="F245">
        <v>30</v>
      </c>
      <c r="G245">
        <v>1</v>
      </c>
    </row>
    <row r="246" spans="1:7" x14ac:dyDescent="0.25">
      <c r="A246" t="s">
        <v>5840</v>
      </c>
      <c r="B246" t="s">
        <v>2978</v>
      </c>
      <c r="C246" t="s">
        <v>5592</v>
      </c>
      <c r="D246" t="s">
        <v>5590</v>
      </c>
      <c r="E246" t="s">
        <v>2979</v>
      </c>
      <c r="F246">
        <v>30</v>
      </c>
      <c r="G246">
        <v>1</v>
      </c>
    </row>
    <row r="247" spans="1:7" x14ac:dyDescent="0.25">
      <c r="A247" t="s">
        <v>5841</v>
      </c>
      <c r="B247" t="s">
        <v>2981</v>
      </c>
      <c r="C247" t="s">
        <v>5597</v>
      </c>
      <c r="D247" t="s">
        <v>5593</v>
      </c>
      <c r="E247" t="s">
        <v>2982</v>
      </c>
      <c r="F247">
        <v>30</v>
      </c>
      <c r="G247">
        <v>1</v>
      </c>
    </row>
    <row r="248" spans="1:7" x14ac:dyDescent="0.25">
      <c r="A248" t="s">
        <v>5842</v>
      </c>
      <c r="B248" t="s">
        <v>2983</v>
      </c>
      <c r="C248" t="s">
        <v>5597</v>
      </c>
      <c r="D248" t="s">
        <v>5590</v>
      </c>
      <c r="E248" t="s">
        <v>2984</v>
      </c>
      <c r="F248">
        <v>30</v>
      </c>
      <c r="G248">
        <v>1</v>
      </c>
    </row>
    <row r="249" spans="1:7" x14ac:dyDescent="0.25">
      <c r="A249" t="s">
        <v>5843</v>
      </c>
      <c r="B249" t="s">
        <v>2985</v>
      </c>
      <c r="C249" t="s">
        <v>5592</v>
      </c>
      <c r="D249" t="s">
        <v>5590</v>
      </c>
      <c r="E249" t="s">
        <v>2930</v>
      </c>
      <c r="F249">
        <v>30</v>
      </c>
      <c r="G249">
        <v>1</v>
      </c>
    </row>
    <row r="250" spans="1:7" x14ac:dyDescent="0.25">
      <c r="A250" t="s">
        <v>5844</v>
      </c>
      <c r="B250" t="s">
        <v>2989</v>
      </c>
      <c r="C250" t="s">
        <v>5597</v>
      </c>
      <c r="D250" t="s">
        <v>5590</v>
      </c>
      <c r="E250" t="s">
        <v>2990</v>
      </c>
      <c r="F250">
        <v>30</v>
      </c>
      <c r="G250">
        <v>1</v>
      </c>
    </row>
    <row r="251" spans="1:7" x14ac:dyDescent="0.25">
      <c r="A251" t="s">
        <v>5845</v>
      </c>
      <c r="B251" t="s">
        <v>2991</v>
      </c>
      <c r="C251" t="s">
        <v>5602</v>
      </c>
      <c r="D251" t="s">
        <v>5593</v>
      </c>
      <c r="E251" t="s">
        <v>2476</v>
      </c>
      <c r="F251">
        <v>30</v>
      </c>
      <c r="G251">
        <v>1</v>
      </c>
    </row>
    <row r="252" spans="1:7" x14ac:dyDescent="0.25">
      <c r="A252" t="s">
        <v>5846</v>
      </c>
      <c r="B252" t="s">
        <v>2992</v>
      </c>
      <c r="C252" t="s">
        <v>5602</v>
      </c>
      <c r="D252" t="s">
        <v>5598</v>
      </c>
      <c r="E252" t="s">
        <v>2993</v>
      </c>
      <c r="F252">
        <v>30</v>
      </c>
      <c r="G252">
        <v>1</v>
      </c>
    </row>
    <row r="253" spans="1:7" x14ac:dyDescent="0.25">
      <c r="A253" t="s">
        <v>5847</v>
      </c>
      <c r="B253" t="s">
        <v>2994</v>
      </c>
      <c r="C253" t="s">
        <v>5592</v>
      </c>
      <c r="D253" t="s">
        <v>5593</v>
      </c>
      <c r="E253" t="s">
        <v>2995</v>
      </c>
      <c r="F253">
        <v>30</v>
      </c>
      <c r="G253">
        <v>1</v>
      </c>
    </row>
    <row r="254" spans="1:7" x14ac:dyDescent="0.25">
      <c r="A254" t="s">
        <v>5848</v>
      </c>
      <c r="B254" t="s">
        <v>2996</v>
      </c>
      <c r="C254" t="s">
        <v>5589</v>
      </c>
      <c r="D254" t="s">
        <v>5595</v>
      </c>
      <c r="E254" t="s">
        <v>2997</v>
      </c>
      <c r="F254">
        <v>30</v>
      </c>
      <c r="G254">
        <v>1</v>
      </c>
    </row>
    <row r="255" spans="1:7" x14ac:dyDescent="0.25">
      <c r="A255" t="s">
        <v>5849</v>
      </c>
      <c r="B255" t="s">
        <v>3006</v>
      </c>
      <c r="C255" t="s">
        <v>5592</v>
      </c>
      <c r="D255" t="s">
        <v>5598</v>
      </c>
      <c r="E255" t="s">
        <v>2808</v>
      </c>
      <c r="F255">
        <v>30</v>
      </c>
      <c r="G255">
        <v>1</v>
      </c>
    </row>
    <row r="256" spans="1:7" x14ac:dyDescent="0.25">
      <c r="A256" t="s">
        <v>5850</v>
      </c>
      <c r="B256" t="s">
        <v>3011</v>
      </c>
      <c r="C256" t="s">
        <v>5602</v>
      </c>
      <c r="D256" t="s">
        <v>5590</v>
      </c>
      <c r="E256" t="s">
        <v>3012</v>
      </c>
      <c r="F256">
        <v>30</v>
      </c>
      <c r="G256">
        <v>1</v>
      </c>
    </row>
    <row r="257" spans="1:7" x14ac:dyDescent="0.25">
      <c r="A257" t="s">
        <v>5851</v>
      </c>
      <c r="B257" t="s">
        <v>3013</v>
      </c>
      <c r="C257" t="s">
        <v>5589</v>
      </c>
      <c r="D257" t="s">
        <v>5598</v>
      </c>
      <c r="E257" t="s">
        <v>2952</v>
      </c>
      <c r="F257">
        <v>30</v>
      </c>
      <c r="G257">
        <v>1</v>
      </c>
    </row>
    <row r="258" spans="1:7" x14ac:dyDescent="0.25">
      <c r="A258" t="s">
        <v>5852</v>
      </c>
      <c r="B258" t="s">
        <v>3014</v>
      </c>
      <c r="C258" t="s">
        <v>5589</v>
      </c>
      <c r="D258" t="s">
        <v>5595</v>
      </c>
      <c r="E258" t="s">
        <v>3015</v>
      </c>
      <c r="F258">
        <v>30</v>
      </c>
      <c r="G258">
        <v>1</v>
      </c>
    </row>
    <row r="259" spans="1:7" x14ac:dyDescent="0.25">
      <c r="A259" t="s">
        <v>5853</v>
      </c>
      <c r="B259" t="s">
        <v>3016</v>
      </c>
      <c r="C259" t="s">
        <v>5602</v>
      </c>
      <c r="D259" t="s">
        <v>5590</v>
      </c>
      <c r="E259" t="s">
        <v>3017</v>
      </c>
      <c r="F259">
        <v>30</v>
      </c>
      <c r="G259">
        <v>1</v>
      </c>
    </row>
    <row r="260" spans="1:7" x14ac:dyDescent="0.25">
      <c r="A260" t="s">
        <v>5854</v>
      </c>
      <c r="B260" t="s">
        <v>3020</v>
      </c>
      <c r="C260" t="s">
        <v>5602</v>
      </c>
      <c r="D260" t="s">
        <v>5590</v>
      </c>
      <c r="E260" t="s">
        <v>3021</v>
      </c>
      <c r="F260">
        <v>30</v>
      </c>
      <c r="G260">
        <v>1</v>
      </c>
    </row>
    <row r="261" spans="1:7" x14ac:dyDescent="0.25">
      <c r="A261" t="s">
        <v>5855</v>
      </c>
      <c r="B261" t="s">
        <v>3022</v>
      </c>
      <c r="C261" t="s">
        <v>5589</v>
      </c>
      <c r="D261" t="s">
        <v>5590</v>
      </c>
      <c r="E261" t="s">
        <v>3023</v>
      </c>
      <c r="F261">
        <v>30</v>
      </c>
      <c r="G261">
        <v>1</v>
      </c>
    </row>
    <row r="262" spans="1:7" x14ac:dyDescent="0.25">
      <c r="A262" t="s">
        <v>5856</v>
      </c>
      <c r="B262" t="s">
        <v>3024</v>
      </c>
      <c r="C262" t="s">
        <v>5592</v>
      </c>
      <c r="D262" t="s">
        <v>5595</v>
      </c>
      <c r="E262" t="s">
        <v>3025</v>
      </c>
      <c r="F262">
        <v>30</v>
      </c>
      <c r="G262">
        <v>1</v>
      </c>
    </row>
    <row r="263" spans="1:7" x14ac:dyDescent="0.25">
      <c r="A263" t="s">
        <v>5857</v>
      </c>
      <c r="B263" t="s">
        <v>3026</v>
      </c>
      <c r="C263" t="s">
        <v>5602</v>
      </c>
      <c r="D263" t="s">
        <v>5598</v>
      </c>
      <c r="E263" t="s">
        <v>3027</v>
      </c>
      <c r="F263">
        <v>30</v>
      </c>
      <c r="G263">
        <v>1</v>
      </c>
    </row>
    <row r="264" spans="1:7" x14ac:dyDescent="0.25">
      <c r="A264" t="s">
        <v>5858</v>
      </c>
      <c r="B264" t="s">
        <v>3028</v>
      </c>
      <c r="C264" t="s">
        <v>5592</v>
      </c>
      <c r="D264" t="s">
        <v>5598</v>
      </c>
      <c r="E264" t="s">
        <v>3029</v>
      </c>
      <c r="F264">
        <v>30</v>
      </c>
      <c r="G264">
        <v>1</v>
      </c>
    </row>
    <row r="265" spans="1:7" x14ac:dyDescent="0.25">
      <c r="A265" t="s">
        <v>5859</v>
      </c>
      <c r="B265" t="s">
        <v>3030</v>
      </c>
      <c r="C265" t="s">
        <v>5592</v>
      </c>
      <c r="D265" t="s">
        <v>5595</v>
      </c>
      <c r="E265" t="s">
        <v>3031</v>
      </c>
      <c r="F265">
        <v>30</v>
      </c>
      <c r="G265">
        <v>1</v>
      </c>
    </row>
    <row r="266" spans="1:7" x14ac:dyDescent="0.25">
      <c r="A266" t="s">
        <v>5860</v>
      </c>
      <c r="B266" t="s">
        <v>3036</v>
      </c>
      <c r="C266" t="s">
        <v>5602</v>
      </c>
      <c r="D266" t="s">
        <v>5593</v>
      </c>
      <c r="E266" t="s">
        <v>3037</v>
      </c>
      <c r="F266">
        <v>30</v>
      </c>
      <c r="G266">
        <v>1</v>
      </c>
    </row>
    <row r="267" spans="1:7" x14ac:dyDescent="0.25">
      <c r="A267" t="s">
        <v>5861</v>
      </c>
      <c r="B267" t="s">
        <v>3038</v>
      </c>
      <c r="C267" t="s">
        <v>5602</v>
      </c>
      <c r="D267" t="s">
        <v>5593</v>
      </c>
      <c r="E267" t="s">
        <v>3039</v>
      </c>
      <c r="F267">
        <v>30</v>
      </c>
      <c r="G267">
        <v>1</v>
      </c>
    </row>
    <row r="268" spans="1:7" x14ac:dyDescent="0.25">
      <c r="A268" t="s">
        <v>5862</v>
      </c>
      <c r="B268" t="s">
        <v>3042</v>
      </c>
      <c r="C268" t="s">
        <v>5597</v>
      </c>
      <c r="D268" t="s">
        <v>5590</v>
      </c>
      <c r="E268" t="s">
        <v>2282</v>
      </c>
      <c r="F268">
        <v>30</v>
      </c>
      <c r="G268">
        <v>1</v>
      </c>
    </row>
    <row r="269" spans="1:7" x14ac:dyDescent="0.25">
      <c r="A269" t="s">
        <v>5863</v>
      </c>
      <c r="B269" t="s">
        <v>3049</v>
      </c>
      <c r="C269" t="s">
        <v>5592</v>
      </c>
      <c r="D269" t="s">
        <v>5590</v>
      </c>
      <c r="E269" t="s">
        <v>3050</v>
      </c>
      <c r="F269">
        <v>30</v>
      </c>
      <c r="G269">
        <v>1</v>
      </c>
    </row>
    <row r="270" spans="1:7" x14ac:dyDescent="0.25">
      <c r="A270" t="s">
        <v>5864</v>
      </c>
      <c r="B270" t="s">
        <v>3051</v>
      </c>
      <c r="C270" t="s">
        <v>5597</v>
      </c>
      <c r="D270" t="s">
        <v>5593</v>
      </c>
      <c r="E270" t="s">
        <v>3052</v>
      </c>
      <c r="F270">
        <v>30</v>
      </c>
      <c r="G270">
        <v>1</v>
      </c>
    </row>
    <row r="271" spans="1:7" x14ac:dyDescent="0.25">
      <c r="A271" t="s">
        <v>5865</v>
      </c>
      <c r="B271" t="s">
        <v>3053</v>
      </c>
      <c r="C271" t="s">
        <v>5597</v>
      </c>
      <c r="D271" t="s">
        <v>5598</v>
      </c>
      <c r="E271" t="s">
        <v>3054</v>
      </c>
      <c r="F271">
        <v>30</v>
      </c>
      <c r="G271">
        <v>1</v>
      </c>
    </row>
    <row r="272" spans="1:7" x14ac:dyDescent="0.25">
      <c r="A272" t="s">
        <v>5866</v>
      </c>
      <c r="B272" t="s">
        <v>3055</v>
      </c>
      <c r="C272" t="s">
        <v>5592</v>
      </c>
      <c r="D272" t="s">
        <v>5598</v>
      </c>
      <c r="E272" t="s">
        <v>3056</v>
      </c>
      <c r="F272">
        <v>30</v>
      </c>
      <c r="G272">
        <v>1</v>
      </c>
    </row>
    <row r="273" spans="1:7" x14ac:dyDescent="0.25">
      <c r="A273" t="s">
        <v>5867</v>
      </c>
      <c r="B273" t="s">
        <v>3057</v>
      </c>
      <c r="C273" t="s">
        <v>5597</v>
      </c>
      <c r="D273" t="s">
        <v>5590</v>
      </c>
      <c r="E273" t="s">
        <v>3058</v>
      </c>
      <c r="F273">
        <v>30</v>
      </c>
      <c r="G273">
        <v>1</v>
      </c>
    </row>
    <row r="274" spans="1:7" x14ac:dyDescent="0.25">
      <c r="A274" t="s">
        <v>5868</v>
      </c>
      <c r="B274" t="s">
        <v>3059</v>
      </c>
      <c r="C274" t="s">
        <v>5592</v>
      </c>
      <c r="D274" t="s">
        <v>5590</v>
      </c>
      <c r="E274" t="s">
        <v>3060</v>
      </c>
      <c r="F274">
        <v>30</v>
      </c>
      <c r="G274">
        <v>1</v>
      </c>
    </row>
    <row r="275" spans="1:7" x14ac:dyDescent="0.25">
      <c r="A275" t="s">
        <v>5869</v>
      </c>
      <c r="B275" t="s">
        <v>3061</v>
      </c>
      <c r="C275" t="s">
        <v>5597</v>
      </c>
      <c r="D275" t="s">
        <v>5595</v>
      </c>
      <c r="E275" t="s">
        <v>3062</v>
      </c>
      <c r="F275">
        <v>30</v>
      </c>
      <c r="G275">
        <v>1</v>
      </c>
    </row>
    <row r="276" spans="1:7" x14ac:dyDescent="0.25">
      <c r="A276" t="s">
        <v>5870</v>
      </c>
      <c r="B276" t="s">
        <v>3063</v>
      </c>
      <c r="C276" t="s">
        <v>5597</v>
      </c>
      <c r="D276" t="s">
        <v>5595</v>
      </c>
      <c r="E276" t="s">
        <v>3064</v>
      </c>
      <c r="F276">
        <v>30</v>
      </c>
      <c r="G276">
        <v>1</v>
      </c>
    </row>
    <row r="277" spans="1:7" x14ac:dyDescent="0.25">
      <c r="A277" t="s">
        <v>5871</v>
      </c>
      <c r="B277" t="s">
        <v>3065</v>
      </c>
      <c r="C277" t="s">
        <v>5597</v>
      </c>
      <c r="D277" t="s">
        <v>5593</v>
      </c>
      <c r="E277" t="s">
        <v>3066</v>
      </c>
      <c r="F277">
        <v>30</v>
      </c>
      <c r="G277">
        <v>1</v>
      </c>
    </row>
    <row r="278" spans="1:7" x14ac:dyDescent="0.25">
      <c r="A278" t="s">
        <v>5872</v>
      </c>
      <c r="B278" t="s">
        <v>3067</v>
      </c>
      <c r="C278" t="s">
        <v>5602</v>
      </c>
      <c r="D278" t="s">
        <v>5593</v>
      </c>
      <c r="E278" t="s">
        <v>3068</v>
      </c>
      <c r="F278">
        <v>30</v>
      </c>
      <c r="G278">
        <v>1</v>
      </c>
    </row>
    <row r="279" spans="1:7" x14ac:dyDescent="0.25">
      <c r="A279" t="s">
        <v>5873</v>
      </c>
      <c r="B279" t="s">
        <v>3069</v>
      </c>
      <c r="C279" t="s">
        <v>5602</v>
      </c>
      <c r="D279" t="s">
        <v>5590</v>
      </c>
      <c r="E279" t="s">
        <v>3070</v>
      </c>
      <c r="F279">
        <v>30</v>
      </c>
      <c r="G279">
        <v>1</v>
      </c>
    </row>
    <row r="280" spans="1:7" x14ac:dyDescent="0.25">
      <c r="A280" t="s">
        <v>5874</v>
      </c>
      <c r="B280" t="s">
        <v>3071</v>
      </c>
      <c r="C280" t="s">
        <v>5592</v>
      </c>
      <c r="D280" t="s">
        <v>5593</v>
      </c>
      <c r="E280" t="s">
        <v>3072</v>
      </c>
      <c r="F280">
        <v>30</v>
      </c>
      <c r="G280">
        <v>1</v>
      </c>
    </row>
    <row r="281" spans="1:7" x14ac:dyDescent="0.25">
      <c r="A281" t="s">
        <v>5875</v>
      </c>
      <c r="B281" t="s">
        <v>3073</v>
      </c>
      <c r="C281" t="s">
        <v>5589</v>
      </c>
      <c r="D281" t="s">
        <v>5595</v>
      </c>
      <c r="E281" t="s">
        <v>3074</v>
      </c>
      <c r="F281">
        <v>30</v>
      </c>
      <c r="G281">
        <v>1</v>
      </c>
    </row>
    <row r="282" spans="1:7" x14ac:dyDescent="0.25">
      <c r="A282" t="s">
        <v>5876</v>
      </c>
      <c r="B282" t="s">
        <v>3075</v>
      </c>
      <c r="C282" t="s">
        <v>5589</v>
      </c>
      <c r="D282" t="s">
        <v>5593</v>
      </c>
      <c r="E282" t="s">
        <v>3076</v>
      </c>
      <c r="F282">
        <v>30</v>
      </c>
      <c r="G282">
        <v>1</v>
      </c>
    </row>
    <row r="283" spans="1:7" x14ac:dyDescent="0.25">
      <c r="A283" t="s">
        <v>5877</v>
      </c>
      <c r="B283" t="s">
        <v>3077</v>
      </c>
      <c r="C283" t="s">
        <v>5602</v>
      </c>
      <c r="D283" t="s">
        <v>5598</v>
      </c>
      <c r="E283" t="s">
        <v>3078</v>
      </c>
      <c r="F283">
        <v>30</v>
      </c>
      <c r="G283">
        <v>1</v>
      </c>
    </row>
    <row r="284" spans="1:7" x14ac:dyDescent="0.25">
      <c r="A284" t="s">
        <v>5878</v>
      </c>
      <c r="B284" t="s">
        <v>3079</v>
      </c>
      <c r="C284" t="s">
        <v>5597</v>
      </c>
      <c r="D284" t="s">
        <v>5590</v>
      </c>
      <c r="E284" t="s">
        <v>3080</v>
      </c>
      <c r="F284">
        <v>30</v>
      </c>
      <c r="G284">
        <v>1</v>
      </c>
    </row>
    <row r="285" spans="1:7" x14ac:dyDescent="0.25">
      <c r="A285" t="s">
        <v>5879</v>
      </c>
      <c r="B285" t="s">
        <v>3081</v>
      </c>
      <c r="C285" t="s">
        <v>5597</v>
      </c>
      <c r="D285" t="s">
        <v>5598</v>
      </c>
      <c r="E285" t="s">
        <v>3082</v>
      </c>
      <c r="F285">
        <v>30</v>
      </c>
      <c r="G285">
        <v>1</v>
      </c>
    </row>
    <row r="286" spans="1:7" x14ac:dyDescent="0.25">
      <c r="A286" t="s">
        <v>5880</v>
      </c>
      <c r="B286" t="s">
        <v>3085</v>
      </c>
      <c r="C286" t="s">
        <v>5589</v>
      </c>
      <c r="D286" t="s">
        <v>5598</v>
      </c>
      <c r="E286" t="s">
        <v>2250</v>
      </c>
      <c r="F286">
        <v>30</v>
      </c>
      <c r="G286">
        <v>1</v>
      </c>
    </row>
    <row r="287" spans="1:7" x14ac:dyDescent="0.25">
      <c r="A287" t="s">
        <v>5881</v>
      </c>
      <c r="B287" t="s">
        <v>3086</v>
      </c>
      <c r="C287" t="s">
        <v>5589</v>
      </c>
      <c r="D287" t="s">
        <v>5593</v>
      </c>
      <c r="E287" t="s">
        <v>3087</v>
      </c>
      <c r="F287">
        <v>30</v>
      </c>
      <c r="G287">
        <v>1</v>
      </c>
    </row>
    <row r="288" spans="1:7" x14ac:dyDescent="0.25">
      <c r="A288" t="s">
        <v>5882</v>
      </c>
      <c r="B288" t="s">
        <v>3088</v>
      </c>
      <c r="C288" t="s">
        <v>5592</v>
      </c>
      <c r="D288" t="s">
        <v>5598</v>
      </c>
      <c r="E288" t="s">
        <v>2133</v>
      </c>
      <c r="F288">
        <v>30</v>
      </c>
      <c r="G288">
        <v>1</v>
      </c>
    </row>
    <row r="289" spans="1:7" x14ac:dyDescent="0.25">
      <c r="A289" t="s">
        <v>5883</v>
      </c>
      <c r="B289" t="s">
        <v>3089</v>
      </c>
      <c r="C289" t="s">
        <v>5589</v>
      </c>
      <c r="D289" t="s">
        <v>5590</v>
      </c>
      <c r="E289" t="s">
        <v>3090</v>
      </c>
      <c r="F289">
        <v>30</v>
      </c>
      <c r="G289">
        <v>1</v>
      </c>
    </row>
    <row r="290" spans="1:7" x14ac:dyDescent="0.25">
      <c r="A290" t="s">
        <v>5884</v>
      </c>
      <c r="B290" t="s">
        <v>3091</v>
      </c>
      <c r="C290" t="s">
        <v>5592</v>
      </c>
      <c r="D290" t="s">
        <v>5593</v>
      </c>
      <c r="E290" t="s">
        <v>3092</v>
      </c>
      <c r="F290">
        <v>30</v>
      </c>
      <c r="G290">
        <v>1</v>
      </c>
    </row>
    <row r="291" spans="1:7" x14ac:dyDescent="0.25">
      <c r="A291" t="s">
        <v>5885</v>
      </c>
      <c r="B291" t="s">
        <v>3093</v>
      </c>
      <c r="C291" t="s">
        <v>5597</v>
      </c>
      <c r="D291" t="s">
        <v>5595</v>
      </c>
      <c r="E291" t="s">
        <v>3094</v>
      </c>
      <c r="F291">
        <v>30</v>
      </c>
      <c r="G291">
        <v>1</v>
      </c>
    </row>
    <row r="292" spans="1:7" x14ac:dyDescent="0.25">
      <c r="A292" t="s">
        <v>5886</v>
      </c>
      <c r="B292" t="s">
        <v>3095</v>
      </c>
      <c r="C292" t="s">
        <v>5592</v>
      </c>
      <c r="D292" t="s">
        <v>5593</v>
      </c>
      <c r="E292" t="s">
        <v>3096</v>
      </c>
      <c r="F292">
        <v>30</v>
      </c>
      <c r="G292">
        <v>1</v>
      </c>
    </row>
    <row r="293" spans="1:7" x14ac:dyDescent="0.25">
      <c r="A293" t="s">
        <v>5887</v>
      </c>
      <c r="B293" t="s">
        <v>3097</v>
      </c>
      <c r="C293" t="s">
        <v>5597</v>
      </c>
      <c r="D293" t="s">
        <v>5598</v>
      </c>
      <c r="E293" t="s">
        <v>3098</v>
      </c>
      <c r="F293">
        <v>30</v>
      </c>
      <c r="G293">
        <v>1</v>
      </c>
    </row>
    <row r="294" spans="1:7" x14ac:dyDescent="0.25">
      <c r="A294" t="s">
        <v>5888</v>
      </c>
      <c r="B294" t="s">
        <v>3099</v>
      </c>
      <c r="C294" t="s">
        <v>5597</v>
      </c>
      <c r="D294" t="s">
        <v>5598</v>
      </c>
      <c r="E294" t="s">
        <v>3100</v>
      </c>
      <c r="F294">
        <v>30</v>
      </c>
      <c r="G294">
        <v>1</v>
      </c>
    </row>
    <row r="295" spans="1:7" x14ac:dyDescent="0.25">
      <c r="A295" t="s">
        <v>5889</v>
      </c>
      <c r="B295" t="s">
        <v>3101</v>
      </c>
      <c r="C295" t="s">
        <v>5597</v>
      </c>
      <c r="D295" t="s">
        <v>5590</v>
      </c>
      <c r="E295" t="s">
        <v>2748</v>
      </c>
      <c r="F295">
        <v>30</v>
      </c>
      <c r="G295">
        <v>1</v>
      </c>
    </row>
    <row r="296" spans="1:7" x14ac:dyDescent="0.25">
      <c r="A296" t="s">
        <v>5890</v>
      </c>
      <c r="B296" t="s">
        <v>3102</v>
      </c>
      <c r="C296" t="s">
        <v>5592</v>
      </c>
      <c r="D296" t="s">
        <v>5595</v>
      </c>
      <c r="E296" t="s">
        <v>3103</v>
      </c>
      <c r="F296">
        <v>30</v>
      </c>
      <c r="G296">
        <v>1</v>
      </c>
    </row>
    <row r="297" spans="1:7" x14ac:dyDescent="0.25">
      <c r="A297" t="s">
        <v>5891</v>
      </c>
      <c r="B297" t="s">
        <v>3104</v>
      </c>
      <c r="C297" t="s">
        <v>5597</v>
      </c>
      <c r="D297" t="s">
        <v>5598</v>
      </c>
      <c r="E297" t="s">
        <v>3105</v>
      </c>
      <c r="F297">
        <v>30</v>
      </c>
      <c r="G297">
        <v>1</v>
      </c>
    </row>
    <row r="298" spans="1:7" x14ac:dyDescent="0.25">
      <c r="A298" t="s">
        <v>5892</v>
      </c>
      <c r="B298" t="s">
        <v>3106</v>
      </c>
      <c r="C298" t="s">
        <v>5597</v>
      </c>
      <c r="D298" t="s">
        <v>5595</v>
      </c>
      <c r="E298" t="s">
        <v>3107</v>
      </c>
      <c r="F298">
        <v>30</v>
      </c>
      <c r="G298">
        <v>1</v>
      </c>
    </row>
    <row r="299" spans="1:7" x14ac:dyDescent="0.25">
      <c r="A299" t="s">
        <v>5893</v>
      </c>
      <c r="B299" t="s">
        <v>3108</v>
      </c>
      <c r="C299" t="s">
        <v>5597</v>
      </c>
      <c r="D299" t="s">
        <v>5595</v>
      </c>
      <c r="E299" t="s">
        <v>3109</v>
      </c>
      <c r="F299">
        <v>30</v>
      </c>
      <c r="G299">
        <v>1</v>
      </c>
    </row>
    <row r="300" spans="1:7" x14ac:dyDescent="0.25">
      <c r="A300" t="s">
        <v>5894</v>
      </c>
      <c r="B300" t="s">
        <v>3110</v>
      </c>
      <c r="C300" t="s">
        <v>5597</v>
      </c>
      <c r="D300" t="s">
        <v>5593</v>
      </c>
      <c r="E300" t="s">
        <v>3111</v>
      </c>
      <c r="F300">
        <v>30</v>
      </c>
      <c r="G300">
        <v>1</v>
      </c>
    </row>
    <row r="301" spans="1:7" x14ac:dyDescent="0.25">
      <c r="A301" t="s">
        <v>5895</v>
      </c>
      <c r="B301" t="s">
        <v>3112</v>
      </c>
      <c r="C301" t="s">
        <v>5589</v>
      </c>
      <c r="D301" t="s">
        <v>5598</v>
      </c>
      <c r="E301" t="s">
        <v>3113</v>
      </c>
      <c r="F301">
        <v>30</v>
      </c>
      <c r="G301">
        <v>1</v>
      </c>
    </row>
    <row r="302" spans="1:7" x14ac:dyDescent="0.25">
      <c r="A302" t="s">
        <v>5896</v>
      </c>
      <c r="B302" t="s">
        <v>3114</v>
      </c>
      <c r="C302" t="s">
        <v>5597</v>
      </c>
      <c r="D302" t="s">
        <v>5593</v>
      </c>
      <c r="E302" t="s">
        <v>3115</v>
      </c>
      <c r="F302">
        <v>30</v>
      </c>
      <c r="G302">
        <v>1</v>
      </c>
    </row>
    <row r="303" spans="1:7" x14ac:dyDescent="0.25">
      <c r="A303" t="s">
        <v>5897</v>
      </c>
      <c r="B303" t="s">
        <v>3116</v>
      </c>
      <c r="C303" t="s">
        <v>5589</v>
      </c>
      <c r="D303" t="s">
        <v>5598</v>
      </c>
      <c r="E303" t="s">
        <v>3117</v>
      </c>
      <c r="F303">
        <v>30</v>
      </c>
      <c r="G303">
        <v>1</v>
      </c>
    </row>
    <row r="304" spans="1:7" x14ac:dyDescent="0.25">
      <c r="A304" t="s">
        <v>5898</v>
      </c>
      <c r="B304" t="s">
        <v>3118</v>
      </c>
      <c r="C304" t="s">
        <v>5592</v>
      </c>
      <c r="D304" t="s">
        <v>5595</v>
      </c>
      <c r="E304" t="s">
        <v>3119</v>
      </c>
      <c r="F304">
        <v>30</v>
      </c>
      <c r="G304">
        <v>1</v>
      </c>
    </row>
    <row r="305" spans="1:7" x14ac:dyDescent="0.25">
      <c r="A305" t="s">
        <v>5899</v>
      </c>
      <c r="B305" t="s">
        <v>3121</v>
      </c>
      <c r="C305" t="s">
        <v>5597</v>
      </c>
      <c r="D305" t="s">
        <v>5595</v>
      </c>
      <c r="E305" t="s">
        <v>3122</v>
      </c>
      <c r="F305">
        <v>30</v>
      </c>
      <c r="G305">
        <v>1</v>
      </c>
    </row>
    <row r="306" spans="1:7" x14ac:dyDescent="0.25">
      <c r="A306" t="s">
        <v>5900</v>
      </c>
      <c r="B306" t="s">
        <v>3123</v>
      </c>
      <c r="C306" t="s">
        <v>5589</v>
      </c>
      <c r="D306" t="s">
        <v>5598</v>
      </c>
      <c r="E306" t="s">
        <v>3124</v>
      </c>
      <c r="F306">
        <v>30</v>
      </c>
      <c r="G306">
        <v>1</v>
      </c>
    </row>
    <row r="307" spans="1:7" x14ac:dyDescent="0.25">
      <c r="A307" t="s">
        <v>5901</v>
      </c>
      <c r="B307" t="s">
        <v>3125</v>
      </c>
      <c r="C307" t="s">
        <v>5597</v>
      </c>
      <c r="D307" t="s">
        <v>5595</v>
      </c>
      <c r="E307" t="s">
        <v>3126</v>
      </c>
      <c r="F307">
        <v>30</v>
      </c>
      <c r="G307">
        <v>1</v>
      </c>
    </row>
    <row r="308" spans="1:7" x14ac:dyDescent="0.25">
      <c r="A308" t="s">
        <v>5902</v>
      </c>
      <c r="B308" t="s">
        <v>3127</v>
      </c>
      <c r="C308" t="s">
        <v>5597</v>
      </c>
      <c r="D308" t="s">
        <v>5590</v>
      </c>
      <c r="E308" t="s">
        <v>3128</v>
      </c>
      <c r="F308">
        <v>30</v>
      </c>
      <c r="G308">
        <v>1</v>
      </c>
    </row>
    <row r="309" spans="1:7" x14ac:dyDescent="0.25">
      <c r="A309" t="s">
        <v>5903</v>
      </c>
      <c r="B309" t="s">
        <v>3130</v>
      </c>
      <c r="C309" t="s">
        <v>5602</v>
      </c>
      <c r="D309" t="s">
        <v>5590</v>
      </c>
      <c r="E309" t="s">
        <v>3105</v>
      </c>
      <c r="F309">
        <v>30</v>
      </c>
      <c r="G309">
        <v>1</v>
      </c>
    </row>
    <row r="310" spans="1:7" x14ac:dyDescent="0.25">
      <c r="A310" t="s">
        <v>5904</v>
      </c>
      <c r="B310" t="s">
        <v>3131</v>
      </c>
      <c r="C310" t="s">
        <v>5602</v>
      </c>
      <c r="D310" t="s">
        <v>5590</v>
      </c>
      <c r="E310" t="s">
        <v>3132</v>
      </c>
      <c r="F310">
        <v>30</v>
      </c>
      <c r="G310">
        <v>1</v>
      </c>
    </row>
    <row r="311" spans="1:7" x14ac:dyDescent="0.25">
      <c r="A311" t="s">
        <v>5905</v>
      </c>
      <c r="B311" t="s">
        <v>3133</v>
      </c>
      <c r="C311" t="s">
        <v>5589</v>
      </c>
      <c r="D311" t="s">
        <v>5590</v>
      </c>
      <c r="E311" t="s">
        <v>3134</v>
      </c>
      <c r="F311">
        <v>30</v>
      </c>
      <c r="G311">
        <v>1</v>
      </c>
    </row>
    <row r="312" spans="1:7" x14ac:dyDescent="0.25">
      <c r="A312" t="s">
        <v>5906</v>
      </c>
      <c r="B312" t="s">
        <v>3135</v>
      </c>
      <c r="C312" t="s">
        <v>5602</v>
      </c>
      <c r="D312" t="s">
        <v>5598</v>
      </c>
      <c r="E312" t="s">
        <v>3136</v>
      </c>
      <c r="F312">
        <v>30</v>
      </c>
      <c r="G312">
        <v>1</v>
      </c>
    </row>
    <row r="313" spans="1:7" x14ac:dyDescent="0.25">
      <c r="A313" t="s">
        <v>5907</v>
      </c>
      <c r="B313" t="s">
        <v>3137</v>
      </c>
      <c r="C313" t="s">
        <v>5592</v>
      </c>
      <c r="D313" t="s">
        <v>5593</v>
      </c>
      <c r="E313" t="s">
        <v>2259</v>
      </c>
      <c r="F313">
        <v>30</v>
      </c>
      <c r="G313">
        <v>1</v>
      </c>
    </row>
    <row r="314" spans="1:7" x14ac:dyDescent="0.25">
      <c r="A314" t="s">
        <v>5908</v>
      </c>
      <c r="B314" t="s">
        <v>3138</v>
      </c>
      <c r="C314" t="s">
        <v>5597</v>
      </c>
      <c r="D314" t="s">
        <v>5593</v>
      </c>
      <c r="E314" t="s">
        <v>2197</v>
      </c>
      <c r="F314">
        <v>30</v>
      </c>
      <c r="G314">
        <v>1</v>
      </c>
    </row>
    <row r="315" spans="1:7" x14ac:dyDescent="0.25">
      <c r="A315" t="s">
        <v>5909</v>
      </c>
      <c r="B315" t="s">
        <v>3140</v>
      </c>
      <c r="C315" t="s">
        <v>5597</v>
      </c>
      <c r="D315" t="s">
        <v>5590</v>
      </c>
      <c r="E315" t="s">
        <v>2632</v>
      </c>
      <c r="F315">
        <v>30</v>
      </c>
      <c r="G315">
        <v>1</v>
      </c>
    </row>
    <row r="316" spans="1:7" x14ac:dyDescent="0.25">
      <c r="A316" t="s">
        <v>5910</v>
      </c>
      <c r="B316" t="s">
        <v>3141</v>
      </c>
      <c r="C316" t="s">
        <v>5589</v>
      </c>
      <c r="D316" t="s">
        <v>5593</v>
      </c>
      <c r="E316" t="s">
        <v>3142</v>
      </c>
      <c r="F316">
        <v>30</v>
      </c>
      <c r="G316">
        <v>1</v>
      </c>
    </row>
    <row r="317" spans="1:7" x14ac:dyDescent="0.25">
      <c r="A317" t="s">
        <v>5911</v>
      </c>
      <c r="B317" t="s">
        <v>3143</v>
      </c>
      <c r="C317" t="s">
        <v>5597</v>
      </c>
      <c r="D317" t="s">
        <v>5595</v>
      </c>
      <c r="E317" t="s">
        <v>3144</v>
      </c>
      <c r="F317">
        <v>30</v>
      </c>
      <c r="G317">
        <v>1</v>
      </c>
    </row>
    <row r="318" spans="1:7" x14ac:dyDescent="0.25">
      <c r="A318" t="s">
        <v>5912</v>
      </c>
      <c r="B318" t="s">
        <v>3145</v>
      </c>
      <c r="C318" t="s">
        <v>5597</v>
      </c>
      <c r="D318" t="s">
        <v>5598</v>
      </c>
      <c r="E318" t="s">
        <v>3146</v>
      </c>
      <c r="F318">
        <v>30</v>
      </c>
      <c r="G318">
        <v>1</v>
      </c>
    </row>
    <row r="319" spans="1:7" x14ac:dyDescent="0.25">
      <c r="A319" t="s">
        <v>5913</v>
      </c>
      <c r="B319" t="s">
        <v>3147</v>
      </c>
      <c r="C319" t="s">
        <v>5589</v>
      </c>
      <c r="D319" t="s">
        <v>5593</v>
      </c>
      <c r="E319" t="s">
        <v>3148</v>
      </c>
      <c r="F319">
        <v>30</v>
      </c>
      <c r="G319">
        <v>1</v>
      </c>
    </row>
    <row r="320" spans="1:7" x14ac:dyDescent="0.25">
      <c r="A320" t="s">
        <v>5914</v>
      </c>
      <c r="B320" t="s">
        <v>3149</v>
      </c>
      <c r="C320" t="s">
        <v>5602</v>
      </c>
      <c r="D320" t="s">
        <v>5595</v>
      </c>
      <c r="E320" t="s">
        <v>3150</v>
      </c>
      <c r="F320">
        <v>30</v>
      </c>
      <c r="G320">
        <v>1</v>
      </c>
    </row>
    <row r="321" spans="1:7" x14ac:dyDescent="0.25">
      <c r="A321" t="s">
        <v>5915</v>
      </c>
      <c r="B321" t="s">
        <v>3151</v>
      </c>
      <c r="C321" t="s">
        <v>5602</v>
      </c>
      <c r="D321" t="s">
        <v>5590</v>
      </c>
      <c r="E321" t="s">
        <v>3152</v>
      </c>
      <c r="F321">
        <v>30</v>
      </c>
      <c r="G321">
        <v>1</v>
      </c>
    </row>
    <row r="322" spans="1:7" x14ac:dyDescent="0.25">
      <c r="A322" t="s">
        <v>5916</v>
      </c>
      <c r="B322" t="s">
        <v>3153</v>
      </c>
      <c r="C322" t="s">
        <v>5597</v>
      </c>
      <c r="D322" t="s">
        <v>5595</v>
      </c>
      <c r="E322" t="s">
        <v>3154</v>
      </c>
      <c r="F322">
        <v>30</v>
      </c>
      <c r="G322">
        <v>1</v>
      </c>
    </row>
    <row r="323" spans="1:7" x14ac:dyDescent="0.25">
      <c r="A323" t="s">
        <v>5917</v>
      </c>
      <c r="B323" t="s">
        <v>3155</v>
      </c>
      <c r="C323" t="s">
        <v>5592</v>
      </c>
      <c r="D323" t="s">
        <v>5590</v>
      </c>
      <c r="E323" t="s">
        <v>3156</v>
      </c>
      <c r="F323">
        <v>30</v>
      </c>
      <c r="G323">
        <v>1</v>
      </c>
    </row>
    <row r="324" spans="1:7" x14ac:dyDescent="0.25">
      <c r="A324" t="s">
        <v>5918</v>
      </c>
      <c r="B324" t="s">
        <v>3157</v>
      </c>
      <c r="C324" t="s">
        <v>5592</v>
      </c>
      <c r="D324" t="s">
        <v>5595</v>
      </c>
      <c r="E324" t="s">
        <v>3158</v>
      </c>
      <c r="F324">
        <v>30</v>
      </c>
      <c r="G324">
        <v>1</v>
      </c>
    </row>
    <row r="325" spans="1:7" x14ac:dyDescent="0.25">
      <c r="A325" t="s">
        <v>5919</v>
      </c>
      <c r="B325" t="s">
        <v>3159</v>
      </c>
      <c r="C325" t="s">
        <v>5589</v>
      </c>
      <c r="D325" t="s">
        <v>5595</v>
      </c>
      <c r="E325" t="s">
        <v>2127</v>
      </c>
      <c r="F325">
        <v>30</v>
      </c>
      <c r="G325">
        <v>1</v>
      </c>
    </row>
    <row r="326" spans="1:7" x14ac:dyDescent="0.25">
      <c r="A326" t="s">
        <v>5920</v>
      </c>
      <c r="B326" t="s">
        <v>3160</v>
      </c>
      <c r="C326" t="s">
        <v>5589</v>
      </c>
      <c r="D326" t="s">
        <v>5593</v>
      </c>
      <c r="E326" t="s">
        <v>3161</v>
      </c>
      <c r="F326">
        <v>30</v>
      </c>
      <c r="G326">
        <v>1</v>
      </c>
    </row>
    <row r="327" spans="1:7" x14ac:dyDescent="0.25">
      <c r="A327" t="s">
        <v>5921</v>
      </c>
      <c r="B327" t="s">
        <v>3162</v>
      </c>
      <c r="C327" t="s">
        <v>5602</v>
      </c>
      <c r="D327" t="s">
        <v>5598</v>
      </c>
      <c r="E327" t="s">
        <v>3163</v>
      </c>
      <c r="F327">
        <v>30</v>
      </c>
      <c r="G327">
        <v>1</v>
      </c>
    </row>
    <row r="328" spans="1:7" x14ac:dyDescent="0.25">
      <c r="A328" t="s">
        <v>5922</v>
      </c>
      <c r="B328" t="s">
        <v>3164</v>
      </c>
      <c r="C328" t="s">
        <v>5589</v>
      </c>
      <c r="D328" t="s">
        <v>5590</v>
      </c>
      <c r="E328" t="s">
        <v>3165</v>
      </c>
      <c r="F328">
        <v>30</v>
      </c>
      <c r="G328">
        <v>1</v>
      </c>
    </row>
    <row r="329" spans="1:7" x14ac:dyDescent="0.25">
      <c r="A329" t="s">
        <v>5923</v>
      </c>
      <c r="B329" t="s">
        <v>3166</v>
      </c>
      <c r="C329" t="s">
        <v>5597</v>
      </c>
      <c r="D329" t="s">
        <v>5593</v>
      </c>
      <c r="E329" t="s">
        <v>3167</v>
      </c>
      <c r="F329">
        <v>30</v>
      </c>
      <c r="G329">
        <v>1</v>
      </c>
    </row>
    <row r="330" spans="1:7" x14ac:dyDescent="0.25">
      <c r="A330" t="s">
        <v>5924</v>
      </c>
      <c r="B330" t="s">
        <v>3168</v>
      </c>
      <c r="C330" t="s">
        <v>5592</v>
      </c>
      <c r="D330" t="s">
        <v>5598</v>
      </c>
      <c r="E330" t="s">
        <v>2210</v>
      </c>
      <c r="F330">
        <v>30</v>
      </c>
      <c r="G330">
        <v>1</v>
      </c>
    </row>
    <row r="331" spans="1:7" x14ac:dyDescent="0.25">
      <c r="A331" t="s">
        <v>5925</v>
      </c>
      <c r="B331" t="s">
        <v>3169</v>
      </c>
      <c r="C331" t="s">
        <v>5597</v>
      </c>
      <c r="D331" t="s">
        <v>5590</v>
      </c>
      <c r="E331" t="s">
        <v>3170</v>
      </c>
      <c r="F331">
        <v>30</v>
      </c>
      <c r="G331">
        <v>1</v>
      </c>
    </row>
    <row r="332" spans="1:7" x14ac:dyDescent="0.25">
      <c r="A332" t="s">
        <v>5926</v>
      </c>
      <c r="B332" t="s">
        <v>3171</v>
      </c>
      <c r="C332" t="s">
        <v>5597</v>
      </c>
      <c r="D332" t="s">
        <v>5598</v>
      </c>
      <c r="E332" t="s">
        <v>3172</v>
      </c>
      <c r="F332">
        <v>30</v>
      </c>
      <c r="G332">
        <v>1</v>
      </c>
    </row>
    <row r="333" spans="1:7" x14ac:dyDescent="0.25">
      <c r="A333" t="s">
        <v>5927</v>
      </c>
      <c r="B333" t="s">
        <v>3173</v>
      </c>
      <c r="C333" t="s">
        <v>5589</v>
      </c>
      <c r="D333" t="s">
        <v>5593</v>
      </c>
      <c r="E333" t="s">
        <v>3174</v>
      </c>
      <c r="F333">
        <v>30</v>
      </c>
      <c r="G333">
        <v>1</v>
      </c>
    </row>
    <row r="334" spans="1:7" x14ac:dyDescent="0.25">
      <c r="A334" t="s">
        <v>5928</v>
      </c>
      <c r="B334" t="s">
        <v>3175</v>
      </c>
      <c r="C334" t="s">
        <v>5592</v>
      </c>
      <c r="D334" t="s">
        <v>5590</v>
      </c>
      <c r="E334" t="s">
        <v>3176</v>
      </c>
      <c r="F334">
        <v>30</v>
      </c>
      <c r="G334">
        <v>1</v>
      </c>
    </row>
    <row r="335" spans="1:7" x14ac:dyDescent="0.25">
      <c r="A335" t="s">
        <v>5929</v>
      </c>
      <c r="B335" t="s">
        <v>3177</v>
      </c>
      <c r="C335" t="s">
        <v>5597</v>
      </c>
      <c r="D335" t="s">
        <v>5595</v>
      </c>
      <c r="E335" t="s">
        <v>3080</v>
      </c>
      <c r="F335">
        <v>30</v>
      </c>
      <c r="G335">
        <v>1</v>
      </c>
    </row>
    <row r="336" spans="1:7" x14ac:dyDescent="0.25">
      <c r="A336" t="s">
        <v>5930</v>
      </c>
      <c r="B336" t="s">
        <v>3178</v>
      </c>
      <c r="C336" t="s">
        <v>5602</v>
      </c>
      <c r="D336" t="s">
        <v>5590</v>
      </c>
      <c r="E336" t="s">
        <v>3179</v>
      </c>
      <c r="F336">
        <v>30</v>
      </c>
      <c r="G336">
        <v>1</v>
      </c>
    </row>
    <row r="337" spans="1:7" x14ac:dyDescent="0.25">
      <c r="A337" t="s">
        <v>5931</v>
      </c>
      <c r="B337" t="s">
        <v>3180</v>
      </c>
      <c r="C337" t="s">
        <v>5597</v>
      </c>
      <c r="D337" t="s">
        <v>5590</v>
      </c>
      <c r="E337" t="s">
        <v>3181</v>
      </c>
      <c r="F337">
        <v>30</v>
      </c>
      <c r="G337">
        <v>1</v>
      </c>
    </row>
    <row r="338" spans="1:7" x14ac:dyDescent="0.25">
      <c r="A338" t="s">
        <v>5932</v>
      </c>
      <c r="B338" t="s">
        <v>3182</v>
      </c>
      <c r="C338" t="s">
        <v>5589</v>
      </c>
      <c r="D338" t="s">
        <v>5593</v>
      </c>
      <c r="E338" t="s">
        <v>2563</v>
      </c>
      <c r="F338">
        <v>30</v>
      </c>
      <c r="G338">
        <v>1</v>
      </c>
    </row>
    <row r="339" spans="1:7" x14ac:dyDescent="0.25">
      <c r="A339" t="s">
        <v>5933</v>
      </c>
      <c r="B339" t="s">
        <v>3183</v>
      </c>
      <c r="C339" t="s">
        <v>5592</v>
      </c>
      <c r="D339" t="s">
        <v>5598</v>
      </c>
      <c r="E339" t="s">
        <v>3184</v>
      </c>
      <c r="F339">
        <v>30</v>
      </c>
      <c r="G339">
        <v>1</v>
      </c>
    </row>
    <row r="340" spans="1:7" x14ac:dyDescent="0.25">
      <c r="A340" t="s">
        <v>5934</v>
      </c>
      <c r="B340" t="s">
        <v>3185</v>
      </c>
      <c r="C340" t="s">
        <v>5592</v>
      </c>
      <c r="D340" t="s">
        <v>5598</v>
      </c>
      <c r="E340" t="s">
        <v>3186</v>
      </c>
      <c r="F340">
        <v>30</v>
      </c>
      <c r="G340">
        <v>1</v>
      </c>
    </row>
    <row r="341" spans="1:7" x14ac:dyDescent="0.25">
      <c r="A341" t="s">
        <v>5935</v>
      </c>
      <c r="B341" t="s">
        <v>3187</v>
      </c>
      <c r="C341" t="s">
        <v>5589</v>
      </c>
      <c r="D341" t="s">
        <v>5598</v>
      </c>
      <c r="E341" t="s">
        <v>2651</v>
      </c>
      <c r="F341">
        <v>30</v>
      </c>
      <c r="G341">
        <v>1</v>
      </c>
    </row>
    <row r="342" spans="1:7" x14ac:dyDescent="0.25">
      <c r="A342" t="s">
        <v>5936</v>
      </c>
      <c r="B342" t="s">
        <v>3188</v>
      </c>
      <c r="C342" t="s">
        <v>5589</v>
      </c>
      <c r="D342" t="s">
        <v>5598</v>
      </c>
      <c r="E342" t="s">
        <v>3189</v>
      </c>
      <c r="F342">
        <v>30</v>
      </c>
      <c r="G342">
        <v>1</v>
      </c>
    </row>
    <row r="343" spans="1:7" x14ac:dyDescent="0.25">
      <c r="A343" t="s">
        <v>5937</v>
      </c>
      <c r="B343" t="s">
        <v>3190</v>
      </c>
      <c r="C343" t="s">
        <v>5597</v>
      </c>
      <c r="D343" t="s">
        <v>5598</v>
      </c>
      <c r="E343" t="s">
        <v>3191</v>
      </c>
      <c r="F343">
        <v>30</v>
      </c>
      <c r="G343">
        <v>1</v>
      </c>
    </row>
    <row r="344" spans="1:7" x14ac:dyDescent="0.25">
      <c r="A344" t="s">
        <v>5938</v>
      </c>
      <c r="B344" t="s">
        <v>3192</v>
      </c>
      <c r="C344" t="s">
        <v>5592</v>
      </c>
      <c r="D344" t="s">
        <v>5593</v>
      </c>
      <c r="E344" t="s">
        <v>3193</v>
      </c>
      <c r="F344">
        <v>30</v>
      </c>
      <c r="G344">
        <v>1</v>
      </c>
    </row>
    <row r="345" spans="1:7" x14ac:dyDescent="0.25">
      <c r="A345" t="s">
        <v>5939</v>
      </c>
      <c r="B345" t="s">
        <v>3194</v>
      </c>
      <c r="C345" t="s">
        <v>5597</v>
      </c>
      <c r="D345" t="s">
        <v>5593</v>
      </c>
      <c r="E345" t="s">
        <v>2163</v>
      </c>
      <c r="F345">
        <v>30</v>
      </c>
      <c r="G345">
        <v>1</v>
      </c>
    </row>
    <row r="346" spans="1:7" x14ac:dyDescent="0.25">
      <c r="A346" t="s">
        <v>5940</v>
      </c>
      <c r="B346" t="s">
        <v>3195</v>
      </c>
      <c r="C346" t="s">
        <v>5592</v>
      </c>
      <c r="D346" t="s">
        <v>5598</v>
      </c>
      <c r="E346" t="s">
        <v>3196</v>
      </c>
      <c r="F346">
        <v>30</v>
      </c>
      <c r="G346">
        <v>1</v>
      </c>
    </row>
    <row r="347" spans="1:7" x14ac:dyDescent="0.25">
      <c r="A347" t="s">
        <v>5941</v>
      </c>
      <c r="B347" t="s">
        <v>3197</v>
      </c>
      <c r="C347" t="s">
        <v>5592</v>
      </c>
      <c r="D347" t="s">
        <v>5590</v>
      </c>
      <c r="E347" t="s">
        <v>2263</v>
      </c>
      <c r="F347">
        <v>30</v>
      </c>
      <c r="G347">
        <v>1</v>
      </c>
    </row>
    <row r="348" spans="1:7" x14ac:dyDescent="0.25">
      <c r="A348" t="s">
        <v>5942</v>
      </c>
      <c r="B348" t="s">
        <v>3198</v>
      </c>
      <c r="C348" t="s">
        <v>5592</v>
      </c>
      <c r="D348" t="s">
        <v>5593</v>
      </c>
      <c r="E348" t="s">
        <v>3100</v>
      </c>
      <c r="F348">
        <v>30</v>
      </c>
      <c r="G348">
        <v>1</v>
      </c>
    </row>
    <row r="349" spans="1:7" x14ac:dyDescent="0.25">
      <c r="A349" t="s">
        <v>5943</v>
      </c>
      <c r="B349" t="s">
        <v>3199</v>
      </c>
      <c r="C349" t="s">
        <v>5592</v>
      </c>
      <c r="D349" t="s">
        <v>5595</v>
      </c>
      <c r="E349" t="s">
        <v>2532</v>
      </c>
      <c r="F349">
        <v>30</v>
      </c>
      <c r="G349">
        <v>1</v>
      </c>
    </row>
    <row r="350" spans="1:7" x14ac:dyDescent="0.25">
      <c r="A350" t="s">
        <v>5944</v>
      </c>
      <c r="B350" t="s">
        <v>3200</v>
      </c>
      <c r="C350" t="s">
        <v>5602</v>
      </c>
      <c r="D350" t="s">
        <v>5595</v>
      </c>
      <c r="E350" t="s">
        <v>2825</v>
      </c>
      <c r="F350">
        <v>30</v>
      </c>
      <c r="G350">
        <v>1</v>
      </c>
    </row>
    <row r="351" spans="1:7" x14ac:dyDescent="0.25">
      <c r="A351" t="s">
        <v>5945</v>
      </c>
      <c r="B351" t="s">
        <v>3201</v>
      </c>
      <c r="C351" t="s">
        <v>5589</v>
      </c>
      <c r="D351" t="s">
        <v>5593</v>
      </c>
      <c r="E351" t="s">
        <v>3202</v>
      </c>
      <c r="F351">
        <v>30</v>
      </c>
      <c r="G351">
        <v>1</v>
      </c>
    </row>
    <row r="352" spans="1:7" x14ac:dyDescent="0.25">
      <c r="A352" t="s">
        <v>5946</v>
      </c>
      <c r="B352" t="s">
        <v>3203</v>
      </c>
      <c r="C352" t="s">
        <v>5602</v>
      </c>
      <c r="D352" t="s">
        <v>5598</v>
      </c>
      <c r="E352" t="s">
        <v>3204</v>
      </c>
      <c r="F352">
        <v>30</v>
      </c>
      <c r="G352">
        <v>1</v>
      </c>
    </row>
    <row r="353" spans="1:7" x14ac:dyDescent="0.25">
      <c r="A353" t="s">
        <v>5947</v>
      </c>
      <c r="B353" t="s">
        <v>3205</v>
      </c>
      <c r="C353" t="s">
        <v>5597</v>
      </c>
      <c r="D353" t="s">
        <v>5593</v>
      </c>
      <c r="E353" t="s">
        <v>3206</v>
      </c>
      <c r="F353">
        <v>30</v>
      </c>
      <c r="G353">
        <v>1</v>
      </c>
    </row>
    <row r="354" spans="1:7" x14ac:dyDescent="0.25">
      <c r="A354" t="s">
        <v>5948</v>
      </c>
      <c r="B354" t="s">
        <v>3207</v>
      </c>
      <c r="C354" t="s">
        <v>5589</v>
      </c>
      <c r="D354" t="s">
        <v>5598</v>
      </c>
      <c r="E354" t="s">
        <v>2595</v>
      </c>
      <c r="F354">
        <v>30</v>
      </c>
      <c r="G354">
        <v>1</v>
      </c>
    </row>
    <row r="355" spans="1:7" x14ac:dyDescent="0.25">
      <c r="A355" t="s">
        <v>5949</v>
      </c>
      <c r="B355" t="s">
        <v>3208</v>
      </c>
      <c r="C355" t="s">
        <v>5592</v>
      </c>
      <c r="D355" t="s">
        <v>5593</v>
      </c>
      <c r="E355" t="s">
        <v>3196</v>
      </c>
      <c r="F355">
        <v>30</v>
      </c>
      <c r="G355">
        <v>1</v>
      </c>
    </row>
    <row r="356" spans="1:7" x14ac:dyDescent="0.25">
      <c r="A356" t="s">
        <v>5950</v>
      </c>
      <c r="B356" t="s">
        <v>3209</v>
      </c>
      <c r="C356" t="s">
        <v>5602</v>
      </c>
      <c r="D356" t="s">
        <v>5595</v>
      </c>
      <c r="E356" t="s">
        <v>3210</v>
      </c>
      <c r="F356">
        <v>30</v>
      </c>
      <c r="G356">
        <v>1</v>
      </c>
    </row>
    <row r="357" spans="1:7" x14ac:dyDescent="0.25">
      <c r="A357" t="s">
        <v>5951</v>
      </c>
      <c r="B357" t="s">
        <v>3211</v>
      </c>
      <c r="C357" t="s">
        <v>5592</v>
      </c>
      <c r="D357" t="s">
        <v>5598</v>
      </c>
      <c r="E357" t="s">
        <v>3212</v>
      </c>
      <c r="F357">
        <v>30</v>
      </c>
      <c r="G357">
        <v>1</v>
      </c>
    </row>
    <row r="358" spans="1:7" x14ac:dyDescent="0.25">
      <c r="A358" t="s">
        <v>5952</v>
      </c>
      <c r="B358" t="s">
        <v>3213</v>
      </c>
      <c r="C358" t="s">
        <v>5589</v>
      </c>
      <c r="D358" t="s">
        <v>5598</v>
      </c>
      <c r="E358" t="s">
        <v>3025</v>
      </c>
      <c r="F358">
        <v>30</v>
      </c>
      <c r="G358">
        <v>1</v>
      </c>
    </row>
    <row r="359" spans="1:7" x14ac:dyDescent="0.25">
      <c r="A359" t="s">
        <v>5953</v>
      </c>
      <c r="B359" t="s">
        <v>3214</v>
      </c>
      <c r="C359" t="s">
        <v>5602</v>
      </c>
      <c r="D359" t="s">
        <v>5590</v>
      </c>
      <c r="E359" t="s">
        <v>3215</v>
      </c>
      <c r="F359">
        <v>30</v>
      </c>
      <c r="G359">
        <v>1</v>
      </c>
    </row>
    <row r="360" spans="1:7" x14ac:dyDescent="0.25">
      <c r="A360" t="s">
        <v>5954</v>
      </c>
      <c r="B360" t="s">
        <v>3216</v>
      </c>
      <c r="C360" t="s">
        <v>5592</v>
      </c>
      <c r="D360" t="s">
        <v>5590</v>
      </c>
      <c r="E360" t="s">
        <v>3217</v>
      </c>
      <c r="F360">
        <v>30</v>
      </c>
      <c r="G360">
        <v>1</v>
      </c>
    </row>
    <row r="361" spans="1:7" x14ac:dyDescent="0.25">
      <c r="A361" t="s">
        <v>5955</v>
      </c>
      <c r="B361" t="s">
        <v>3218</v>
      </c>
      <c r="C361" t="s">
        <v>5589</v>
      </c>
      <c r="D361" t="s">
        <v>5590</v>
      </c>
      <c r="E361" t="s">
        <v>2353</v>
      </c>
      <c r="F361">
        <v>30</v>
      </c>
      <c r="G361">
        <v>1</v>
      </c>
    </row>
    <row r="362" spans="1:7" x14ac:dyDescent="0.25">
      <c r="A362" t="s">
        <v>5956</v>
      </c>
      <c r="B362" t="s">
        <v>3219</v>
      </c>
      <c r="C362" t="s">
        <v>5602</v>
      </c>
      <c r="D362" t="s">
        <v>5598</v>
      </c>
      <c r="E362" t="s">
        <v>3220</v>
      </c>
      <c r="F362">
        <v>30</v>
      </c>
      <c r="G362">
        <v>1</v>
      </c>
    </row>
    <row r="363" spans="1:7" x14ac:dyDescent="0.25">
      <c r="A363" t="s">
        <v>5957</v>
      </c>
      <c r="B363" t="s">
        <v>3221</v>
      </c>
      <c r="C363" t="s">
        <v>5597</v>
      </c>
      <c r="D363" t="s">
        <v>5590</v>
      </c>
      <c r="E363" t="s">
        <v>3222</v>
      </c>
      <c r="F363">
        <v>30</v>
      </c>
      <c r="G363">
        <v>1</v>
      </c>
    </row>
    <row r="364" spans="1:7" x14ac:dyDescent="0.25">
      <c r="A364" t="s">
        <v>5958</v>
      </c>
      <c r="B364" t="s">
        <v>3223</v>
      </c>
      <c r="C364" t="s">
        <v>5602</v>
      </c>
      <c r="D364" t="s">
        <v>5598</v>
      </c>
      <c r="E364" t="s">
        <v>3224</v>
      </c>
      <c r="F364">
        <v>30</v>
      </c>
      <c r="G364">
        <v>1</v>
      </c>
    </row>
    <row r="365" spans="1:7" x14ac:dyDescent="0.25">
      <c r="A365" t="s">
        <v>5959</v>
      </c>
      <c r="B365" t="s">
        <v>3225</v>
      </c>
      <c r="C365" t="s">
        <v>5589</v>
      </c>
      <c r="D365" t="s">
        <v>5595</v>
      </c>
      <c r="E365" t="s">
        <v>3226</v>
      </c>
      <c r="F365">
        <v>30</v>
      </c>
      <c r="G365">
        <v>1</v>
      </c>
    </row>
    <row r="366" spans="1:7" x14ac:dyDescent="0.25">
      <c r="A366" t="s">
        <v>5960</v>
      </c>
      <c r="B366" t="s">
        <v>3227</v>
      </c>
      <c r="C366" t="s">
        <v>5597</v>
      </c>
      <c r="D366" t="s">
        <v>5593</v>
      </c>
      <c r="E366" t="s">
        <v>3228</v>
      </c>
      <c r="F366">
        <v>30</v>
      </c>
      <c r="G366">
        <v>1</v>
      </c>
    </row>
    <row r="367" spans="1:7" x14ac:dyDescent="0.25">
      <c r="A367" t="s">
        <v>5961</v>
      </c>
      <c r="B367" t="s">
        <v>3229</v>
      </c>
      <c r="C367" t="s">
        <v>5597</v>
      </c>
      <c r="D367" t="s">
        <v>5593</v>
      </c>
      <c r="E367" t="s">
        <v>3230</v>
      </c>
      <c r="F367">
        <v>30</v>
      </c>
      <c r="G367">
        <v>1</v>
      </c>
    </row>
    <row r="368" spans="1:7" x14ac:dyDescent="0.25">
      <c r="A368" t="s">
        <v>5962</v>
      </c>
      <c r="B368" t="s">
        <v>3231</v>
      </c>
      <c r="C368" t="s">
        <v>5597</v>
      </c>
      <c r="D368" t="s">
        <v>5595</v>
      </c>
      <c r="E368" t="s">
        <v>3232</v>
      </c>
      <c r="F368">
        <v>30</v>
      </c>
      <c r="G368">
        <v>1</v>
      </c>
    </row>
    <row r="369" spans="1:7" x14ac:dyDescent="0.25">
      <c r="A369" t="s">
        <v>5963</v>
      </c>
      <c r="B369" t="s">
        <v>3233</v>
      </c>
      <c r="C369" t="s">
        <v>5592</v>
      </c>
      <c r="D369" t="s">
        <v>5593</v>
      </c>
      <c r="E369" t="s">
        <v>3234</v>
      </c>
      <c r="F369">
        <v>30</v>
      </c>
      <c r="G369">
        <v>1</v>
      </c>
    </row>
    <row r="370" spans="1:7" x14ac:dyDescent="0.25">
      <c r="A370" t="s">
        <v>5964</v>
      </c>
      <c r="B370" t="s">
        <v>3235</v>
      </c>
      <c r="C370" t="s">
        <v>5602</v>
      </c>
      <c r="D370" t="s">
        <v>5598</v>
      </c>
      <c r="E370" t="s">
        <v>3236</v>
      </c>
      <c r="F370">
        <v>30</v>
      </c>
      <c r="G370">
        <v>1</v>
      </c>
    </row>
    <row r="371" spans="1:7" x14ac:dyDescent="0.25">
      <c r="A371" t="s">
        <v>5965</v>
      </c>
      <c r="B371" t="s">
        <v>3237</v>
      </c>
      <c r="C371" t="s">
        <v>5597</v>
      </c>
      <c r="D371" t="s">
        <v>5595</v>
      </c>
      <c r="E371" t="s">
        <v>3238</v>
      </c>
      <c r="F371">
        <v>30</v>
      </c>
      <c r="G371">
        <v>1</v>
      </c>
    </row>
    <row r="372" spans="1:7" x14ac:dyDescent="0.25">
      <c r="A372" t="s">
        <v>5966</v>
      </c>
      <c r="B372" t="s">
        <v>3239</v>
      </c>
      <c r="C372" t="s">
        <v>5602</v>
      </c>
      <c r="D372" t="s">
        <v>5593</v>
      </c>
      <c r="E372" t="s">
        <v>3240</v>
      </c>
      <c r="F372">
        <v>30</v>
      </c>
      <c r="G372">
        <v>1</v>
      </c>
    </row>
    <row r="373" spans="1:7" x14ac:dyDescent="0.25">
      <c r="A373" t="s">
        <v>5967</v>
      </c>
      <c r="B373" t="s">
        <v>3241</v>
      </c>
      <c r="C373" t="s">
        <v>5592</v>
      </c>
      <c r="D373" t="s">
        <v>5593</v>
      </c>
      <c r="E373" t="s">
        <v>2661</v>
      </c>
      <c r="F373">
        <v>30</v>
      </c>
      <c r="G373">
        <v>1</v>
      </c>
    </row>
    <row r="374" spans="1:7" x14ac:dyDescent="0.25">
      <c r="A374" t="s">
        <v>5968</v>
      </c>
      <c r="B374" t="s">
        <v>3242</v>
      </c>
      <c r="C374" t="s">
        <v>5597</v>
      </c>
      <c r="D374" t="s">
        <v>5590</v>
      </c>
      <c r="E374" t="s">
        <v>3243</v>
      </c>
      <c r="F374">
        <v>30</v>
      </c>
      <c r="G374">
        <v>1</v>
      </c>
    </row>
    <row r="375" spans="1:7" x14ac:dyDescent="0.25">
      <c r="A375" t="s">
        <v>5969</v>
      </c>
      <c r="B375" t="s">
        <v>3244</v>
      </c>
      <c r="C375" t="s">
        <v>5592</v>
      </c>
      <c r="D375" t="s">
        <v>5595</v>
      </c>
      <c r="E375" t="s">
        <v>3245</v>
      </c>
      <c r="F375">
        <v>30</v>
      </c>
      <c r="G375">
        <v>1</v>
      </c>
    </row>
    <row r="376" spans="1:7" x14ac:dyDescent="0.25">
      <c r="A376" t="s">
        <v>5970</v>
      </c>
      <c r="B376" t="s">
        <v>3246</v>
      </c>
      <c r="C376" t="s">
        <v>5589</v>
      </c>
      <c r="D376" t="s">
        <v>5598</v>
      </c>
      <c r="E376" t="s">
        <v>2550</v>
      </c>
      <c r="F376">
        <v>30</v>
      </c>
      <c r="G376">
        <v>1</v>
      </c>
    </row>
    <row r="377" spans="1:7" x14ac:dyDescent="0.25">
      <c r="A377" t="s">
        <v>5971</v>
      </c>
      <c r="B377" t="s">
        <v>3247</v>
      </c>
      <c r="C377" t="s">
        <v>5589</v>
      </c>
      <c r="D377" t="s">
        <v>5598</v>
      </c>
      <c r="E377" t="s">
        <v>3054</v>
      </c>
      <c r="F377">
        <v>30</v>
      </c>
      <c r="G377">
        <v>1</v>
      </c>
    </row>
    <row r="378" spans="1:7" x14ac:dyDescent="0.25">
      <c r="A378" t="s">
        <v>5972</v>
      </c>
      <c r="B378" t="s">
        <v>3248</v>
      </c>
      <c r="C378" t="s">
        <v>5597</v>
      </c>
      <c r="D378" t="s">
        <v>5590</v>
      </c>
      <c r="E378" t="s">
        <v>3249</v>
      </c>
      <c r="F378">
        <v>30</v>
      </c>
      <c r="G378">
        <v>1</v>
      </c>
    </row>
    <row r="379" spans="1:7" x14ac:dyDescent="0.25">
      <c r="A379" t="s">
        <v>5973</v>
      </c>
      <c r="B379" t="s">
        <v>3251</v>
      </c>
      <c r="C379" t="s">
        <v>5597</v>
      </c>
      <c r="D379" t="s">
        <v>5598</v>
      </c>
      <c r="E379" t="s">
        <v>3252</v>
      </c>
      <c r="F379">
        <v>30</v>
      </c>
      <c r="G379">
        <v>1</v>
      </c>
    </row>
    <row r="380" spans="1:7" x14ac:dyDescent="0.25">
      <c r="A380" t="s">
        <v>5974</v>
      </c>
      <c r="B380" t="s">
        <v>3253</v>
      </c>
      <c r="C380" t="s">
        <v>5597</v>
      </c>
      <c r="D380" t="s">
        <v>5593</v>
      </c>
      <c r="E380" t="s">
        <v>2655</v>
      </c>
      <c r="F380">
        <v>30</v>
      </c>
      <c r="G380">
        <v>1</v>
      </c>
    </row>
    <row r="381" spans="1:7" x14ac:dyDescent="0.25">
      <c r="A381" t="s">
        <v>5975</v>
      </c>
      <c r="B381" t="s">
        <v>3254</v>
      </c>
      <c r="C381" t="s">
        <v>5597</v>
      </c>
      <c r="D381" t="s">
        <v>5590</v>
      </c>
      <c r="E381" t="s">
        <v>3255</v>
      </c>
      <c r="F381">
        <v>30</v>
      </c>
      <c r="G381">
        <v>1</v>
      </c>
    </row>
    <row r="382" spans="1:7" x14ac:dyDescent="0.25">
      <c r="A382" t="s">
        <v>5976</v>
      </c>
      <c r="B382" t="s">
        <v>3256</v>
      </c>
      <c r="C382" t="s">
        <v>5589</v>
      </c>
      <c r="D382" t="s">
        <v>5595</v>
      </c>
      <c r="E382" t="s">
        <v>3249</v>
      </c>
      <c r="F382">
        <v>30</v>
      </c>
      <c r="G382">
        <v>1</v>
      </c>
    </row>
    <row r="383" spans="1:7" x14ac:dyDescent="0.25">
      <c r="A383" t="s">
        <v>5977</v>
      </c>
      <c r="B383" t="s">
        <v>3257</v>
      </c>
      <c r="C383" t="s">
        <v>5592</v>
      </c>
      <c r="D383" t="s">
        <v>5598</v>
      </c>
      <c r="E383" t="s">
        <v>3258</v>
      </c>
      <c r="F383">
        <v>30</v>
      </c>
      <c r="G383">
        <v>1</v>
      </c>
    </row>
    <row r="384" spans="1:7" x14ac:dyDescent="0.25">
      <c r="A384" t="s">
        <v>5978</v>
      </c>
      <c r="B384" t="s">
        <v>3259</v>
      </c>
      <c r="C384" t="s">
        <v>5592</v>
      </c>
      <c r="D384" t="s">
        <v>5590</v>
      </c>
      <c r="E384" t="s">
        <v>3260</v>
      </c>
      <c r="F384">
        <v>30</v>
      </c>
      <c r="G384">
        <v>1</v>
      </c>
    </row>
    <row r="385" spans="1:7" x14ac:dyDescent="0.25">
      <c r="A385" t="s">
        <v>5979</v>
      </c>
      <c r="B385" t="s">
        <v>3261</v>
      </c>
      <c r="C385" t="s">
        <v>5597</v>
      </c>
      <c r="D385" t="s">
        <v>5595</v>
      </c>
      <c r="E385" t="s">
        <v>2468</v>
      </c>
      <c r="F385">
        <v>30</v>
      </c>
      <c r="G385">
        <v>1</v>
      </c>
    </row>
    <row r="386" spans="1:7" x14ac:dyDescent="0.25">
      <c r="A386" t="s">
        <v>5980</v>
      </c>
      <c r="B386" t="s">
        <v>3262</v>
      </c>
      <c r="C386" t="s">
        <v>5592</v>
      </c>
      <c r="D386" t="s">
        <v>5593</v>
      </c>
      <c r="E386" t="s">
        <v>3263</v>
      </c>
      <c r="F386">
        <v>30</v>
      </c>
      <c r="G386">
        <v>1</v>
      </c>
    </row>
    <row r="387" spans="1:7" x14ac:dyDescent="0.25">
      <c r="A387" t="s">
        <v>5981</v>
      </c>
      <c r="B387" t="s">
        <v>3264</v>
      </c>
      <c r="C387" t="s">
        <v>5589</v>
      </c>
      <c r="D387" t="s">
        <v>5598</v>
      </c>
      <c r="E387" t="s">
        <v>3250</v>
      </c>
      <c r="F387">
        <v>30</v>
      </c>
      <c r="G387">
        <v>1</v>
      </c>
    </row>
    <row r="388" spans="1:7" x14ac:dyDescent="0.25">
      <c r="A388" t="s">
        <v>5982</v>
      </c>
      <c r="B388" t="s">
        <v>3265</v>
      </c>
      <c r="C388" t="s">
        <v>5597</v>
      </c>
      <c r="D388" t="s">
        <v>5598</v>
      </c>
      <c r="E388" t="s">
        <v>2403</v>
      </c>
      <c r="F388">
        <v>30</v>
      </c>
      <c r="G388">
        <v>1</v>
      </c>
    </row>
    <row r="389" spans="1:7" x14ac:dyDescent="0.25">
      <c r="A389" t="s">
        <v>5983</v>
      </c>
      <c r="B389" t="s">
        <v>3266</v>
      </c>
      <c r="C389" t="s">
        <v>5602</v>
      </c>
      <c r="D389" t="s">
        <v>5593</v>
      </c>
      <c r="E389" t="s">
        <v>3267</v>
      </c>
      <c r="F389">
        <v>30</v>
      </c>
      <c r="G389">
        <v>1</v>
      </c>
    </row>
    <row r="390" spans="1:7" x14ac:dyDescent="0.25">
      <c r="A390" t="s">
        <v>5984</v>
      </c>
      <c r="B390" t="s">
        <v>3268</v>
      </c>
      <c r="C390" t="s">
        <v>5597</v>
      </c>
      <c r="D390" t="s">
        <v>5590</v>
      </c>
      <c r="E390" t="s">
        <v>3269</v>
      </c>
      <c r="F390">
        <v>30</v>
      </c>
      <c r="G390">
        <v>1</v>
      </c>
    </row>
    <row r="391" spans="1:7" x14ac:dyDescent="0.25">
      <c r="A391" t="s">
        <v>5985</v>
      </c>
      <c r="B391" t="s">
        <v>3270</v>
      </c>
      <c r="C391" t="s">
        <v>5597</v>
      </c>
      <c r="D391" t="s">
        <v>5590</v>
      </c>
      <c r="E391" t="s">
        <v>3271</v>
      </c>
      <c r="F391">
        <v>30</v>
      </c>
      <c r="G391">
        <v>1</v>
      </c>
    </row>
    <row r="392" spans="1:7" x14ac:dyDescent="0.25">
      <c r="A392" t="s">
        <v>5986</v>
      </c>
      <c r="B392" t="s">
        <v>3273</v>
      </c>
      <c r="C392" t="s">
        <v>5589</v>
      </c>
      <c r="D392" t="s">
        <v>5598</v>
      </c>
      <c r="E392" t="s">
        <v>2793</v>
      </c>
      <c r="F392">
        <v>30</v>
      </c>
      <c r="G392">
        <v>1</v>
      </c>
    </row>
    <row r="393" spans="1:7" x14ac:dyDescent="0.25">
      <c r="A393" t="s">
        <v>5987</v>
      </c>
      <c r="B393" t="s">
        <v>3274</v>
      </c>
      <c r="C393" t="s">
        <v>5592</v>
      </c>
      <c r="D393" t="s">
        <v>5593</v>
      </c>
      <c r="E393" t="s">
        <v>3275</v>
      </c>
      <c r="F393">
        <v>30</v>
      </c>
      <c r="G393">
        <v>1</v>
      </c>
    </row>
    <row r="394" spans="1:7" x14ac:dyDescent="0.25">
      <c r="A394" t="s">
        <v>5988</v>
      </c>
      <c r="B394" t="s">
        <v>3276</v>
      </c>
      <c r="C394" t="s">
        <v>5602</v>
      </c>
      <c r="D394" t="s">
        <v>5598</v>
      </c>
      <c r="E394" t="s">
        <v>2683</v>
      </c>
      <c r="F394">
        <v>30</v>
      </c>
      <c r="G394">
        <v>1</v>
      </c>
    </row>
    <row r="395" spans="1:7" x14ac:dyDescent="0.25">
      <c r="A395" t="s">
        <v>5989</v>
      </c>
      <c r="B395" t="s">
        <v>3277</v>
      </c>
      <c r="C395" t="s">
        <v>5602</v>
      </c>
      <c r="D395" t="s">
        <v>5595</v>
      </c>
      <c r="E395" t="s">
        <v>3165</v>
      </c>
      <c r="F395">
        <v>30</v>
      </c>
      <c r="G395">
        <v>1</v>
      </c>
    </row>
    <row r="396" spans="1:7" x14ac:dyDescent="0.25">
      <c r="A396" t="s">
        <v>5990</v>
      </c>
      <c r="B396" t="s">
        <v>3278</v>
      </c>
      <c r="C396" t="s">
        <v>5597</v>
      </c>
      <c r="D396" t="s">
        <v>5590</v>
      </c>
      <c r="E396" t="s">
        <v>3279</v>
      </c>
      <c r="F396">
        <v>30</v>
      </c>
      <c r="G396">
        <v>1</v>
      </c>
    </row>
    <row r="397" spans="1:7" x14ac:dyDescent="0.25">
      <c r="A397" t="s">
        <v>5991</v>
      </c>
      <c r="B397" t="s">
        <v>3280</v>
      </c>
      <c r="C397" t="s">
        <v>5592</v>
      </c>
      <c r="D397" t="s">
        <v>5593</v>
      </c>
      <c r="E397" t="s">
        <v>3281</v>
      </c>
      <c r="F397">
        <v>30</v>
      </c>
      <c r="G397">
        <v>1</v>
      </c>
    </row>
    <row r="398" spans="1:7" x14ac:dyDescent="0.25">
      <c r="A398" t="s">
        <v>5992</v>
      </c>
      <c r="B398" t="s">
        <v>3282</v>
      </c>
      <c r="C398" t="s">
        <v>5602</v>
      </c>
      <c r="D398" t="s">
        <v>5593</v>
      </c>
      <c r="E398" t="s">
        <v>3283</v>
      </c>
      <c r="F398">
        <v>30</v>
      </c>
      <c r="G398">
        <v>1</v>
      </c>
    </row>
    <row r="399" spans="1:7" x14ac:dyDescent="0.25">
      <c r="A399" t="s">
        <v>5993</v>
      </c>
      <c r="B399" t="s">
        <v>3284</v>
      </c>
      <c r="C399" t="s">
        <v>5592</v>
      </c>
      <c r="D399" t="s">
        <v>5598</v>
      </c>
      <c r="E399" t="s">
        <v>3083</v>
      </c>
      <c r="F399">
        <v>30</v>
      </c>
      <c r="G399">
        <v>1</v>
      </c>
    </row>
    <row r="400" spans="1:7" x14ac:dyDescent="0.25">
      <c r="A400" t="s">
        <v>5994</v>
      </c>
      <c r="B400" t="s">
        <v>3285</v>
      </c>
      <c r="C400" t="s">
        <v>5592</v>
      </c>
      <c r="D400" t="s">
        <v>5593</v>
      </c>
      <c r="E400" t="s">
        <v>3286</v>
      </c>
      <c r="F400">
        <v>30</v>
      </c>
      <c r="G400">
        <v>1</v>
      </c>
    </row>
    <row r="401" spans="1:7" x14ac:dyDescent="0.25">
      <c r="A401" t="s">
        <v>5995</v>
      </c>
      <c r="B401" t="s">
        <v>3287</v>
      </c>
      <c r="C401" t="s">
        <v>5592</v>
      </c>
      <c r="D401" t="s">
        <v>5598</v>
      </c>
      <c r="E401" t="s">
        <v>3288</v>
      </c>
      <c r="F401">
        <v>30</v>
      </c>
      <c r="G401">
        <v>1</v>
      </c>
    </row>
    <row r="402" spans="1:7" x14ac:dyDescent="0.25">
      <c r="A402" t="s">
        <v>5996</v>
      </c>
      <c r="B402" t="s">
        <v>3289</v>
      </c>
      <c r="C402" t="s">
        <v>5597</v>
      </c>
      <c r="D402" t="s">
        <v>5593</v>
      </c>
      <c r="E402" t="s">
        <v>3290</v>
      </c>
      <c r="F402">
        <v>30</v>
      </c>
      <c r="G402">
        <v>1</v>
      </c>
    </row>
    <row r="403" spans="1:7" x14ac:dyDescent="0.25">
      <c r="A403" t="s">
        <v>5997</v>
      </c>
      <c r="B403" t="s">
        <v>3291</v>
      </c>
      <c r="C403" t="s">
        <v>5589</v>
      </c>
      <c r="D403" t="s">
        <v>5595</v>
      </c>
      <c r="E403" t="s">
        <v>2622</v>
      </c>
      <c r="F403">
        <v>30</v>
      </c>
      <c r="G403">
        <v>1</v>
      </c>
    </row>
    <row r="404" spans="1:7" x14ac:dyDescent="0.25">
      <c r="A404" t="s">
        <v>5998</v>
      </c>
      <c r="B404" t="s">
        <v>3293</v>
      </c>
      <c r="C404" t="s">
        <v>5597</v>
      </c>
      <c r="D404" t="s">
        <v>5598</v>
      </c>
      <c r="E404" t="s">
        <v>2197</v>
      </c>
      <c r="F404">
        <v>30</v>
      </c>
      <c r="G404">
        <v>1</v>
      </c>
    </row>
    <row r="405" spans="1:7" x14ac:dyDescent="0.25">
      <c r="A405" t="s">
        <v>5999</v>
      </c>
      <c r="B405" t="s">
        <v>3294</v>
      </c>
      <c r="C405" t="s">
        <v>5589</v>
      </c>
      <c r="D405" t="s">
        <v>5593</v>
      </c>
      <c r="E405" t="s">
        <v>3295</v>
      </c>
      <c r="F405">
        <v>30</v>
      </c>
      <c r="G405">
        <v>1</v>
      </c>
    </row>
    <row r="406" spans="1:7" x14ac:dyDescent="0.25">
      <c r="A406" t="s">
        <v>6000</v>
      </c>
      <c r="B406" t="s">
        <v>3296</v>
      </c>
      <c r="C406" t="s">
        <v>5592</v>
      </c>
      <c r="D406" t="s">
        <v>5590</v>
      </c>
      <c r="E406" t="s">
        <v>2729</v>
      </c>
      <c r="F406">
        <v>30</v>
      </c>
      <c r="G406">
        <v>1</v>
      </c>
    </row>
    <row r="407" spans="1:7" x14ac:dyDescent="0.25">
      <c r="A407" t="s">
        <v>6001</v>
      </c>
      <c r="B407" t="s">
        <v>3297</v>
      </c>
      <c r="C407" t="s">
        <v>5597</v>
      </c>
      <c r="D407" t="s">
        <v>5593</v>
      </c>
      <c r="E407" t="s">
        <v>3298</v>
      </c>
      <c r="F407">
        <v>30</v>
      </c>
      <c r="G407">
        <v>1</v>
      </c>
    </row>
    <row r="408" spans="1:7" x14ac:dyDescent="0.25">
      <c r="A408" t="s">
        <v>6002</v>
      </c>
      <c r="B408" t="s">
        <v>3299</v>
      </c>
      <c r="C408" t="s">
        <v>5592</v>
      </c>
      <c r="D408" t="s">
        <v>5595</v>
      </c>
      <c r="E408" t="s">
        <v>3129</v>
      </c>
      <c r="F408">
        <v>30</v>
      </c>
      <c r="G408">
        <v>1</v>
      </c>
    </row>
    <row r="409" spans="1:7" x14ac:dyDescent="0.25">
      <c r="A409" t="s">
        <v>6003</v>
      </c>
      <c r="B409" t="s">
        <v>3300</v>
      </c>
      <c r="C409" t="s">
        <v>5592</v>
      </c>
      <c r="D409" t="s">
        <v>5593</v>
      </c>
      <c r="E409" t="s">
        <v>3301</v>
      </c>
      <c r="F409">
        <v>30</v>
      </c>
      <c r="G409">
        <v>1</v>
      </c>
    </row>
    <row r="410" spans="1:7" x14ac:dyDescent="0.25">
      <c r="A410" t="s">
        <v>6004</v>
      </c>
      <c r="B410" t="s">
        <v>3302</v>
      </c>
      <c r="C410" t="s">
        <v>5597</v>
      </c>
      <c r="D410" t="s">
        <v>5598</v>
      </c>
      <c r="E410" t="s">
        <v>3303</v>
      </c>
      <c r="F410">
        <v>30</v>
      </c>
      <c r="G410">
        <v>1</v>
      </c>
    </row>
    <row r="411" spans="1:7" x14ac:dyDescent="0.25">
      <c r="A411" t="s">
        <v>6005</v>
      </c>
      <c r="B411" t="s">
        <v>3304</v>
      </c>
      <c r="C411" t="s">
        <v>5597</v>
      </c>
      <c r="D411" t="s">
        <v>5590</v>
      </c>
      <c r="E411" t="s">
        <v>3305</v>
      </c>
      <c r="F411">
        <v>30</v>
      </c>
      <c r="G411">
        <v>1</v>
      </c>
    </row>
    <row r="412" spans="1:7" x14ac:dyDescent="0.25">
      <c r="A412" t="s">
        <v>6006</v>
      </c>
      <c r="B412" t="s">
        <v>3306</v>
      </c>
      <c r="C412" t="s">
        <v>5592</v>
      </c>
      <c r="D412" t="s">
        <v>5595</v>
      </c>
      <c r="E412" t="s">
        <v>3120</v>
      </c>
      <c r="F412">
        <v>30</v>
      </c>
      <c r="G412">
        <v>1</v>
      </c>
    </row>
    <row r="413" spans="1:7" x14ac:dyDescent="0.25">
      <c r="A413" t="s">
        <v>6007</v>
      </c>
      <c r="B413" t="s">
        <v>3307</v>
      </c>
      <c r="C413" t="s">
        <v>5602</v>
      </c>
      <c r="D413" t="s">
        <v>5595</v>
      </c>
      <c r="E413" t="s">
        <v>3308</v>
      </c>
      <c r="F413">
        <v>30</v>
      </c>
      <c r="G413">
        <v>1</v>
      </c>
    </row>
    <row r="414" spans="1:7" x14ac:dyDescent="0.25">
      <c r="A414" t="s">
        <v>6008</v>
      </c>
      <c r="B414" t="s">
        <v>3309</v>
      </c>
      <c r="C414" t="s">
        <v>5602</v>
      </c>
      <c r="D414" t="s">
        <v>5593</v>
      </c>
      <c r="E414" t="s">
        <v>3310</v>
      </c>
      <c r="F414">
        <v>30</v>
      </c>
      <c r="G414">
        <v>1</v>
      </c>
    </row>
    <row r="415" spans="1:7" x14ac:dyDescent="0.25">
      <c r="A415" t="s">
        <v>6009</v>
      </c>
      <c r="B415" t="s">
        <v>3311</v>
      </c>
      <c r="C415" t="s">
        <v>5597</v>
      </c>
      <c r="D415" t="s">
        <v>5598</v>
      </c>
      <c r="E415" t="s">
        <v>3312</v>
      </c>
      <c r="F415">
        <v>30</v>
      </c>
      <c r="G415">
        <v>1</v>
      </c>
    </row>
    <row r="416" spans="1:7" x14ac:dyDescent="0.25">
      <c r="A416" t="s">
        <v>6010</v>
      </c>
      <c r="B416" t="s">
        <v>3313</v>
      </c>
      <c r="C416" t="s">
        <v>5589</v>
      </c>
      <c r="D416" t="s">
        <v>5593</v>
      </c>
      <c r="E416" t="s">
        <v>3314</v>
      </c>
      <c r="F416">
        <v>30</v>
      </c>
      <c r="G416">
        <v>1</v>
      </c>
    </row>
    <row r="417" spans="1:7" x14ac:dyDescent="0.25">
      <c r="A417" t="s">
        <v>6011</v>
      </c>
      <c r="B417" t="s">
        <v>3315</v>
      </c>
      <c r="C417" t="s">
        <v>5597</v>
      </c>
      <c r="D417" t="s">
        <v>5598</v>
      </c>
      <c r="E417" t="s">
        <v>3119</v>
      </c>
      <c r="F417">
        <v>30</v>
      </c>
      <c r="G417">
        <v>1</v>
      </c>
    </row>
    <row r="418" spans="1:7" x14ac:dyDescent="0.25">
      <c r="A418" t="s">
        <v>6012</v>
      </c>
      <c r="B418" t="s">
        <v>3316</v>
      </c>
      <c r="C418" t="s">
        <v>5592</v>
      </c>
      <c r="D418" t="s">
        <v>5595</v>
      </c>
      <c r="E418" t="s">
        <v>3317</v>
      </c>
      <c r="F418">
        <v>30</v>
      </c>
      <c r="G418">
        <v>1</v>
      </c>
    </row>
    <row r="419" spans="1:7" x14ac:dyDescent="0.25">
      <c r="A419" t="s">
        <v>6013</v>
      </c>
      <c r="B419" t="s">
        <v>3318</v>
      </c>
      <c r="C419" t="s">
        <v>5597</v>
      </c>
      <c r="D419" t="s">
        <v>5595</v>
      </c>
      <c r="E419" t="s">
        <v>3319</v>
      </c>
      <c r="F419">
        <v>30</v>
      </c>
      <c r="G419">
        <v>1</v>
      </c>
    </row>
    <row r="420" spans="1:7" x14ac:dyDescent="0.25">
      <c r="A420" t="s">
        <v>6014</v>
      </c>
      <c r="B420" t="s">
        <v>3320</v>
      </c>
      <c r="C420" t="s">
        <v>5602</v>
      </c>
      <c r="D420" t="s">
        <v>5595</v>
      </c>
      <c r="E420" t="s">
        <v>3321</v>
      </c>
      <c r="F420">
        <v>30</v>
      </c>
      <c r="G420">
        <v>1</v>
      </c>
    </row>
    <row r="421" spans="1:7" x14ac:dyDescent="0.25">
      <c r="A421" t="s">
        <v>6015</v>
      </c>
      <c r="B421" t="s">
        <v>3322</v>
      </c>
      <c r="C421" t="s">
        <v>5592</v>
      </c>
      <c r="D421" t="s">
        <v>5595</v>
      </c>
      <c r="E421" t="s">
        <v>3323</v>
      </c>
      <c r="F421">
        <v>30</v>
      </c>
      <c r="G421">
        <v>1</v>
      </c>
    </row>
    <row r="422" spans="1:7" x14ac:dyDescent="0.25">
      <c r="A422" t="s">
        <v>6016</v>
      </c>
      <c r="B422" t="s">
        <v>3324</v>
      </c>
      <c r="C422" t="s">
        <v>5597</v>
      </c>
      <c r="D422" t="s">
        <v>5598</v>
      </c>
      <c r="E422" t="s">
        <v>2797</v>
      </c>
      <c r="F422">
        <v>30</v>
      </c>
      <c r="G422">
        <v>1</v>
      </c>
    </row>
    <row r="423" spans="1:7" x14ac:dyDescent="0.25">
      <c r="A423" t="s">
        <v>6017</v>
      </c>
      <c r="B423" t="s">
        <v>3325</v>
      </c>
      <c r="C423" t="s">
        <v>5592</v>
      </c>
      <c r="D423" t="s">
        <v>5590</v>
      </c>
      <c r="E423" t="s">
        <v>3272</v>
      </c>
      <c r="F423">
        <v>30</v>
      </c>
      <c r="G423">
        <v>1</v>
      </c>
    </row>
    <row r="424" spans="1:7" x14ac:dyDescent="0.25">
      <c r="A424" t="s">
        <v>6018</v>
      </c>
      <c r="B424" t="s">
        <v>3326</v>
      </c>
      <c r="C424" t="s">
        <v>5589</v>
      </c>
      <c r="D424" t="s">
        <v>5598</v>
      </c>
      <c r="E424" t="s">
        <v>3327</v>
      </c>
      <c r="F424">
        <v>30</v>
      </c>
      <c r="G424">
        <v>1</v>
      </c>
    </row>
    <row r="425" spans="1:7" x14ac:dyDescent="0.25">
      <c r="A425" t="s">
        <v>6019</v>
      </c>
      <c r="B425" t="s">
        <v>3328</v>
      </c>
      <c r="C425" t="s">
        <v>5592</v>
      </c>
      <c r="D425" t="s">
        <v>5598</v>
      </c>
      <c r="E425" t="s">
        <v>2483</v>
      </c>
      <c r="F425">
        <v>30</v>
      </c>
      <c r="G425">
        <v>1</v>
      </c>
    </row>
    <row r="426" spans="1:7" x14ac:dyDescent="0.25">
      <c r="A426" t="s">
        <v>6020</v>
      </c>
      <c r="B426" t="s">
        <v>3329</v>
      </c>
      <c r="C426" t="s">
        <v>5589</v>
      </c>
      <c r="D426" t="s">
        <v>5593</v>
      </c>
      <c r="E426" t="s">
        <v>2709</v>
      </c>
      <c r="F426">
        <v>30</v>
      </c>
      <c r="G426">
        <v>1</v>
      </c>
    </row>
    <row r="427" spans="1:7" x14ac:dyDescent="0.25">
      <c r="A427" t="s">
        <v>6021</v>
      </c>
      <c r="B427" t="s">
        <v>3330</v>
      </c>
      <c r="C427" t="s">
        <v>5597</v>
      </c>
      <c r="D427" t="s">
        <v>5593</v>
      </c>
      <c r="E427" t="s">
        <v>3331</v>
      </c>
      <c r="F427">
        <v>30</v>
      </c>
      <c r="G427">
        <v>1</v>
      </c>
    </row>
    <row r="428" spans="1:7" x14ac:dyDescent="0.25">
      <c r="A428" t="s">
        <v>6022</v>
      </c>
      <c r="B428" t="s">
        <v>3332</v>
      </c>
      <c r="C428" t="s">
        <v>5597</v>
      </c>
      <c r="D428" t="s">
        <v>5595</v>
      </c>
      <c r="E428" t="s">
        <v>3084</v>
      </c>
      <c r="F428">
        <v>30</v>
      </c>
      <c r="G428">
        <v>1</v>
      </c>
    </row>
    <row r="429" spans="1:7" x14ac:dyDescent="0.25">
      <c r="A429" t="s">
        <v>6023</v>
      </c>
      <c r="B429" t="s">
        <v>3333</v>
      </c>
      <c r="C429" t="s">
        <v>5589</v>
      </c>
      <c r="D429" t="s">
        <v>5590</v>
      </c>
      <c r="E429" t="s">
        <v>3334</v>
      </c>
      <c r="F429">
        <v>30</v>
      </c>
      <c r="G429">
        <v>1</v>
      </c>
    </row>
    <row r="430" spans="1:7" x14ac:dyDescent="0.25">
      <c r="A430" t="s">
        <v>6024</v>
      </c>
      <c r="B430" t="s">
        <v>3335</v>
      </c>
      <c r="C430" t="s">
        <v>5597</v>
      </c>
      <c r="D430" t="s">
        <v>5595</v>
      </c>
      <c r="E430" t="s">
        <v>3336</v>
      </c>
      <c r="F430">
        <v>30</v>
      </c>
      <c r="G430">
        <v>1</v>
      </c>
    </row>
    <row r="431" spans="1:7" x14ac:dyDescent="0.25">
      <c r="A431" t="s">
        <v>6025</v>
      </c>
      <c r="B431" t="s">
        <v>3337</v>
      </c>
      <c r="C431" t="s">
        <v>5602</v>
      </c>
      <c r="D431" t="s">
        <v>5595</v>
      </c>
      <c r="E431" t="s">
        <v>3338</v>
      </c>
      <c r="F431">
        <v>30</v>
      </c>
      <c r="G431">
        <v>1</v>
      </c>
    </row>
    <row r="432" spans="1:7" x14ac:dyDescent="0.25">
      <c r="A432" t="s">
        <v>6026</v>
      </c>
      <c r="B432" t="s">
        <v>3339</v>
      </c>
      <c r="C432" t="s">
        <v>5592</v>
      </c>
      <c r="D432" t="s">
        <v>5590</v>
      </c>
      <c r="E432" t="s">
        <v>3340</v>
      </c>
      <c r="F432">
        <v>30</v>
      </c>
      <c r="G432">
        <v>1</v>
      </c>
    </row>
    <row r="433" spans="1:7" x14ac:dyDescent="0.25">
      <c r="A433" t="s">
        <v>6027</v>
      </c>
      <c r="B433" t="s">
        <v>3341</v>
      </c>
      <c r="C433" t="s">
        <v>5592</v>
      </c>
      <c r="D433" t="s">
        <v>5593</v>
      </c>
      <c r="E433" t="s">
        <v>3342</v>
      </c>
      <c r="F433">
        <v>30</v>
      </c>
      <c r="G433">
        <v>1</v>
      </c>
    </row>
    <row r="434" spans="1:7" x14ac:dyDescent="0.25">
      <c r="A434" t="s">
        <v>6028</v>
      </c>
      <c r="B434" t="s">
        <v>3343</v>
      </c>
      <c r="C434" t="s">
        <v>5597</v>
      </c>
      <c r="D434" t="s">
        <v>5595</v>
      </c>
      <c r="E434" t="s">
        <v>2360</v>
      </c>
      <c r="F434">
        <v>30</v>
      </c>
      <c r="G434">
        <v>1</v>
      </c>
    </row>
    <row r="435" spans="1:7" x14ac:dyDescent="0.25">
      <c r="A435" t="s">
        <v>6029</v>
      </c>
      <c r="B435" t="s">
        <v>3344</v>
      </c>
      <c r="C435" t="s">
        <v>5589</v>
      </c>
      <c r="D435" t="s">
        <v>5598</v>
      </c>
      <c r="E435" t="s">
        <v>3025</v>
      </c>
      <c r="F435">
        <v>30</v>
      </c>
      <c r="G435">
        <v>1</v>
      </c>
    </row>
    <row r="436" spans="1:7" x14ac:dyDescent="0.25">
      <c r="A436" t="s">
        <v>6030</v>
      </c>
      <c r="B436" t="s">
        <v>3345</v>
      </c>
      <c r="C436" t="s">
        <v>5592</v>
      </c>
      <c r="D436" t="s">
        <v>5590</v>
      </c>
      <c r="E436" t="s">
        <v>3249</v>
      </c>
      <c r="F436">
        <v>30</v>
      </c>
      <c r="G436">
        <v>1</v>
      </c>
    </row>
    <row r="437" spans="1:7" x14ac:dyDescent="0.25">
      <c r="A437" t="s">
        <v>6031</v>
      </c>
      <c r="B437" t="s">
        <v>3346</v>
      </c>
      <c r="C437" t="s">
        <v>5592</v>
      </c>
      <c r="D437" t="s">
        <v>5595</v>
      </c>
      <c r="E437" t="s">
        <v>3347</v>
      </c>
      <c r="F437">
        <v>30</v>
      </c>
      <c r="G437">
        <v>1</v>
      </c>
    </row>
    <row r="438" spans="1:7" x14ac:dyDescent="0.25">
      <c r="A438" t="s">
        <v>6032</v>
      </c>
      <c r="B438" t="s">
        <v>3348</v>
      </c>
      <c r="C438" t="s">
        <v>5602</v>
      </c>
      <c r="D438" t="s">
        <v>5590</v>
      </c>
      <c r="E438" t="s">
        <v>3050</v>
      </c>
      <c r="F438">
        <v>30</v>
      </c>
      <c r="G438">
        <v>1</v>
      </c>
    </row>
    <row r="439" spans="1:7" x14ac:dyDescent="0.25">
      <c r="A439" t="s">
        <v>6033</v>
      </c>
      <c r="B439" t="s">
        <v>3349</v>
      </c>
      <c r="C439" t="s">
        <v>5589</v>
      </c>
      <c r="D439" t="s">
        <v>5598</v>
      </c>
      <c r="E439" t="s">
        <v>3350</v>
      </c>
      <c r="F439">
        <v>30</v>
      </c>
      <c r="G439">
        <v>1</v>
      </c>
    </row>
    <row r="440" spans="1:7" x14ac:dyDescent="0.25">
      <c r="A440" t="s">
        <v>6034</v>
      </c>
      <c r="B440" t="s">
        <v>3351</v>
      </c>
      <c r="C440" t="s">
        <v>5589</v>
      </c>
      <c r="D440" t="s">
        <v>5598</v>
      </c>
      <c r="E440" t="s">
        <v>3352</v>
      </c>
      <c r="F440">
        <v>30</v>
      </c>
      <c r="G440">
        <v>1</v>
      </c>
    </row>
    <row r="441" spans="1:7" x14ac:dyDescent="0.25">
      <c r="A441" t="s">
        <v>6035</v>
      </c>
      <c r="B441" t="s">
        <v>3353</v>
      </c>
      <c r="C441" t="s">
        <v>5592</v>
      </c>
      <c r="D441" t="s">
        <v>5590</v>
      </c>
      <c r="E441" t="s">
        <v>3354</v>
      </c>
      <c r="F441">
        <v>30</v>
      </c>
      <c r="G441">
        <v>1</v>
      </c>
    </row>
    <row r="442" spans="1:7" x14ac:dyDescent="0.25">
      <c r="A442" t="s">
        <v>6036</v>
      </c>
      <c r="B442" t="s">
        <v>3355</v>
      </c>
      <c r="C442" t="s">
        <v>5597</v>
      </c>
      <c r="D442" t="s">
        <v>5590</v>
      </c>
      <c r="E442" t="s">
        <v>2833</v>
      </c>
      <c r="F442">
        <v>30</v>
      </c>
      <c r="G442">
        <v>1</v>
      </c>
    </row>
    <row r="443" spans="1:7" x14ac:dyDescent="0.25">
      <c r="A443" t="s">
        <v>6037</v>
      </c>
      <c r="B443" t="s">
        <v>3356</v>
      </c>
      <c r="C443" t="s">
        <v>5592</v>
      </c>
      <c r="D443" t="s">
        <v>5590</v>
      </c>
      <c r="E443" t="s">
        <v>3357</v>
      </c>
      <c r="F443">
        <v>30</v>
      </c>
      <c r="G443">
        <v>1</v>
      </c>
    </row>
    <row r="444" spans="1:7" x14ac:dyDescent="0.25">
      <c r="A444" t="s">
        <v>6038</v>
      </c>
      <c r="B444" t="s">
        <v>3358</v>
      </c>
      <c r="C444" t="s">
        <v>5597</v>
      </c>
      <c r="D444" t="s">
        <v>5590</v>
      </c>
      <c r="E444" t="s">
        <v>3025</v>
      </c>
      <c r="F444">
        <v>30</v>
      </c>
      <c r="G444">
        <v>1</v>
      </c>
    </row>
    <row r="445" spans="1:7" x14ac:dyDescent="0.25">
      <c r="A445" t="s">
        <v>6039</v>
      </c>
      <c r="B445" t="s">
        <v>3359</v>
      </c>
      <c r="C445" t="s">
        <v>5597</v>
      </c>
      <c r="D445" t="s">
        <v>5593</v>
      </c>
      <c r="E445" t="s">
        <v>3360</v>
      </c>
      <c r="F445">
        <v>30</v>
      </c>
      <c r="G445">
        <v>1</v>
      </c>
    </row>
    <row r="446" spans="1:7" x14ac:dyDescent="0.25">
      <c r="A446" t="s">
        <v>6040</v>
      </c>
      <c r="B446" t="s">
        <v>3361</v>
      </c>
      <c r="C446" t="s">
        <v>5602</v>
      </c>
      <c r="D446" t="s">
        <v>5593</v>
      </c>
      <c r="E446" t="s">
        <v>3362</v>
      </c>
      <c r="F446">
        <v>30</v>
      </c>
      <c r="G446">
        <v>1</v>
      </c>
    </row>
    <row r="447" spans="1:7" x14ac:dyDescent="0.25">
      <c r="A447" t="s">
        <v>6041</v>
      </c>
      <c r="B447" t="s">
        <v>3363</v>
      </c>
      <c r="C447" t="s">
        <v>5592</v>
      </c>
      <c r="D447" t="s">
        <v>5590</v>
      </c>
      <c r="E447" t="s">
        <v>2793</v>
      </c>
      <c r="F447">
        <v>30</v>
      </c>
      <c r="G447">
        <v>1</v>
      </c>
    </row>
    <row r="448" spans="1:7" x14ac:dyDescent="0.25">
      <c r="A448" t="s">
        <v>6042</v>
      </c>
      <c r="B448" t="s">
        <v>3364</v>
      </c>
      <c r="C448" t="s">
        <v>5589</v>
      </c>
      <c r="D448" t="s">
        <v>5595</v>
      </c>
      <c r="E448" t="s">
        <v>3365</v>
      </c>
      <c r="F448">
        <v>30</v>
      </c>
      <c r="G448">
        <v>1</v>
      </c>
    </row>
    <row r="449" spans="1:7" x14ac:dyDescent="0.25">
      <c r="A449" t="s">
        <v>6043</v>
      </c>
      <c r="B449" t="s">
        <v>3366</v>
      </c>
      <c r="C449" t="s">
        <v>5589</v>
      </c>
      <c r="D449" t="s">
        <v>5593</v>
      </c>
      <c r="E449" t="s">
        <v>3367</v>
      </c>
      <c r="F449">
        <v>30</v>
      </c>
      <c r="G449">
        <v>1</v>
      </c>
    </row>
    <row r="450" spans="1:7" x14ac:dyDescent="0.25">
      <c r="A450" t="s">
        <v>6044</v>
      </c>
      <c r="B450" t="s">
        <v>3368</v>
      </c>
      <c r="C450" t="s">
        <v>5592</v>
      </c>
      <c r="D450" t="s">
        <v>5590</v>
      </c>
      <c r="E450" t="s">
        <v>2861</v>
      </c>
      <c r="F450">
        <v>30</v>
      </c>
      <c r="G450">
        <v>1</v>
      </c>
    </row>
    <row r="451" spans="1:7" x14ac:dyDescent="0.25">
      <c r="A451" t="s">
        <v>6045</v>
      </c>
      <c r="B451" t="s">
        <v>3369</v>
      </c>
      <c r="C451" t="s">
        <v>5602</v>
      </c>
      <c r="D451" t="s">
        <v>5590</v>
      </c>
      <c r="E451" t="s">
        <v>3156</v>
      </c>
      <c r="F451">
        <v>30</v>
      </c>
      <c r="G451">
        <v>1</v>
      </c>
    </row>
    <row r="452" spans="1:7" x14ac:dyDescent="0.25">
      <c r="A452" t="s">
        <v>6046</v>
      </c>
      <c r="B452" t="s">
        <v>3370</v>
      </c>
      <c r="C452" t="s">
        <v>5589</v>
      </c>
      <c r="D452" t="s">
        <v>5593</v>
      </c>
      <c r="E452" t="s">
        <v>3371</v>
      </c>
      <c r="F452">
        <v>30</v>
      </c>
      <c r="G452">
        <v>1</v>
      </c>
    </row>
    <row r="453" spans="1:7" x14ac:dyDescent="0.25">
      <c r="A453" t="s">
        <v>6047</v>
      </c>
      <c r="B453" t="s">
        <v>3372</v>
      </c>
      <c r="C453" t="s">
        <v>5592</v>
      </c>
      <c r="D453" t="s">
        <v>5598</v>
      </c>
      <c r="E453" t="s">
        <v>3373</v>
      </c>
      <c r="F453">
        <v>30</v>
      </c>
      <c r="G453">
        <v>1</v>
      </c>
    </row>
    <row r="454" spans="1:7" x14ac:dyDescent="0.25">
      <c r="A454" t="s">
        <v>6048</v>
      </c>
      <c r="B454" t="s">
        <v>3374</v>
      </c>
      <c r="C454" t="s">
        <v>5597</v>
      </c>
      <c r="D454" t="s">
        <v>5595</v>
      </c>
      <c r="E454" t="s">
        <v>2178</v>
      </c>
      <c r="F454">
        <v>30</v>
      </c>
      <c r="G454">
        <v>1</v>
      </c>
    </row>
    <row r="455" spans="1:7" x14ac:dyDescent="0.25">
      <c r="A455" t="s">
        <v>6049</v>
      </c>
      <c r="B455" t="s">
        <v>3375</v>
      </c>
      <c r="C455" t="s">
        <v>5589</v>
      </c>
      <c r="D455" t="s">
        <v>5590</v>
      </c>
      <c r="E455" t="s">
        <v>3376</v>
      </c>
      <c r="F455">
        <v>30</v>
      </c>
      <c r="G455">
        <v>1</v>
      </c>
    </row>
    <row r="456" spans="1:7" x14ac:dyDescent="0.25">
      <c r="A456" t="s">
        <v>6050</v>
      </c>
      <c r="B456" t="s">
        <v>3377</v>
      </c>
      <c r="C456" t="s">
        <v>5592</v>
      </c>
      <c r="D456" t="s">
        <v>5593</v>
      </c>
      <c r="E456" t="s">
        <v>2950</v>
      </c>
      <c r="F456">
        <v>30</v>
      </c>
      <c r="G456">
        <v>1</v>
      </c>
    </row>
    <row r="457" spans="1:7" x14ac:dyDescent="0.25">
      <c r="A457" t="s">
        <v>6051</v>
      </c>
      <c r="B457" t="s">
        <v>3378</v>
      </c>
      <c r="C457" t="s">
        <v>5597</v>
      </c>
      <c r="D457" t="s">
        <v>5593</v>
      </c>
      <c r="E457" t="s">
        <v>2148</v>
      </c>
      <c r="F457">
        <v>30</v>
      </c>
      <c r="G457">
        <v>1</v>
      </c>
    </row>
    <row r="458" spans="1:7" x14ac:dyDescent="0.25">
      <c r="A458" t="s">
        <v>6052</v>
      </c>
      <c r="B458" t="s">
        <v>3379</v>
      </c>
      <c r="C458" t="s">
        <v>5602</v>
      </c>
      <c r="D458" t="s">
        <v>5595</v>
      </c>
      <c r="E458" t="s">
        <v>2259</v>
      </c>
      <c r="F458">
        <v>30</v>
      </c>
      <c r="G458">
        <v>1</v>
      </c>
    </row>
    <row r="459" spans="1:7" x14ac:dyDescent="0.25">
      <c r="A459" t="s">
        <v>6053</v>
      </c>
      <c r="B459" t="s">
        <v>3380</v>
      </c>
      <c r="C459" t="s">
        <v>5592</v>
      </c>
      <c r="D459" t="s">
        <v>5595</v>
      </c>
      <c r="E459" t="s">
        <v>3381</v>
      </c>
      <c r="F459">
        <v>30</v>
      </c>
      <c r="G459">
        <v>1</v>
      </c>
    </row>
    <row r="460" spans="1:7" x14ac:dyDescent="0.25">
      <c r="A460" t="s">
        <v>6054</v>
      </c>
      <c r="B460" t="s">
        <v>3382</v>
      </c>
      <c r="C460" t="s">
        <v>5592</v>
      </c>
      <c r="D460" t="s">
        <v>5598</v>
      </c>
      <c r="E460" t="s">
        <v>3383</v>
      </c>
      <c r="F460">
        <v>30</v>
      </c>
      <c r="G460">
        <v>1</v>
      </c>
    </row>
    <row r="461" spans="1:7" x14ac:dyDescent="0.25">
      <c r="A461" t="s">
        <v>6055</v>
      </c>
      <c r="B461" t="s">
        <v>3384</v>
      </c>
      <c r="C461" t="s">
        <v>5597</v>
      </c>
      <c r="D461" t="s">
        <v>5595</v>
      </c>
      <c r="E461" t="s">
        <v>2440</v>
      </c>
      <c r="F461">
        <v>30</v>
      </c>
      <c r="G461">
        <v>1</v>
      </c>
    </row>
    <row r="462" spans="1:7" x14ac:dyDescent="0.25">
      <c r="A462" t="s">
        <v>6056</v>
      </c>
      <c r="B462" t="s">
        <v>3385</v>
      </c>
      <c r="C462" t="s">
        <v>5597</v>
      </c>
      <c r="D462" t="s">
        <v>5590</v>
      </c>
      <c r="E462" t="s">
        <v>3386</v>
      </c>
      <c r="F462">
        <v>30</v>
      </c>
      <c r="G462">
        <v>1</v>
      </c>
    </row>
    <row r="463" spans="1:7" x14ac:dyDescent="0.25">
      <c r="A463" t="s">
        <v>6057</v>
      </c>
      <c r="B463" t="s">
        <v>3387</v>
      </c>
      <c r="C463" t="s">
        <v>5597</v>
      </c>
      <c r="D463" t="s">
        <v>5598</v>
      </c>
      <c r="E463" t="s">
        <v>3388</v>
      </c>
      <c r="F463">
        <v>30</v>
      </c>
      <c r="G463">
        <v>1</v>
      </c>
    </row>
    <row r="464" spans="1:7" x14ac:dyDescent="0.25">
      <c r="A464" t="s">
        <v>6058</v>
      </c>
      <c r="B464" t="s">
        <v>3389</v>
      </c>
      <c r="C464" t="s">
        <v>5589</v>
      </c>
      <c r="D464" t="s">
        <v>5590</v>
      </c>
      <c r="E464" t="s">
        <v>3390</v>
      </c>
      <c r="F464">
        <v>30</v>
      </c>
      <c r="G464">
        <v>1</v>
      </c>
    </row>
    <row r="465" spans="1:7" x14ac:dyDescent="0.25">
      <c r="A465" t="s">
        <v>6059</v>
      </c>
      <c r="B465" t="s">
        <v>3391</v>
      </c>
      <c r="C465" t="s">
        <v>5589</v>
      </c>
      <c r="D465" t="s">
        <v>5598</v>
      </c>
      <c r="E465" t="s">
        <v>3392</v>
      </c>
      <c r="F465">
        <v>30</v>
      </c>
      <c r="G465">
        <v>1</v>
      </c>
    </row>
    <row r="466" spans="1:7" x14ac:dyDescent="0.25">
      <c r="A466" t="s">
        <v>6060</v>
      </c>
      <c r="B466" t="s">
        <v>3393</v>
      </c>
      <c r="C466" t="s">
        <v>5597</v>
      </c>
      <c r="D466" t="s">
        <v>5593</v>
      </c>
      <c r="E466" t="s">
        <v>3394</v>
      </c>
      <c r="F466">
        <v>30</v>
      </c>
      <c r="G466">
        <v>1</v>
      </c>
    </row>
    <row r="467" spans="1:7" x14ac:dyDescent="0.25">
      <c r="A467" t="s">
        <v>6061</v>
      </c>
      <c r="B467" t="s">
        <v>3395</v>
      </c>
      <c r="C467" t="s">
        <v>5597</v>
      </c>
      <c r="D467" t="s">
        <v>5593</v>
      </c>
      <c r="E467" t="s">
        <v>2854</v>
      </c>
      <c r="F467">
        <v>30</v>
      </c>
      <c r="G467">
        <v>1</v>
      </c>
    </row>
    <row r="468" spans="1:7" x14ac:dyDescent="0.25">
      <c r="A468" t="s">
        <v>6062</v>
      </c>
      <c r="B468" t="s">
        <v>3396</v>
      </c>
      <c r="C468" t="s">
        <v>5589</v>
      </c>
      <c r="D468" t="s">
        <v>5590</v>
      </c>
      <c r="E468" t="s">
        <v>3096</v>
      </c>
      <c r="F468">
        <v>30</v>
      </c>
      <c r="G468">
        <v>1</v>
      </c>
    </row>
    <row r="469" spans="1:7" x14ac:dyDescent="0.25">
      <c r="A469" t="s">
        <v>6063</v>
      </c>
      <c r="B469" t="s">
        <v>3397</v>
      </c>
      <c r="C469" t="s">
        <v>5592</v>
      </c>
      <c r="D469" t="s">
        <v>5593</v>
      </c>
      <c r="E469" t="s">
        <v>3033</v>
      </c>
      <c r="F469">
        <v>30</v>
      </c>
      <c r="G469">
        <v>1</v>
      </c>
    </row>
    <row r="470" spans="1:7" x14ac:dyDescent="0.25">
      <c r="A470" t="s">
        <v>6064</v>
      </c>
      <c r="B470" t="s">
        <v>3398</v>
      </c>
      <c r="C470" t="s">
        <v>5602</v>
      </c>
      <c r="D470" t="s">
        <v>5598</v>
      </c>
      <c r="E470" t="s">
        <v>3399</v>
      </c>
      <c r="F470">
        <v>30</v>
      </c>
      <c r="G470">
        <v>1</v>
      </c>
    </row>
    <row r="471" spans="1:7" x14ac:dyDescent="0.25">
      <c r="A471" t="s">
        <v>6065</v>
      </c>
      <c r="B471" t="s">
        <v>3400</v>
      </c>
      <c r="C471" t="s">
        <v>5592</v>
      </c>
      <c r="D471" t="s">
        <v>5593</v>
      </c>
      <c r="E471" t="s">
        <v>2702</v>
      </c>
      <c r="F471">
        <v>30</v>
      </c>
      <c r="G471">
        <v>1</v>
      </c>
    </row>
    <row r="472" spans="1:7" x14ac:dyDescent="0.25">
      <c r="A472" t="s">
        <v>6066</v>
      </c>
      <c r="B472" t="s">
        <v>3401</v>
      </c>
      <c r="C472" t="s">
        <v>5592</v>
      </c>
      <c r="D472" t="s">
        <v>5595</v>
      </c>
      <c r="E472" t="s">
        <v>2618</v>
      </c>
      <c r="F472">
        <v>30</v>
      </c>
      <c r="G472">
        <v>1</v>
      </c>
    </row>
    <row r="473" spans="1:7" x14ac:dyDescent="0.25">
      <c r="A473" t="s">
        <v>6067</v>
      </c>
      <c r="B473" t="s">
        <v>3402</v>
      </c>
      <c r="C473" t="s">
        <v>5592</v>
      </c>
      <c r="D473" t="s">
        <v>5595</v>
      </c>
      <c r="E473" t="s">
        <v>3403</v>
      </c>
      <c r="F473">
        <v>30</v>
      </c>
      <c r="G473">
        <v>1</v>
      </c>
    </row>
    <row r="474" spans="1:7" x14ac:dyDescent="0.25">
      <c r="A474" t="s">
        <v>6068</v>
      </c>
      <c r="B474" t="s">
        <v>3404</v>
      </c>
      <c r="C474" t="s">
        <v>5589</v>
      </c>
      <c r="D474" t="s">
        <v>5598</v>
      </c>
      <c r="E474" t="s">
        <v>3405</v>
      </c>
      <c r="F474">
        <v>30</v>
      </c>
      <c r="G474">
        <v>1</v>
      </c>
    </row>
    <row r="475" spans="1:7" x14ac:dyDescent="0.25">
      <c r="A475" t="s">
        <v>6069</v>
      </c>
      <c r="B475" t="s">
        <v>3406</v>
      </c>
      <c r="C475" t="s">
        <v>5589</v>
      </c>
      <c r="D475" t="s">
        <v>5590</v>
      </c>
      <c r="E475" t="s">
        <v>3407</v>
      </c>
      <c r="F475">
        <v>30</v>
      </c>
      <c r="G475">
        <v>1</v>
      </c>
    </row>
    <row r="476" spans="1:7" x14ac:dyDescent="0.25">
      <c r="A476" t="s">
        <v>6070</v>
      </c>
      <c r="B476" t="s">
        <v>3408</v>
      </c>
      <c r="C476" t="s">
        <v>5597</v>
      </c>
      <c r="D476" t="s">
        <v>5593</v>
      </c>
      <c r="E476" t="s">
        <v>3012</v>
      </c>
      <c r="F476">
        <v>30</v>
      </c>
      <c r="G476">
        <v>1</v>
      </c>
    </row>
    <row r="477" spans="1:7" x14ac:dyDescent="0.25">
      <c r="A477" t="s">
        <v>6071</v>
      </c>
      <c r="B477" t="s">
        <v>3409</v>
      </c>
      <c r="C477" t="s">
        <v>5602</v>
      </c>
      <c r="D477" t="s">
        <v>5598</v>
      </c>
      <c r="E477" t="s">
        <v>3410</v>
      </c>
      <c r="F477">
        <v>30</v>
      </c>
      <c r="G477">
        <v>1</v>
      </c>
    </row>
    <row r="478" spans="1:7" x14ac:dyDescent="0.25">
      <c r="A478" t="s">
        <v>6072</v>
      </c>
      <c r="B478" t="s">
        <v>3411</v>
      </c>
      <c r="C478" t="s">
        <v>5592</v>
      </c>
      <c r="D478" t="s">
        <v>5593</v>
      </c>
      <c r="E478" t="s">
        <v>2097</v>
      </c>
      <c r="F478">
        <v>30</v>
      </c>
      <c r="G478">
        <v>1</v>
      </c>
    </row>
    <row r="479" spans="1:7" x14ac:dyDescent="0.25">
      <c r="A479" t="s">
        <v>6073</v>
      </c>
      <c r="B479" t="s">
        <v>3412</v>
      </c>
      <c r="C479" t="s">
        <v>5589</v>
      </c>
      <c r="D479" t="s">
        <v>5593</v>
      </c>
      <c r="E479" t="s">
        <v>3413</v>
      </c>
      <c r="F479">
        <v>30</v>
      </c>
      <c r="G479">
        <v>1</v>
      </c>
    </row>
    <row r="480" spans="1:7" x14ac:dyDescent="0.25">
      <c r="A480" t="s">
        <v>6074</v>
      </c>
      <c r="B480" t="s">
        <v>3414</v>
      </c>
      <c r="C480" t="s">
        <v>5597</v>
      </c>
      <c r="D480" t="s">
        <v>5598</v>
      </c>
      <c r="E480" t="s">
        <v>3139</v>
      </c>
      <c r="F480">
        <v>30</v>
      </c>
      <c r="G480">
        <v>1</v>
      </c>
    </row>
    <row r="481" spans="1:7" x14ac:dyDescent="0.25">
      <c r="A481" t="s">
        <v>6075</v>
      </c>
      <c r="B481" t="s">
        <v>3415</v>
      </c>
      <c r="C481" t="s">
        <v>5597</v>
      </c>
      <c r="D481" t="s">
        <v>5593</v>
      </c>
      <c r="E481" t="s">
        <v>2636</v>
      </c>
      <c r="F481">
        <v>30</v>
      </c>
      <c r="G481">
        <v>1</v>
      </c>
    </row>
    <row r="482" spans="1:7" x14ac:dyDescent="0.25">
      <c r="A482" t="s">
        <v>6076</v>
      </c>
      <c r="B482" t="s">
        <v>3416</v>
      </c>
      <c r="C482" t="s">
        <v>5597</v>
      </c>
      <c r="D482" t="s">
        <v>5598</v>
      </c>
      <c r="E482" t="s">
        <v>3417</v>
      </c>
      <c r="F482">
        <v>30</v>
      </c>
      <c r="G482">
        <v>1</v>
      </c>
    </row>
    <row r="483" spans="1:7" x14ac:dyDescent="0.25">
      <c r="A483" t="s">
        <v>6077</v>
      </c>
      <c r="B483" t="s">
        <v>3418</v>
      </c>
      <c r="C483" t="s">
        <v>5597</v>
      </c>
      <c r="D483" t="s">
        <v>5595</v>
      </c>
      <c r="E483" t="s">
        <v>3292</v>
      </c>
      <c r="F483">
        <v>30</v>
      </c>
      <c r="G483">
        <v>1</v>
      </c>
    </row>
    <row r="484" spans="1:7" x14ac:dyDescent="0.25">
      <c r="A484" t="s">
        <v>6078</v>
      </c>
      <c r="B484" t="s">
        <v>3419</v>
      </c>
      <c r="C484" t="s">
        <v>5602</v>
      </c>
      <c r="D484" t="s">
        <v>5598</v>
      </c>
      <c r="E484" t="s">
        <v>3420</v>
      </c>
      <c r="F484">
        <v>30</v>
      </c>
      <c r="G484">
        <v>1</v>
      </c>
    </row>
    <row r="485" spans="1:7" x14ac:dyDescent="0.25">
      <c r="A485" t="s">
        <v>6079</v>
      </c>
      <c r="B485" t="s">
        <v>3421</v>
      </c>
      <c r="C485" t="s">
        <v>5602</v>
      </c>
      <c r="D485" t="s">
        <v>5598</v>
      </c>
      <c r="E485" t="s">
        <v>3422</v>
      </c>
      <c r="F485">
        <v>30</v>
      </c>
      <c r="G485">
        <v>1</v>
      </c>
    </row>
    <row r="486" spans="1:7" x14ac:dyDescent="0.25">
      <c r="A486" t="s">
        <v>6080</v>
      </c>
      <c r="B486" t="s">
        <v>3423</v>
      </c>
      <c r="C486" t="s">
        <v>5589</v>
      </c>
      <c r="D486" t="s">
        <v>5595</v>
      </c>
      <c r="E486" t="s">
        <v>3424</v>
      </c>
      <c r="F486">
        <v>30</v>
      </c>
      <c r="G486">
        <v>1</v>
      </c>
    </row>
    <row r="487" spans="1:7" x14ac:dyDescent="0.25">
      <c r="A487" t="s">
        <v>6081</v>
      </c>
      <c r="B487" t="s">
        <v>3425</v>
      </c>
      <c r="C487" t="s">
        <v>5602</v>
      </c>
      <c r="D487" t="s">
        <v>5598</v>
      </c>
      <c r="E487" t="s">
        <v>3426</v>
      </c>
      <c r="F487">
        <v>30</v>
      </c>
      <c r="G487">
        <v>1</v>
      </c>
    </row>
    <row r="488" spans="1:7" x14ac:dyDescent="0.25">
      <c r="A488" t="s">
        <v>6082</v>
      </c>
      <c r="B488" t="s">
        <v>3427</v>
      </c>
      <c r="C488" t="s">
        <v>5602</v>
      </c>
      <c r="D488" t="s">
        <v>5590</v>
      </c>
      <c r="E488" t="s">
        <v>3428</v>
      </c>
      <c r="F488">
        <v>30</v>
      </c>
      <c r="G488">
        <v>1</v>
      </c>
    </row>
    <row r="489" spans="1:7" x14ac:dyDescent="0.25">
      <c r="A489" t="s">
        <v>6083</v>
      </c>
      <c r="B489" t="s">
        <v>3429</v>
      </c>
      <c r="C489" t="s">
        <v>5597</v>
      </c>
      <c r="D489" t="s">
        <v>5595</v>
      </c>
      <c r="E489" t="s">
        <v>3430</v>
      </c>
      <c r="F489">
        <v>30</v>
      </c>
      <c r="G489">
        <v>1</v>
      </c>
    </row>
    <row r="490" spans="1:7" x14ac:dyDescent="0.25">
      <c r="A490" t="s">
        <v>6084</v>
      </c>
      <c r="B490" t="s">
        <v>3431</v>
      </c>
      <c r="C490" t="s">
        <v>5589</v>
      </c>
      <c r="D490" t="s">
        <v>5590</v>
      </c>
      <c r="E490" t="s">
        <v>3432</v>
      </c>
      <c r="F490">
        <v>30</v>
      </c>
      <c r="G490">
        <v>1</v>
      </c>
    </row>
    <row r="491" spans="1:7" x14ac:dyDescent="0.25">
      <c r="A491" t="s">
        <v>6085</v>
      </c>
      <c r="B491" t="s">
        <v>3433</v>
      </c>
      <c r="C491" t="s">
        <v>5589</v>
      </c>
      <c r="D491" t="s">
        <v>5590</v>
      </c>
      <c r="E491" t="s">
        <v>2815</v>
      </c>
      <c r="F491">
        <v>30</v>
      </c>
      <c r="G491">
        <v>1</v>
      </c>
    </row>
    <row r="492" spans="1:7" x14ac:dyDescent="0.25">
      <c r="A492" t="s">
        <v>6086</v>
      </c>
      <c r="B492" t="s">
        <v>3434</v>
      </c>
      <c r="C492" t="s">
        <v>5592</v>
      </c>
      <c r="D492" t="s">
        <v>5598</v>
      </c>
      <c r="E492" t="s">
        <v>3435</v>
      </c>
      <c r="F492">
        <v>30</v>
      </c>
      <c r="G492">
        <v>1</v>
      </c>
    </row>
    <row r="493" spans="1:7" x14ac:dyDescent="0.25">
      <c r="A493" t="s">
        <v>6087</v>
      </c>
      <c r="B493" t="s">
        <v>3436</v>
      </c>
      <c r="C493" t="s">
        <v>5592</v>
      </c>
      <c r="D493" t="s">
        <v>5595</v>
      </c>
      <c r="E493" t="s">
        <v>3437</v>
      </c>
      <c r="F493">
        <v>30</v>
      </c>
      <c r="G493">
        <v>1</v>
      </c>
    </row>
    <row r="494" spans="1:7" x14ac:dyDescent="0.25">
      <c r="A494" t="s">
        <v>6088</v>
      </c>
      <c r="B494" t="s">
        <v>3438</v>
      </c>
      <c r="C494" t="s">
        <v>5602</v>
      </c>
      <c r="D494" t="s">
        <v>5598</v>
      </c>
      <c r="E494" t="s">
        <v>3439</v>
      </c>
      <c r="F494">
        <v>30</v>
      </c>
      <c r="G494">
        <v>1</v>
      </c>
    </row>
    <row r="495" spans="1:7" x14ac:dyDescent="0.25">
      <c r="A495" t="s">
        <v>6089</v>
      </c>
      <c r="B495" t="s">
        <v>3440</v>
      </c>
      <c r="C495" t="s">
        <v>5602</v>
      </c>
      <c r="D495" t="s">
        <v>5590</v>
      </c>
      <c r="E495" t="s">
        <v>2854</v>
      </c>
      <c r="F495">
        <v>30</v>
      </c>
      <c r="G495">
        <v>1</v>
      </c>
    </row>
    <row r="496" spans="1:7" x14ac:dyDescent="0.25">
      <c r="A496" t="s">
        <v>6090</v>
      </c>
      <c r="B496" t="s">
        <v>3441</v>
      </c>
      <c r="C496" t="s">
        <v>5592</v>
      </c>
      <c r="D496" t="s">
        <v>5598</v>
      </c>
      <c r="E496" t="s">
        <v>3442</v>
      </c>
      <c r="F496">
        <v>30</v>
      </c>
      <c r="G496">
        <v>1</v>
      </c>
    </row>
    <row r="497" spans="1:7" x14ac:dyDescent="0.25">
      <c r="A497" t="s">
        <v>6091</v>
      </c>
      <c r="B497" t="s">
        <v>3443</v>
      </c>
      <c r="C497" t="s">
        <v>5597</v>
      </c>
      <c r="D497" t="s">
        <v>5595</v>
      </c>
      <c r="E497" t="s">
        <v>3444</v>
      </c>
      <c r="F497">
        <v>30</v>
      </c>
      <c r="G497">
        <v>1</v>
      </c>
    </row>
    <row r="498" spans="1:7" x14ac:dyDescent="0.25">
      <c r="A498" t="s">
        <v>6092</v>
      </c>
      <c r="B498" t="s">
        <v>3445</v>
      </c>
      <c r="C498" t="s">
        <v>5592</v>
      </c>
      <c r="D498" t="s">
        <v>5598</v>
      </c>
      <c r="E498" t="s">
        <v>3446</v>
      </c>
      <c r="F498">
        <v>30</v>
      </c>
      <c r="G498">
        <v>1</v>
      </c>
    </row>
    <row r="499" spans="1:7" x14ac:dyDescent="0.25">
      <c r="A499" t="s">
        <v>6093</v>
      </c>
      <c r="B499" t="s">
        <v>3447</v>
      </c>
      <c r="C499" t="s">
        <v>5592</v>
      </c>
      <c r="D499" t="s">
        <v>5590</v>
      </c>
      <c r="E499" t="s">
        <v>3448</v>
      </c>
      <c r="F499">
        <v>30</v>
      </c>
      <c r="G499">
        <v>1</v>
      </c>
    </row>
    <row r="500" spans="1:7" x14ac:dyDescent="0.25">
      <c r="A500" t="s">
        <v>6094</v>
      </c>
      <c r="B500" t="s">
        <v>3449</v>
      </c>
      <c r="C500" t="s">
        <v>5592</v>
      </c>
      <c r="D500" t="s">
        <v>5593</v>
      </c>
      <c r="E500" t="s">
        <v>3336</v>
      </c>
      <c r="F500">
        <v>30</v>
      </c>
      <c r="G500">
        <v>1</v>
      </c>
    </row>
    <row r="501" spans="1:7" x14ac:dyDescent="0.25">
      <c r="A501" t="s">
        <v>6095</v>
      </c>
      <c r="B501" t="s">
        <v>3450</v>
      </c>
      <c r="C501" t="s">
        <v>5589</v>
      </c>
      <c r="D501" t="s">
        <v>5593</v>
      </c>
      <c r="E501" t="s">
        <v>3451</v>
      </c>
      <c r="F501">
        <v>30</v>
      </c>
      <c r="G501">
        <v>1</v>
      </c>
    </row>
  </sheetData>
  <pageMargins left="0.7" right="0.7" top="0.75" bottom="0.75" header="0.3" footer="0.3"/>
  <ignoredErrors>
    <ignoredError sqref="A1:G50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E1AC9-56D4-4443-85C8-49F785BC7685}">
  <dimension ref="A1:H9"/>
  <sheetViews>
    <sheetView workbookViewId="0">
      <selection activeCell="C1" sqref="C1"/>
    </sheetView>
  </sheetViews>
  <sheetFormatPr defaultRowHeight="15.75" x14ac:dyDescent="0.25"/>
  <cols>
    <col min="1" max="1" width="20" customWidth="1"/>
    <col min="2" max="2" width="10.5" bestFit="1" customWidth="1"/>
    <col min="3" max="3" width="9.25" bestFit="1" customWidth="1"/>
    <col min="4" max="4" width="20.75" bestFit="1" customWidth="1"/>
    <col min="5" max="5" width="22.25" bestFit="1" customWidth="1"/>
    <col min="6" max="6" width="18.375" bestFit="1" customWidth="1"/>
    <col min="7" max="7" width="12.875" bestFit="1" customWidth="1"/>
    <col min="8" max="8" width="46.75" customWidth="1"/>
  </cols>
  <sheetData>
    <row r="1" spans="1:8" x14ac:dyDescent="0.25">
      <c r="A1" s="2" t="s">
        <v>6096</v>
      </c>
      <c r="B1" s="2" t="s">
        <v>6097</v>
      </c>
      <c r="C1" s="2" t="s">
        <v>6098</v>
      </c>
      <c r="D1" s="2" t="s">
        <v>6099</v>
      </c>
      <c r="E1" s="2" t="s">
        <v>6100</v>
      </c>
      <c r="F1" s="2" t="s">
        <v>6101</v>
      </c>
      <c r="G1" s="2" t="s">
        <v>6102</v>
      </c>
      <c r="H1" s="2" t="s">
        <v>6103</v>
      </c>
    </row>
    <row r="2" spans="1:8" ht="31.5" x14ac:dyDescent="0.25">
      <c r="A2" s="1" t="s">
        <v>6104</v>
      </c>
      <c r="B2" s="1">
        <v>500</v>
      </c>
      <c r="C2" s="1">
        <v>10</v>
      </c>
      <c r="D2" s="1">
        <v>0</v>
      </c>
      <c r="E2" s="1">
        <v>0</v>
      </c>
      <c r="F2" s="1">
        <v>0</v>
      </c>
      <c r="G2" s="1">
        <v>0</v>
      </c>
      <c r="H2" s="9" t="s">
        <v>6125</v>
      </c>
    </row>
    <row r="3" spans="1:8" x14ac:dyDescent="0.25">
      <c r="A3" s="1" t="s">
        <v>6105</v>
      </c>
      <c r="B3" s="1">
        <v>500</v>
      </c>
      <c r="C3" s="1">
        <v>4</v>
      </c>
      <c r="D3" s="1">
        <v>0</v>
      </c>
      <c r="E3" s="1">
        <v>0</v>
      </c>
      <c r="F3" s="1">
        <v>0</v>
      </c>
      <c r="G3" s="1">
        <v>0</v>
      </c>
      <c r="H3" s="9" t="s">
        <v>6126</v>
      </c>
    </row>
    <row r="4" spans="1:8" x14ac:dyDescent="0.25">
      <c r="A4" s="1" t="s">
        <v>6106</v>
      </c>
      <c r="B4" s="1">
        <v>500</v>
      </c>
      <c r="C4" s="1">
        <v>2</v>
      </c>
      <c r="D4" s="1">
        <v>496</v>
      </c>
      <c r="E4" s="1">
        <v>496</v>
      </c>
      <c r="F4" s="1">
        <v>0</v>
      </c>
      <c r="G4" s="1">
        <v>0</v>
      </c>
      <c r="H4" s="9" t="s">
        <v>6127</v>
      </c>
    </row>
    <row r="5" spans="1:8" ht="31.5" x14ac:dyDescent="0.25">
      <c r="A5" s="1" t="s">
        <v>6107</v>
      </c>
      <c r="B5" s="1">
        <v>500</v>
      </c>
      <c r="C5" s="1">
        <v>6</v>
      </c>
      <c r="D5" s="1">
        <v>0</v>
      </c>
      <c r="E5" s="1">
        <v>0</v>
      </c>
      <c r="F5" s="1">
        <v>0</v>
      </c>
      <c r="G5" s="1">
        <v>0</v>
      </c>
      <c r="H5" s="9" t="s">
        <v>6128</v>
      </c>
    </row>
    <row r="6" spans="1:8" ht="31.5" x14ac:dyDescent="0.25">
      <c r="A6" s="1" t="s">
        <v>6108</v>
      </c>
      <c r="B6" s="1">
        <v>500</v>
      </c>
      <c r="C6" s="1">
        <v>4</v>
      </c>
      <c r="D6" s="1">
        <v>0</v>
      </c>
      <c r="E6" s="1">
        <v>0</v>
      </c>
      <c r="F6" s="1">
        <v>0</v>
      </c>
      <c r="G6" s="1">
        <v>0</v>
      </c>
      <c r="H6" s="9" t="s">
        <v>6129</v>
      </c>
    </row>
    <row r="7" spans="1:8" ht="31.5" x14ac:dyDescent="0.25">
      <c r="A7" s="1" t="s">
        <v>6109</v>
      </c>
      <c r="B7" s="1">
        <v>500</v>
      </c>
      <c r="C7" s="1">
        <v>6</v>
      </c>
      <c r="D7" s="1">
        <v>0</v>
      </c>
      <c r="E7" s="1">
        <v>0</v>
      </c>
      <c r="F7" s="1">
        <v>0</v>
      </c>
      <c r="G7" s="1">
        <v>0</v>
      </c>
      <c r="H7" s="9" t="s">
        <v>6130</v>
      </c>
    </row>
    <row r="8" spans="1:8" x14ac:dyDescent="0.25">
      <c r="A8" s="1" t="s">
        <v>6110</v>
      </c>
      <c r="B8" s="1">
        <v>30</v>
      </c>
      <c r="C8" s="1">
        <v>3</v>
      </c>
      <c r="D8" s="1">
        <v>0</v>
      </c>
      <c r="E8" s="1">
        <v>0</v>
      </c>
      <c r="F8" s="1">
        <v>0</v>
      </c>
      <c r="G8" s="1">
        <v>0</v>
      </c>
      <c r="H8" s="9" t="s">
        <v>6131</v>
      </c>
    </row>
    <row r="9" spans="1:8" ht="31.5" x14ac:dyDescent="0.25">
      <c r="A9" s="1" t="s">
        <v>6111</v>
      </c>
      <c r="B9" s="1">
        <v>500</v>
      </c>
      <c r="C9" s="1">
        <v>7</v>
      </c>
      <c r="D9" s="1">
        <v>0</v>
      </c>
      <c r="E9" s="1">
        <v>0</v>
      </c>
      <c r="F9" s="1">
        <v>0</v>
      </c>
      <c r="G9" s="1">
        <v>0</v>
      </c>
      <c r="H9" s="9" t="s">
        <v>6132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CA277-337E-4EA6-93E8-7E0A02BE33B6}">
  <dimension ref="A1:M501"/>
  <sheetViews>
    <sheetView tabSelected="1" workbookViewId="0">
      <selection activeCell="D10" sqref="D10"/>
    </sheetView>
  </sheetViews>
  <sheetFormatPr defaultRowHeight="15.75" x14ac:dyDescent="0.25"/>
  <cols>
    <col min="1" max="1" width="11.375" bestFit="1" customWidth="1"/>
    <col min="2" max="2" width="14.25" bestFit="1" customWidth="1"/>
    <col min="3" max="3" width="15.875" bestFit="1" customWidth="1"/>
    <col min="4" max="4" width="13.75" bestFit="1" customWidth="1"/>
    <col min="5" max="5" width="10.625" bestFit="1" customWidth="1"/>
    <col min="6" max="6" width="12.5" bestFit="1" customWidth="1"/>
    <col min="7" max="7" width="12.125" bestFit="1" customWidth="1"/>
    <col min="8" max="8" width="13.5" bestFit="1" customWidth="1"/>
    <col min="9" max="9" width="11.5" bestFit="1" customWidth="1"/>
    <col min="10" max="10" width="16.625" bestFit="1" customWidth="1"/>
    <col min="11" max="11" width="18" bestFit="1" customWidth="1"/>
    <col min="12" max="12" width="17.625" bestFit="1" customWidth="1"/>
    <col min="13" max="13" width="16.5" bestFit="1" customWidth="1"/>
  </cols>
  <sheetData>
    <row r="1" spans="1:13" x14ac:dyDescent="0.25">
      <c r="A1" s="1" t="s">
        <v>0</v>
      </c>
      <c r="B1" s="1" t="s">
        <v>2080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1093</v>
      </c>
      <c r="H1" s="1" t="s">
        <v>1094</v>
      </c>
      <c r="I1" s="1" t="s">
        <v>2082</v>
      </c>
      <c r="J1" s="1" t="s">
        <v>2083</v>
      </c>
      <c r="K1" s="1" t="s">
        <v>2084</v>
      </c>
      <c r="L1" s="1" t="s">
        <v>6112</v>
      </c>
      <c r="M1" s="1" t="s">
        <v>6113</v>
      </c>
    </row>
    <row r="2" spans="1:13" x14ac:dyDescent="0.25">
      <c r="A2" s="1" t="s">
        <v>372</v>
      </c>
      <c r="B2" s="1" t="str">
        <f t="shared" ref="B2:B65" si="0">"ENC-"&amp;(VALUE(RIGHT(A2,4))-1000)</f>
        <v>ENC-147</v>
      </c>
      <c r="C2" s="1" t="s">
        <v>356</v>
      </c>
      <c r="D2" s="3">
        <v>25118</v>
      </c>
      <c r="E2" s="1" t="s">
        <v>8</v>
      </c>
      <c r="F2" s="1" t="s">
        <v>9</v>
      </c>
      <c r="G2" s="1" t="s">
        <v>1385</v>
      </c>
      <c r="H2" s="1" t="s">
        <v>1386</v>
      </c>
      <c r="I2" s="1" t="s">
        <v>2096</v>
      </c>
      <c r="J2" s="3">
        <v>46289</v>
      </c>
      <c r="K2" s="1" t="s">
        <v>2093</v>
      </c>
      <c r="L2" s="4">
        <f t="shared" ref="L2:L65" si="1">DATEDIF(D2,J2,"Y")</f>
        <v>57</v>
      </c>
      <c r="M2" s="4">
        <f t="shared" ref="M2:M65" si="2">YEAR(J2)</f>
        <v>2026</v>
      </c>
    </row>
    <row r="3" spans="1:13" x14ac:dyDescent="0.25">
      <c r="A3" s="1" t="s">
        <v>646</v>
      </c>
      <c r="B3" s="1" t="str">
        <f t="shared" si="0"/>
        <v>ENC-278</v>
      </c>
      <c r="C3" s="1" t="s">
        <v>37</v>
      </c>
      <c r="D3" s="3">
        <v>22666</v>
      </c>
      <c r="E3" s="1" t="s">
        <v>52</v>
      </c>
      <c r="F3" s="1" t="s">
        <v>16</v>
      </c>
      <c r="G3" s="1" t="s">
        <v>1646</v>
      </c>
      <c r="H3" s="1" t="s">
        <v>1647</v>
      </c>
      <c r="I3" s="1" t="s">
        <v>2087</v>
      </c>
      <c r="J3" s="3">
        <v>46285</v>
      </c>
      <c r="K3" s="1" t="s">
        <v>2108</v>
      </c>
      <c r="L3" s="4">
        <f t="shared" si="1"/>
        <v>64</v>
      </c>
      <c r="M3" s="4">
        <f t="shared" si="2"/>
        <v>2026</v>
      </c>
    </row>
    <row r="4" spans="1:13" x14ac:dyDescent="0.25">
      <c r="A4" s="1" t="s">
        <v>972</v>
      </c>
      <c r="B4" s="1" t="str">
        <f t="shared" si="0"/>
        <v>ENC-440</v>
      </c>
      <c r="C4" s="1" t="s">
        <v>81</v>
      </c>
      <c r="D4" s="3">
        <v>20936</v>
      </c>
      <c r="E4" s="1" t="s">
        <v>8</v>
      </c>
      <c r="F4" s="1" t="s">
        <v>24</v>
      </c>
      <c r="G4" s="1" t="s">
        <v>1966</v>
      </c>
      <c r="H4" s="1" t="s">
        <v>1967</v>
      </c>
      <c r="I4" s="1" t="s">
        <v>2096</v>
      </c>
      <c r="J4" s="3">
        <v>46283</v>
      </c>
      <c r="K4" s="1" t="s">
        <v>2104</v>
      </c>
      <c r="L4" s="4">
        <f t="shared" si="1"/>
        <v>69</v>
      </c>
      <c r="M4" s="4">
        <f t="shared" si="2"/>
        <v>2026</v>
      </c>
    </row>
    <row r="5" spans="1:13" x14ac:dyDescent="0.25">
      <c r="A5" s="1" t="s">
        <v>999</v>
      </c>
      <c r="B5" s="1" t="str">
        <f t="shared" si="0"/>
        <v>ENC-454</v>
      </c>
      <c r="C5" s="1" t="s">
        <v>266</v>
      </c>
      <c r="D5" s="3">
        <v>15343</v>
      </c>
      <c r="E5" s="1" t="s">
        <v>52</v>
      </c>
      <c r="F5" s="1" t="s">
        <v>13</v>
      </c>
      <c r="G5" s="1" t="s">
        <v>1994</v>
      </c>
      <c r="H5" s="1" t="s">
        <v>1995</v>
      </c>
      <c r="I5" s="1" t="s">
        <v>2096</v>
      </c>
      <c r="J5" s="3">
        <v>46279</v>
      </c>
      <c r="K5" s="1" t="s">
        <v>2089</v>
      </c>
      <c r="L5" s="4">
        <f t="shared" si="1"/>
        <v>84</v>
      </c>
      <c r="M5" s="4">
        <f t="shared" si="2"/>
        <v>2026</v>
      </c>
    </row>
    <row r="6" spans="1:13" x14ac:dyDescent="0.25">
      <c r="A6" s="1" t="s">
        <v>25</v>
      </c>
      <c r="B6" s="1" t="str">
        <f t="shared" si="0"/>
        <v>ENC-6</v>
      </c>
      <c r="C6" s="1" t="s">
        <v>26</v>
      </c>
      <c r="D6" s="3">
        <v>24871</v>
      </c>
      <c r="E6" s="1" t="s">
        <v>8</v>
      </c>
      <c r="F6" s="1" t="s">
        <v>28</v>
      </c>
      <c r="G6" s="1" t="s">
        <v>1105</v>
      </c>
      <c r="H6" s="1" t="s">
        <v>1106</v>
      </c>
      <c r="I6" s="1" t="s">
        <v>2087</v>
      </c>
      <c r="J6" s="3">
        <v>46264</v>
      </c>
      <c r="K6" s="1" t="s">
        <v>2108</v>
      </c>
      <c r="L6" s="4">
        <f t="shared" si="1"/>
        <v>58</v>
      </c>
      <c r="M6" s="4">
        <f t="shared" si="2"/>
        <v>2026</v>
      </c>
    </row>
    <row r="7" spans="1:13" x14ac:dyDescent="0.25">
      <c r="A7" s="1" t="s">
        <v>136</v>
      </c>
      <c r="B7" s="1" t="str">
        <f t="shared" si="0"/>
        <v>ENC-45</v>
      </c>
      <c r="C7" s="1" t="s">
        <v>137</v>
      </c>
      <c r="D7" s="3">
        <v>22406</v>
      </c>
      <c r="E7" s="1" t="s">
        <v>8</v>
      </c>
      <c r="F7" s="1" t="s">
        <v>42</v>
      </c>
      <c r="G7" s="1" t="s">
        <v>1182</v>
      </c>
      <c r="H7" s="1" t="s">
        <v>1183</v>
      </c>
      <c r="I7" s="1" t="s">
        <v>2096</v>
      </c>
      <c r="J7" s="3">
        <v>46264</v>
      </c>
      <c r="K7" s="1" t="s">
        <v>2093</v>
      </c>
      <c r="L7" s="4">
        <f t="shared" si="1"/>
        <v>65</v>
      </c>
      <c r="M7" s="4">
        <f t="shared" si="2"/>
        <v>2026</v>
      </c>
    </row>
    <row r="8" spans="1:13" x14ac:dyDescent="0.25">
      <c r="A8" s="1" t="s">
        <v>177</v>
      </c>
      <c r="B8" s="1" t="str">
        <f t="shared" si="0"/>
        <v>ENC-61</v>
      </c>
      <c r="C8" s="1" t="s">
        <v>137</v>
      </c>
      <c r="D8" s="3">
        <v>35075</v>
      </c>
      <c r="E8" s="1" t="s">
        <v>8</v>
      </c>
      <c r="F8" s="1" t="s">
        <v>20</v>
      </c>
      <c r="G8" s="1" t="s">
        <v>1214</v>
      </c>
      <c r="H8" s="1" t="s">
        <v>1215</v>
      </c>
      <c r="I8" s="1" t="s">
        <v>2087</v>
      </c>
      <c r="J8" s="3">
        <v>46263</v>
      </c>
      <c r="K8" s="1" t="s">
        <v>2093</v>
      </c>
      <c r="L8" s="4">
        <f t="shared" si="1"/>
        <v>30</v>
      </c>
      <c r="M8" s="4">
        <f t="shared" si="2"/>
        <v>2026</v>
      </c>
    </row>
    <row r="9" spans="1:13" x14ac:dyDescent="0.25">
      <c r="A9" s="1" t="s">
        <v>666</v>
      </c>
      <c r="B9" s="1" t="str">
        <f t="shared" si="0"/>
        <v>ENC-288</v>
      </c>
      <c r="C9" s="1" t="s">
        <v>396</v>
      </c>
      <c r="D9" s="3">
        <v>24981</v>
      </c>
      <c r="E9" s="1" t="s">
        <v>52</v>
      </c>
      <c r="F9" s="1" t="s">
        <v>24</v>
      </c>
      <c r="G9" s="1" t="s">
        <v>1666</v>
      </c>
      <c r="H9" s="1" t="s">
        <v>1667</v>
      </c>
      <c r="I9" s="1" t="s">
        <v>2087</v>
      </c>
      <c r="J9" s="3">
        <v>46263</v>
      </c>
      <c r="K9" s="1" t="s">
        <v>2093</v>
      </c>
      <c r="L9" s="4">
        <f t="shared" si="1"/>
        <v>58</v>
      </c>
      <c r="M9" s="4">
        <f t="shared" si="2"/>
        <v>2026</v>
      </c>
    </row>
    <row r="10" spans="1:13" x14ac:dyDescent="0.25">
      <c r="A10" s="1" t="s">
        <v>748</v>
      </c>
      <c r="B10" s="1" t="str">
        <f t="shared" si="0"/>
        <v>ENC-329</v>
      </c>
      <c r="C10" s="1" t="s">
        <v>44</v>
      </c>
      <c r="D10" s="3">
        <v>37915</v>
      </c>
      <c r="E10" s="1" t="s">
        <v>52</v>
      </c>
      <c r="F10" s="1" t="s">
        <v>28</v>
      </c>
      <c r="G10" s="1" t="s">
        <v>1748</v>
      </c>
      <c r="H10" s="1" t="s">
        <v>1749</v>
      </c>
      <c r="I10" s="1" t="s">
        <v>2096</v>
      </c>
      <c r="J10" s="3">
        <v>46261</v>
      </c>
      <c r="K10" s="1" t="s">
        <v>2093</v>
      </c>
      <c r="L10" s="4">
        <f t="shared" si="1"/>
        <v>22</v>
      </c>
      <c r="M10" s="4">
        <f t="shared" si="2"/>
        <v>2026</v>
      </c>
    </row>
    <row r="11" spans="1:13" x14ac:dyDescent="0.25">
      <c r="A11" s="1" t="s">
        <v>496</v>
      </c>
      <c r="B11" s="1" t="str">
        <f t="shared" si="0"/>
        <v>ENC-206</v>
      </c>
      <c r="C11" s="1" t="s">
        <v>160</v>
      </c>
      <c r="D11" s="3">
        <v>21880</v>
      </c>
      <c r="E11" s="1" t="s">
        <v>52</v>
      </c>
      <c r="F11" s="1" t="s">
        <v>9</v>
      </c>
      <c r="G11" s="1" t="s">
        <v>1503</v>
      </c>
      <c r="H11" s="1" t="s">
        <v>1504</v>
      </c>
      <c r="I11" s="1" t="s">
        <v>2096</v>
      </c>
      <c r="J11" s="3">
        <v>46258</v>
      </c>
      <c r="K11" s="1" t="s">
        <v>2089</v>
      </c>
      <c r="L11" s="4">
        <f t="shared" si="1"/>
        <v>66</v>
      </c>
      <c r="M11" s="4">
        <f t="shared" si="2"/>
        <v>2026</v>
      </c>
    </row>
    <row r="12" spans="1:13" x14ac:dyDescent="0.25">
      <c r="A12" s="1" t="s">
        <v>774</v>
      </c>
      <c r="B12" s="1" t="str">
        <f t="shared" si="0"/>
        <v>ENC-342</v>
      </c>
      <c r="C12" s="1" t="s">
        <v>129</v>
      </c>
      <c r="D12" s="3">
        <v>23619</v>
      </c>
      <c r="E12" s="1" t="s">
        <v>35</v>
      </c>
      <c r="F12" s="1" t="s">
        <v>56</v>
      </c>
      <c r="G12" s="1" t="s">
        <v>1774</v>
      </c>
      <c r="H12" s="1" t="s">
        <v>1775</v>
      </c>
      <c r="I12" s="1" t="s">
        <v>2087</v>
      </c>
      <c r="J12" s="3">
        <v>46256</v>
      </c>
      <c r="K12" s="1" t="s">
        <v>2089</v>
      </c>
      <c r="L12" s="4">
        <f t="shared" si="1"/>
        <v>61</v>
      </c>
      <c r="M12" s="4">
        <f t="shared" si="2"/>
        <v>2026</v>
      </c>
    </row>
    <row r="13" spans="1:13" x14ac:dyDescent="0.25">
      <c r="A13" s="1" t="s">
        <v>78</v>
      </c>
      <c r="B13" s="1" t="str">
        <f t="shared" si="0"/>
        <v>ENC-22</v>
      </c>
      <c r="C13" s="1" t="s">
        <v>33</v>
      </c>
      <c r="D13" s="3">
        <v>25989</v>
      </c>
      <c r="E13" s="1" t="s">
        <v>35</v>
      </c>
      <c r="F13" s="1" t="s">
        <v>20</v>
      </c>
      <c r="G13" s="1" t="s">
        <v>1137</v>
      </c>
      <c r="H13" s="1" t="s">
        <v>1138</v>
      </c>
      <c r="I13" s="1" t="s">
        <v>2096</v>
      </c>
      <c r="J13" s="3">
        <v>46249</v>
      </c>
      <c r="K13" s="1" t="s">
        <v>2093</v>
      </c>
      <c r="L13" s="4">
        <f t="shared" si="1"/>
        <v>55</v>
      </c>
      <c r="M13" s="4">
        <f t="shared" si="2"/>
        <v>2026</v>
      </c>
    </row>
    <row r="14" spans="1:13" x14ac:dyDescent="0.25">
      <c r="A14" s="1" t="s">
        <v>334</v>
      </c>
      <c r="B14" s="1" t="str">
        <f t="shared" si="0"/>
        <v>ENC-130</v>
      </c>
      <c r="C14" s="1" t="s">
        <v>76</v>
      </c>
      <c r="D14" s="3">
        <v>23885</v>
      </c>
      <c r="E14" s="1" t="s">
        <v>52</v>
      </c>
      <c r="F14" s="1" t="s">
        <v>24</v>
      </c>
      <c r="G14" s="1" t="s">
        <v>1351</v>
      </c>
      <c r="H14" s="1" t="s">
        <v>1352</v>
      </c>
      <c r="I14" s="1" t="s">
        <v>2087</v>
      </c>
      <c r="J14" s="3">
        <v>46249</v>
      </c>
      <c r="K14" s="1" t="s">
        <v>2108</v>
      </c>
      <c r="L14" s="4">
        <f t="shared" si="1"/>
        <v>61</v>
      </c>
      <c r="M14" s="4">
        <f t="shared" si="2"/>
        <v>2026</v>
      </c>
    </row>
    <row r="15" spans="1:13" x14ac:dyDescent="0.25">
      <c r="A15" s="1" t="s">
        <v>839</v>
      </c>
      <c r="B15" s="1" t="str">
        <f t="shared" si="0"/>
        <v>ENC-374</v>
      </c>
      <c r="C15" s="1" t="s">
        <v>40</v>
      </c>
      <c r="D15" s="3">
        <v>17453</v>
      </c>
      <c r="E15" s="1" t="s">
        <v>8</v>
      </c>
      <c r="F15" s="1" t="s">
        <v>28</v>
      </c>
      <c r="G15" s="1" t="s">
        <v>1837</v>
      </c>
      <c r="H15" s="1" t="s">
        <v>1838</v>
      </c>
      <c r="I15" s="1" t="s">
        <v>2096</v>
      </c>
      <c r="J15" s="3">
        <v>46244</v>
      </c>
      <c r="K15" s="1" t="s">
        <v>2089</v>
      </c>
      <c r="L15" s="4">
        <f t="shared" si="1"/>
        <v>78</v>
      </c>
      <c r="M15" s="4">
        <f t="shared" si="2"/>
        <v>2026</v>
      </c>
    </row>
    <row r="16" spans="1:13" x14ac:dyDescent="0.25">
      <c r="A16" s="1" t="s">
        <v>1029</v>
      </c>
      <c r="B16" s="1" t="str">
        <f t="shared" si="0"/>
        <v>ENC-469</v>
      </c>
      <c r="C16" s="1" t="s">
        <v>278</v>
      </c>
      <c r="D16" s="3">
        <v>30227</v>
      </c>
      <c r="E16" s="1" t="s">
        <v>35</v>
      </c>
      <c r="F16" s="1" t="s">
        <v>28</v>
      </c>
      <c r="G16" s="1" t="s">
        <v>2021</v>
      </c>
      <c r="H16" s="1" t="s">
        <v>2022</v>
      </c>
      <c r="I16" s="1" t="s">
        <v>2096</v>
      </c>
      <c r="J16" s="3">
        <v>46243</v>
      </c>
      <c r="K16" s="1" t="s">
        <v>2089</v>
      </c>
      <c r="L16" s="4">
        <f t="shared" si="1"/>
        <v>43</v>
      </c>
      <c r="M16" s="4">
        <f t="shared" si="2"/>
        <v>2026</v>
      </c>
    </row>
    <row r="17" spans="1:13" x14ac:dyDescent="0.25">
      <c r="A17" s="1" t="s">
        <v>260</v>
      </c>
      <c r="B17" s="1" t="str">
        <f t="shared" si="0"/>
        <v>ENC-96</v>
      </c>
      <c r="C17" s="1" t="s">
        <v>201</v>
      </c>
      <c r="D17" s="3">
        <v>23458</v>
      </c>
      <c r="E17" s="1" t="s">
        <v>35</v>
      </c>
      <c r="F17" s="1" t="s">
        <v>20</v>
      </c>
      <c r="G17" s="1" t="s">
        <v>1284</v>
      </c>
      <c r="H17" s="1" t="s">
        <v>1285</v>
      </c>
      <c r="I17" s="1" t="s">
        <v>2096</v>
      </c>
      <c r="J17" s="3">
        <v>46233</v>
      </c>
      <c r="K17" s="1" t="s">
        <v>2104</v>
      </c>
      <c r="L17" s="4">
        <f t="shared" si="1"/>
        <v>62</v>
      </c>
      <c r="M17" s="4">
        <f t="shared" si="2"/>
        <v>2026</v>
      </c>
    </row>
    <row r="18" spans="1:13" x14ac:dyDescent="0.25">
      <c r="A18" s="1" t="s">
        <v>284</v>
      </c>
      <c r="B18" s="1" t="str">
        <f t="shared" si="0"/>
        <v>ENC-106</v>
      </c>
      <c r="C18" s="1" t="s">
        <v>198</v>
      </c>
      <c r="D18" s="3">
        <v>20333</v>
      </c>
      <c r="E18" s="1" t="s">
        <v>52</v>
      </c>
      <c r="F18" s="1" t="s">
        <v>20</v>
      </c>
      <c r="G18" s="1" t="s">
        <v>1303</v>
      </c>
      <c r="H18" s="1" t="s">
        <v>1304</v>
      </c>
      <c r="I18" s="1" t="s">
        <v>2096</v>
      </c>
      <c r="J18" s="3">
        <v>46232</v>
      </c>
      <c r="K18" s="1" t="s">
        <v>2089</v>
      </c>
      <c r="L18" s="4">
        <f t="shared" si="1"/>
        <v>70</v>
      </c>
      <c r="M18" s="4">
        <f t="shared" si="2"/>
        <v>2026</v>
      </c>
    </row>
    <row r="19" spans="1:13" x14ac:dyDescent="0.25">
      <c r="A19" s="1" t="s">
        <v>674</v>
      </c>
      <c r="B19" s="1" t="str">
        <f t="shared" si="0"/>
        <v>ENC-292</v>
      </c>
      <c r="C19" s="1" t="s">
        <v>111</v>
      </c>
      <c r="D19" s="3">
        <v>17825</v>
      </c>
      <c r="E19" s="1" t="s">
        <v>52</v>
      </c>
      <c r="F19" s="1" t="s">
        <v>42</v>
      </c>
      <c r="G19" s="1" t="s">
        <v>1674</v>
      </c>
      <c r="H19" s="1" t="s">
        <v>1675</v>
      </c>
      <c r="I19" s="1" t="s">
        <v>2087</v>
      </c>
      <c r="J19" s="3">
        <v>46232</v>
      </c>
      <c r="K19" s="1" t="s">
        <v>2108</v>
      </c>
      <c r="L19" s="4">
        <f t="shared" si="1"/>
        <v>77</v>
      </c>
      <c r="M19" s="4">
        <f t="shared" si="2"/>
        <v>2026</v>
      </c>
    </row>
    <row r="20" spans="1:13" x14ac:dyDescent="0.25">
      <c r="A20" s="1" t="s">
        <v>535</v>
      </c>
      <c r="B20" s="1" t="str">
        <f t="shared" si="0"/>
        <v>ENC-224</v>
      </c>
      <c r="C20" s="1" t="s">
        <v>129</v>
      </c>
      <c r="D20" s="3">
        <v>29027</v>
      </c>
      <c r="E20" s="1" t="s">
        <v>8</v>
      </c>
      <c r="F20" s="1" t="s">
        <v>20</v>
      </c>
      <c r="G20" s="1" t="s">
        <v>1539</v>
      </c>
      <c r="H20" s="1" t="s">
        <v>1540</v>
      </c>
      <c r="I20" s="1" t="s">
        <v>2096</v>
      </c>
      <c r="J20" s="3">
        <v>46231</v>
      </c>
      <c r="K20" s="1" t="s">
        <v>2104</v>
      </c>
      <c r="L20" s="4">
        <f t="shared" si="1"/>
        <v>47</v>
      </c>
      <c r="M20" s="4">
        <f t="shared" si="2"/>
        <v>2026</v>
      </c>
    </row>
    <row r="21" spans="1:13" x14ac:dyDescent="0.25">
      <c r="A21" s="1" t="s">
        <v>1081</v>
      </c>
      <c r="B21" s="1" t="str">
        <f t="shared" si="0"/>
        <v>ENC-495</v>
      </c>
      <c r="C21" s="1" t="s">
        <v>6</v>
      </c>
      <c r="D21" s="3">
        <v>24351</v>
      </c>
      <c r="E21" s="1" t="s">
        <v>8</v>
      </c>
      <c r="F21" s="1" t="s">
        <v>13</v>
      </c>
      <c r="G21" s="1" t="s">
        <v>1672</v>
      </c>
      <c r="H21" s="1" t="s">
        <v>2070</v>
      </c>
      <c r="I21" s="1" t="s">
        <v>2087</v>
      </c>
      <c r="J21" s="3">
        <v>46226</v>
      </c>
      <c r="K21" s="1" t="s">
        <v>2108</v>
      </c>
      <c r="L21" s="4">
        <f t="shared" si="1"/>
        <v>59</v>
      </c>
      <c r="M21" s="4">
        <f t="shared" si="2"/>
        <v>2026</v>
      </c>
    </row>
    <row r="22" spans="1:13" x14ac:dyDescent="0.25">
      <c r="A22" s="1" t="s">
        <v>529</v>
      </c>
      <c r="B22" s="1" t="str">
        <f t="shared" si="0"/>
        <v>ENC-221</v>
      </c>
      <c r="C22" s="1" t="s">
        <v>406</v>
      </c>
      <c r="D22" s="3">
        <v>19390</v>
      </c>
      <c r="E22" s="1" t="s">
        <v>52</v>
      </c>
      <c r="F22" s="1" t="s">
        <v>28</v>
      </c>
      <c r="G22" s="1" t="s">
        <v>1533</v>
      </c>
      <c r="H22" s="1" t="s">
        <v>1534</v>
      </c>
      <c r="I22" s="1" t="s">
        <v>2087</v>
      </c>
      <c r="J22" s="3">
        <v>46220</v>
      </c>
      <c r="K22" s="1" t="s">
        <v>2108</v>
      </c>
      <c r="L22" s="4">
        <f t="shared" si="1"/>
        <v>73</v>
      </c>
      <c r="M22" s="4">
        <f t="shared" si="2"/>
        <v>2026</v>
      </c>
    </row>
    <row r="23" spans="1:13" x14ac:dyDescent="0.25">
      <c r="A23" s="1" t="s">
        <v>603</v>
      </c>
      <c r="B23" s="1" t="str">
        <f t="shared" si="0"/>
        <v>ENC-257</v>
      </c>
      <c r="C23" s="1" t="s">
        <v>114</v>
      </c>
      <c r="D23" s="3">
        <v>19415</v>
      </c>
      <c r="E23" s="1" t="s">
        <v>52</v>
      </c>
      <c r="F23" s="1" t="s">
        <v>16</v>
      </c>
      <c r="G23" s="1" t="s">
        <v>1604</v>
      </c>
      <c r="H23" s="1" t="s">
        <v>1605</v>
      </c>
      <c r="I23" s="1" t="s">
        <v>2096</v>
      </c>
      <c r="J23" s="3">
        <v>46220</v>
      </c>
      <c r="K23" s="1" t="s">
        <v>2089</v>
      </c>
      <c r="L23" s="4">
        <f t="shared" si="1"/>
        <v>73</v>
      </c>
      <c r="M23" s="4">
        <f t="shared" si="2"/>
        <v>2026</v>
      </c>
    </row>
    <row r="24" spans="1:13" x14ac:dyDescent="0.25">
      <c r="A24" s="1" t="s">
        <v>987</v>
      </c>
      <c r="B24" s="1" t="str">
        <f t="shared" si="0"/>
        <v>ENC-448</v>
      </c>
      <c r="C24" s="1" t="s">
        <v>313</v>
      </c>
      <c r="D24" s="3">
        <v>38170</v>
      </c>
      <c r="E24" s="1" t="s">
        <v>35</v>
      </c>
      <c r="F24" s="1" t="s">
        <v>9</v>
      </c>
      <c r="G24" s="1" t="s">
        <v>1982</v>
      </c>
      <c r="H24" s="1" t="s">
        <v>1983</v>
      </c>
      <c r="I24" s="1" t="s">
        <v>2096</v>
      </c>
      <c r="J24" s="3">
        <v>46220</v>
      </c>
      <c r="K24" s="1" t="s">
        <v>2089</v>
      </c>
      <c r="L24" s="4">
        <f t="shared" si="1"/>
        <v>22</v>
      </c>
      <c r="M24" s="4">
        <f t="shared" si="2"/>
        <v>2026</v>
      </c>
    </row>
    <row r="25" spans="1:13" x14ac:dyDescent="0.25">
      <c r="A25" s="1" t="s">
        <v>49</v>
      </c>
      <c r="B25" s="1" t="str">
        <f t="shared" si="0"/>
        <v>ENC-13</v>
      </c>
      <c r="C25" s="1" t="s">
        <v>50</v>
      </c>
      <c r="D25" s="3">
        <v>39675</v>
      </c>
      <c r="E25" s="1" t="s">
        <v>52</v>
      </c>
      <c r="F25" s="1" t="s">
        <v>42</v>
      </c>
      <c r="G25" s="1" t="s">
        <v>1119</v>
      </c>
      <c r="H25" s="1" t="s">
        <v>1120</v>
      </c>
      <c r="I25" s="1" t="s">
        <v>2096</v>
      </c>
      <c r="J25" s="3">
        <v>46216</v>
      </c>
      <c r="K25" s="1" t="s">
        <v>2104</v>
      </c>
      <c r="L25" s="4">
        <f t="shared" si="1"/>
        <v>17</v>
      </c>
      <c r="M25" s="4">
        <f t="shared" si="2"/>
        <v>2026</v>
      </c>
    </row>
    <row r="26" spans="1:13" x14ac:dyDescent="0.25">
      <c r="A26" s="1" t="s">
        <v>561</v>
      </c>
      <c r="B26" s="1" t="str">
        <f t="shared" si="0"/>
        <v>ENC-237</v>
      </c>
      <c r="C26" s="1" t="s">
        <v>61</v>
      </c>
      <c r="D26" s="3">
        <v>24795</v>
      </c>
      <c r="E26" s="1" t="s">
        <v>8</v>
      </c>
      <c r="F26" s="1" t="s">
        <v>24</v>
      </c>
      <c r="G26" s="1" t="s">
        <v>1564</v>
      </c>
      <c r="H26" s="1" t="s">
        <v>1565</v>
      </c>
      <c r="I26" s="1" t="s">
        <v>2087</v>
      </c>
      <c r="J26" s="3">
        <v>46212</v>
      </c>
      <c r="K26" s="1" t="s">
        <v>2093</v>
      </c>
      <c r="L26" s="4">
        <f t="shared" si="1"/>
        <v>58</v>
      </c>
      <c r="M26" s="4">
        <f t="shared" si="2"/>
        <v>2026</v>
      </c>
    </row>
    <row r="27" spans="1:13" x14ac:dyDescent="0.25">
      <c r="A27" s="1" t="s">
        <v>336</v>
      </c>
      <c r="B27" s="1" t="str">
        <f t="shared" si="0"/>
        <v>ENC-131</v>
      </c>
      <c r="C27" s="1" t="s">
        <v>50</v>
      </c>
      <c r="D27" s="3">
        <v>33826</v>
      </c>
      <c r="E27" s="1" t="s">
        <v>8</v>
      </c>
      <c r="F27" s="1" t="s">
        <v>28</v>
      </c>
      <c r="G27" s="1" t="s">
        <v>1353</v>
      </c>
      <c r="H27" s="1" t="s">
        <v>1354</v>
      </c>
      <c r="I27" s="1" t="s">
        <v>2096</v>
      </c>
      <c r="J27" s="3">
        <v>46210</v>
      </c>
      <c r="K27" s="1" t="s">
        <v>2093</v>
      </c>
      <c r="L27" s="4">
        <f t="shared" si="1"/>
        <v>33</v>
      </c>
      <c r="M27" s="4">
        <f t="shared" si="2"/>
        <v>2026</v>
      </c>
    </row>
    <row r="28" spans="1:13" x14ac:dyDescent="0.25">
      <c r="A28" s="1" t="s">
        <v>664</v>
      </c>
      <c r="B28" s="1" t="str">
        <f t="shared" si="0"/>
        <v>ENC-287</v>
      </c>
      <c r="C28" s="1" t="s">
        <v>160</v>
      </c>
      <c r="D28" s="3">
        <v>18628</v>
      </c>
      <c r="E28" s="1" t="s">
        <v>8</v>
      </c>
      <c r="F28" s="1" t="s">
        <v>24</v>
      </c>
      <c r="G28" s="1" t="s">
        <v>1664</v>
      </c>
      <c r="H28" s="1" t="s">
        <v>1665</v>
      </c>
      <c r="I28" s="1" t="s">
        <v>2087</v>
      </c>
      <c r="J28" s="3">
        <v>46207</v>
      </c>
      <c r="K28" s="1" t="s">
        <v>2089</v>
      </c>
      <c r="L28" s="4">
        <f t="shared" si="1"/>
        <v>75</v>
      </c>
      <c r="M28" s="4">
        <f t="shared" si="2"/>
        <v>2026</v>
      </c>
    </row>
    <row r="29" spans="1:13" x14ac:dyDescent="0.25">
      <c r="A29" s="1" t="s">
        <v>549</v>
      </c>
      <c r="B29" s="1" t="str">
        <f t="shared" si="0"/>
        <v>ENC-231</v>
      </c>
      <c r="C29" s="1" t="s">
        <v>224</v>
      </c>
      <c r="D29" s="3">
        <v>28067</v>
      </c>
      <c r="E29" s="1" t="s">
        <v>35</v>
      </c>
      <c r="F29" s="1" t="s">
        <v>56</v>
      </c>
      <c r="G29" s="1" t="s">
        <v>1553</v>
      </c>
      <c r="H29" s="1" t="s">
        <v>1554</v>
      </c>
      <c r="I29" s="1" t="s">
        <v>2096</v>
      </c>
      <c r="J29" s="3">
        <v>46205</v>
      </c>
      <c r="K29" s="1" t="s">
        <v>2089</v>
      </c>
      <c r="L29" s="4">
        <f t="shared" si="1"/>
        <v>49</v>
      </c>
      <c r="M29" s="4">
        <f t="shared" si="2"/>
        <v>2026</v>
      </c>
    </row>
    <row r="30" spans="1:13" x14ac:dyDescent="0.25">
      <c r="A30" s="1" t="s">
        <v>89</v>
      </c>
      <c r="B30" s="1" t="str">
        <f t="shared" si="0"/>
        <v>ENC-26</v>
      </c>
      <c r="C30" s="1" t="s">
        <v>90</v>
      </c>
      <c r="D30" s="3">
        <v>29375</v>
      </c>
      <c r="E30" s="1" t="s">
        <v>52</v>
      </c>
      <c r="F30" s="1" t="s">
        <v>13</v>
      </c>
      <c r="G30" s="1" t="s">
        <v>1145</v>
      </c>
      <c r="H30" s="1" t="s">
        <v>1146</v>
      </c>
      <c r="I30" s="1" t="s">
        <v>2096</v>
      </c>
      <c r="J30" s="3">
        <v>46204</v>
      </c>
      <c r="K30" s="1" t="s">
        <v>2104</v>
      </c>
      <c r="L30" s="4">
        <f t="shared" si="1"/>
        <v>46</v>
      </c>
      <c r="M30" s="4">
        <f t="shared" si="2"/>
        <v>2026</v>
      </c>
    </row>
    <row r="31" spans="1:13" x14ac:dyDescent="0.25">
      <c r="A31" s="1" t="s">
        <v>1045</v>
      </c>
      <c r="B31" s="1" t="str">
        <f t="shared" si="0"/>
        <v>ENC-477</v>
      </c>
      <c r="C31" s="1" t="s">
        <v>149</v>
      </c>
      <c r="D31" s="3">
        <v>23644</v>
      </c>
      <c r="E31" s="1" t="s">
        <v>35</v>
      </c>
      <c r="F31" s="1" t="s">
        <v>28</v>
      </c>
      <c r="G31" s="1" t="s">
        <v>2035</v>
      </c>
      <c r="H31" s="1" t="s">
        <v>2036</v>
      </c>
      <c r="I31" s="1" t="s">
        <v>2096</v>
      </c>
      <c r="J31" s="3">
        <v>46198</v>
      </c>
      <c r="K31" s="1" t="s">
        <v>2089</v>
      </c>
      <c r="L31" s="4">
        <f t="shared" si="1"/>
        <v>61</v>
      </c>
      <c r="M31" s="4">
        <f t="shared" si="2"/>
        <v>2026</v>
      </c>
    </row>
    <row r="32" spans="1:13" x14ac:dyDescent="0.25">
      <c r="A32" s="1" t="s">
        <v>525</v>
      </c>
      <c r="B32" s="1" t="str">
        <f t="shared" si="0"/>
        <v>ENC-219</v>
      </c>
      <c r="C32" s="1" t="s">
        <v>341</v>
      </c>
      <c r="D32" s="3">
        <v>26341</v>
      </c>
      <c r="E32" s="1" t="s">
        <v>35</v>
      </c>
      <c r="F32" s="1" t="s">
        <v>9</v>
      </c>
      <c r="G32" s="1" t="s">
        <v>1529</v>
      </c>
      <c r="H32" s="1" t="s">
        <v>1530</v>
      </c>
      <c r="I32" s="1" t="s">
        <v>2096</v>
      </c>
      <c r="J32" s="3">
        <v>46197</v>
      </c>
      <c r="K32" s="1" t="s">
        <v>2093</v>
      </c>
      <c r="L32" s="4">
        <f t="shared" si="1"/>
        <v>54</v>
      </c>
      <c r="M32" s="4">
        <f t="shared" si="2"/>
        <v>2026</v>
      </c>
    </row>
    <row r="33" spans="1:13" x14ac:dyDescent="0.25">
      <c r="A33" s="1" t="s">
        <v>700</v>
      </c>
      <c r="B33" s="1" t="str">
        <f t="shared" si="0"/>
        <v>ENC-305</v>
      </c>
      <c r="C33" s="1" t="s">
        <v>124</v>
      </c>
      <c r="D33" s="3">
        <v>26162</v>
      </c>
      <c r="E33" s="1" t="s">
        <v>52</v>
      </c>
      <c r="F33" s="1" t="s">
        <v>16</v>
      </c>
      <c r="G33" s="1" t="s">
        <v>1700</v>
      </c>
      <c r="H33" s="1" t="s">
        <v>1701</v>
      </c>
      <c r="I33" s="1" t="s">
        <v>2087</v>
      </c>
      <c r="J33" s="3">
        <v>46197</v>
      </c>
      <c r="K33" s="1" t="s">
        <v>2104</v>
      </c>
      <c r="L33" s="4">
        <f t="shared" si="1"/>
        <v>54</v>
      </c>
      <c r="M33" s="4">
        <f t="shared" si="2"/>
        <v>2026</v>
      </c>
    </row>
    <row r="34" spans="1:13" x14ac:dyDescent="0.25">
      <c r="A34" s="1" t="s">
        <v>133</v>
      </c>
      <c r="B34" s="1" t="str">
        <f t="shared" si="0"/>
        <v>ENC-44</v>
      </c>
      <c r="C34" s="1" t="s">
        <v>134</v>
      </c>
      <c r="D34" s="3">
        <v>26382</v>
      </c>
      <c r="E34" s="1" t="s">
        <v>35</v>
      </c>
      <c r="F34" s="1" t="s">
        <v>16</v>
      </c>
      <c r="G34" s="1" t="s">
        <v>1180</v>
      </c>
      <c r="H34" s="1" t="s">
        <v>1181</v>
      </c>
      <c r="I34" s="1" t="s">
        <v>2096</v>
      </c>
      <c r="J34" s="3">
        <v>46196</v>
      </c>
      <c r="K34" s="1" t="s">
        <v>2093</v>
      </c>
      <c r="L34" s="4">
        <f t="shared" si="1"/>
        <v>54</v>
      </c>
      <c r="M34" s="4">
        <f t="shared" si="2"/>
        <v>2026</v>
      </c>
    </row>
    <row r="35" spans="1:13" x14ac:dyDescent="0.25">
      <c r="A35" s="1" t="s">
        <v>1049</v>
      </c>
      <c r="B35" s="1" t="str">
        <f t="shared" si="0"/>
        <v>ENC-479</v>
      </c>
      <c r="C35" s="1" t="s">
        <v>58</v>
      </c>
      <c r="D35" s="3">
        <v>22331</v>
      </c>
      <c r="E35" s="1" t="s">
        <v>8</v>
      </c>
      <c r="F35" s="1" t="s">
        <v>13</v>
      </c>
      <c r="G35" s="1" t="s">
        <v>2039</v>
      </c>
      <c r="H35" s="1" t="s">
        <v>2040</v>
      </c>
      <c r="I35" s="1" t="s">
        <v>2087</v>
      </c>
      <c r="J35" s="3">
        <v>46195</v>
      </c>
      <c r="K35" s="1" t="s">
        <v>2104</v>
      </c>
      <c r="L35" s="4">
        <f t="shared" si="1"/>
        <v>65</v>
      </c>
      <c r="M35" s="4">
        <f t="shared" si="2"/>
        <v>2026</v>
      </c>
    </row>
    <row r="36" spans="1:13" x14ac:dyDescent="0.25">
      <c r="A36" s="1" t="s">
        <v>722</v>
      </c>
      <c r="B36" s="1" t="str">
        <f t="shared" si="0"/>
        <v>ENC-316</v>
      </c>
      <c r="C36" s="1" t="s">
        <v>93</v>
      </c>
      <c r="D36" s="3">
        <v>17928</v>
      </c>
      <c r="E36" s="1" t="s">
        <v>35</v>
      </c>
      <c r="F36" s="1" t="s">
        <v>20</v>
      </c>
      <c r="G36" s="1" t="s">
        <v>1722</v>
      </c>
      <c r="H36" s="1" t="s">
        <v>1723</v>
      </c>
      <c r="I36" s="1" t="s">
        <v>2096</v>
      </c>
      <c r="J36" s="3">
        <v>46194</v>
      </c>
      <c r="K36" s="1" t="s">
        <v>2108</v>
      </c>
      <c r="L36" s="4">
        <f t="shared" si="1"/>
        <v>77</v>
      </c>
      <c r="M36" s="4">
        <f t="shared" si="2"/>
        <v>2026</v>
      </c>
    </row>
    <row r="37" spans="1:13" x14ac:dyDescent="0.25">
      <c r="A37" s="1" t="s">
        <v>588</v>
      </c>
      <c r="B37" s="1" t="str">
        <f t="shared" si="0"/>
        <v>ENC-250</v>
      </c>
      <c r="C37" s="1" t="s">
        <v>111</v>
      </c>
      <c r="D37" s="3">
        <v>34862</v>
      </c>
      <c r="E37" s="1" t="s">
        <v>52</v>
      </c>
      <c r="F37" s="1" t="s">
        <v>24</v>
      </c>
      <c r="G37" s="1" t="s">
        <v>1590</v>
      </c>
      <c r="H37" s="1" t="s">
        <v>1591</v>
      </c>
      <c r="I37" s="1" t="s">
        <v>2096</v>
      </c>
      <c r="J37" s="3">
        <v>46187</v>
      </c>
      <c r="K37" s="1" t="s">
        <v>2089</v>
      </c>
      <c r="L37" s="4">
        <f t="shared" si="1"/>
        <v>31</v>
      </c>
      <c r="M37" s="4">
        <f t="shared" si="2"/>
        <v>2026</v>
      </c>
    </row>
    <row r="38" spans="1:13" x14ac:dyDescent="0.25">
      <c r="A38" s="1" t="s">
        <v>434</v>
      </c>
      <c r="B38" s="1" t="str">
        <f t="shared" si="0"/>
        <v>ENC-176</v>
      </c>
      <c r="C38" s="1" t="s">
        <v>435</v>
      </c>
      <c r="D38" s="3">
        <v>24886</v>
      </c>
      <c r="E38" s="1" t="s">
        <v>35</v>
      </c>
      <c r="F38" s="1" t="s">
        <v>20</v>
      </c>
      <c r="G38" s="1" t="s">
        <v>1443</v>
      </c>
      <c r="H38" s="1" t="s">
        <v>1444</v>
      </c>
      <c r="I38" s="1" t="s">
        <v>2096</v>
      </c>
      <c r="J38" s="3">
        <v>46180</v>
      </c>
      <c r="K38" s="1" t="s">
        <v>2093</v>
      </c>
      <c r="L38" s="4">
        <f t="shared" si="1"/>
        <v>58</v>
      </c>
      <c r="M38" s="4">
        <f t="shared" si="2"/>
        <v>2026</v>
      </c>
    </row>
    <row r="39" spans="1:13" x14ac:dyDescent="0.25">
      <c r="A39" s="1" t="s">
        <v>926</v>
      </c>
      <c r="B39" s="1" t="str">
        <f t="shared" si="0"/>
        <v>ENC-417</v>
      </c>
      <c r="C39" s="1" t="s">
        <v>356</v>
      </c>
      <c r="D39" s="3">
        <v>22172</v>
      </c>
      <c r="E39" s="1" t="s">
        <v>8</v>
      </c>
      <c r="F39" s="1" t="s">
        <v>56</v>
      </c>
      <c r="G39" s="1" t="s">
        <v>1922</v>
      </c>
      <c r="H39" s="1" t="s">
        <v>1923</v>
      </c>
      <c r="I39" s="1" t="s">
        <v>2087</v>
      </c>
      <c r="J39" s="3">
        <v>46179</v>
      </c>
      <c r="K39" s="1" t="s">
        <v>2108</v>
      </c>
      <c r="L39" s="4">
        <f t="shared" si="1"/>
        <v>65</v>
      </c>
      <c r="M39" s="4">
        <f t="shared" si="2"/>
        <v>2026</v>
      </c>
    </row>
    <row r="40" spans="1:13" x14ac:dyDescent="0.25">
      <c r="A40" s="1" t="s">
        <v>815</v>
      </c>
      <c r="B40" s="1" t="str">
        <f t="shared" si="0"/>
        <v>ENC-362</v>
      </c>
      <c r="C40" s="1" t="s">
        <v>219</v>
      </c>
      <c r="D40" s="3">
        <v>33265</v>
      </c>
      <c r="E40" s="1" t="s">
        <v>8</v>
      </c>
      <c r="F40" s="1" t="s">
        <v>20</v>
      </c>
      <c r="G40" s="1" t="s">
        <v>1814</v>
      </c>
      <c r="H40" s="1" t="s">
        <v>1815</v>
      </c>
      <c r="I40" s="1" t="s">
        <v>2096</v>
      </c>
      <c r="J40" s="3">
        <v>46165</v>
      </c>
      <c r="K40" s="1" t="s">
        <v>2104</v>
      </c>
      <c r="L40" s="4">
        <f t="shared" si="1"/>
        <v>35</v>
      </c>
      <c r="M40" s="4">
        <f t="shared" si="2"/>
        <v>2026</v>
      </c>
    </row>
    <row r="41" spans="1:13" x14ac:dyDescent="0.25">
      <c r="A41" s="1" t="s">
        <v>282</v>
      </c>
      <c r="B41" s="1" t="str">
        <f t="shared" si="0"/>
        <v>ENC-105</v>
      </c>
      <c r="C41" s="1" t="s">
        <v>102</v>
      </c>
      <c r="D41" s="3">
        <v>35922</v>
      </c>
      <c r="E41" s="1" t="s">
        <v>8</v>
      </c>
      <c r="F41" s="1" t="s">
        <v>13</v>
      </c>
      <c r="G41" s="1" t="s">
        <v>1301</v>
      </c>
      <c r="H41" s="1" t="s">
        <v>1302</v>
      </c>
      <c r="I41" s="1" t="s">
        <v>2096</v>
      </c>
      <c r="J41" s="3">
        <v>46163</v>
      </c>
      <c r="K41" s="1" t="s">
        <v>2093</v>
      </c>
      <c r="L41" s="4">
        <f t="shared" si="1"/>
        <v>28</v>
      </c>
      <c r="M41" s="4">
        <f t="shared" si="2"/>
        <v>2026</v>
      </c>
    </row>
    <row r="42" spans="1:13" x14ac:dyDescent="0.25">
      <c r="A42" s="1" t="s">
        <v>756</v>
      </c>
      <c r="B42" s="1" t="str">
        <f t="shared" si="0"/>
        <v>ENC-333</v>
      </c>
      <c r="C42" s="1" t="s">
        <v>70</v>
      </c>
      <c r="D42" s="3">
        <v>18730</v>
      </c>
      <c r="E42" s="1" t="s">
        <v>52</v>
      </c>
      <c r="F42" s="1" t="s">
        <v>42</v>
      </c>
      <c r="G42" s="1" t="s">
        <v>1756</v>
      </c>
      <c r="H42" s="1" t="s">
        <v>1757</v>
      </c>
      <c r="I42" s="1" t="s">
        <v>2087</v>
      </c>
      <c r="J42" s="3">
        <v>46160</v>
      </c>
      <c r="K42" s="1" t="s">
        <v>2093</v>
      </c>
      <c r="L42" s="4">
        <f t="shared" si="1"/>
        <v>75</v>
      </c>
      <c r="M42" s="4">
        <f t="shared" si="2"/>
        <v>2026</v>
      </c>
    </row>
    <row r="43" spans="1:13" x14ac:dyDescent="0.25">
      <c r="A43" s="1" t="s">
        <v>401</v>
      </c>
      <c r="B43" s="1" t="str">
        <f t="shared" si="0"/>
        <v>ENC-160</v>
      </c>
      <c r="C43" s="1" t="s">
        <v>227</v>
      </c>
      <c r="D43" s="3">
        <v>22284</v>
      </c>
      <c r="E43" s="1" t="s">
        <v>52</v>
      </c>
      <c r="F43" s="1" t="s">
        <v>20</v>
      </c>
      <c r="G43" s="1" t="s">
        <v>1411</v>
      </c>
      <c r="H43" s="1" t="s">
        <v>1412</v>
      </c>
      <c r="I43" s="1" t="s">
        <v>2087</v>
      </c>
      <c r="J43" s="3">
        <v>46159</v>
      </c>
      <c r="K43" s="1" t="s">
        <v>2089</v>
      </c>
      <c r="L43" s="4">
        <f t="shared" si="1"/>
        <v>65</v>
      </c>
      <c r="M43" s="4">
        <f t="shared" si="2"/>
        <v>2026</v>
      </c>
    </row>
    <row r="44" spans="1:13" x14ac:dyDescent="0.25">
      <c r="A44" s="1" t="s">
        <v>361</v>
      </c>
      <c r="B44" s="1" t="str">
        <f t="shared" si="0"/>
        <v>ENC-142</v>
      </c>
      <c r="C44" s="1" t="s">
        <v>22</v>
      </c>
      <c r="D44" s="3">
        <v>15219</v>
      </c>
      <c r="E44" s="1" t="s">
        <v>8</v>
      </c>
      <c r="F44" s="1" t="s">
        <v>42</v>
      </c>
      <c r="G44" s="1" t="s">
        <v>1375</v>
      </c>
      <c r="H44" s="1" t="s">
        <v>1376</v>
      </c>
      <c r="I44" s="1" t="s">
        <v>2096</v>
      </c>
      <c r="J44" s="3">
        <v>46158</v>
      </c>
      <c r="K44" s="1" t="s">
        <v>2093</v>
      </c>
      <c r="L44" s="4">
        <f t="shared" si="1"/>
        <v>84</v>
      </c>
      <c r="M44" s="4">
        <f t="shared" si="2"/>
        <v>2026</v>
      </c>
    </row>
    <row r="45" spans="1:13" x14ac:dyDescent="0.25">
      <c r="A45" s="1" t="s">
        <v>648</v>
      </c>
      <c r="B45" s="1" t="str">
        <f t="shared" si="0"/>
        <v>ENC-279</v>
      </c>
      <c r="C45" s="1" t="s">
        <v>263</v>
      </c>
      <c r="D45" s="3">
        <v>25894</v>
      </c>
      <c r="E45" s="1" t="s">
        <v>52</v>
      </c>
      <c r="F45" s="1" t="s">
        <v>16</v>
      </c>
      <c r="G45" s="1" t="s">
        <v>1648</v>
      </c>
      <c r="H45" s="1" t="s">
        <v>1649</v>
      </c>
      <c r="I45" s="1" t="s">
        <v>2096</v>
      </c>
      <c r="J45" s="3">
        <v>46155</v>
      </c>
      <c r="K45" s="1" t="s">
        <v>2089</v>
      </c>
      <c r="L45" s="4">
        <f t="shared" si="1"/>
        <v>55</v>
      </c>
      <c r="M45" s="4">
        <f t="shared" si="2"/>
        <v>2026</v>
      </c>
    </row>
    <row r="46" spans="1:13" x14ac:dyDescent="0.25">
      <c r="A46" s="1" t="s">
        <v>997</v>
      </c>
      <c r="B46" s="1" t="str">
        <f t="shared" si="0"/>
        <v>ENC-453</v>
      </c>
      <c r="C46" s="1" t="s">
        <v>155</v>
      </c>
      <c r="D46" s="3">
        <v>25858</v>
      </c>
      <c r="E46" s="1" t="s">
        <v>8</v>
      </c>
      <c r="F46" s="1" t="s">
        <v>42</v>
      </c>
      <c r="G46" s="1" t="s">
        <v>1992</v>
      </c>
      <c r="H46" s="1" t="s">
        <v>1993</v>
      </c>
      <c r="I46" s="1" t="s">
        <v>2096</v>
      </c>
      <c r="J46" s="3">
        <v>46152</v>
      </c>
      <c r="K46" s="1" t="s">
        <v>2089</v>
      </c>
      <c r="L46" s="4">
        <f t="shared" si="1"/>
        <v>55</v>
      </c>
      <c r="M46" s="4">
        <f t="shared" si="2"/>
        <v>2026</v>
      </c>
    </row>
    <row r="47" spans="1:13" x14ac:dyDescent="0.25">
      <c r="A47" s="1" t="s">
        <v>286</v>
      </c>
      <c r="B47" s="1" t="str">
        <f t="shared" si="0"/>
        <v>ENC-107</v>
      </c>
      <c r="C47" s="1" t="s">
        <v>236</v>
      </c>
      <c r="D47" s="3">
        <v>22814</v>
      </c>
      <c r="E47" s="1" t="s">
        <v>35</v>
      </c>
      <c r="F47" s="1" t="s">
        <v>24</v>
      </c>
      <c r="G47" s="1" t="s">
        <v>1305</v>
      </c>
      <c r="H47" s="1" t="s">
        <v>1306</v>
      </c>
      <c r="I47" s="1" t="s">
        <v>2087</v>
      </c>
      <c r="J47" s="3">
        <v>46151</v>
      </c>
      <c r="K47" s="1" t="s">
        <v>2104</v>
      </c>
      <c r="L47" s="4">
        <f t="shared" si="1"/>
        <v>63</v>
      </c>
      <c r="M47" s="4">
        <f t="shared" si="2"/>
        <v>2026</v>
      </c>
    </row>
    <row r="48" spans="1:13" x14ac:dyDescent="0.25">
      <c r="A48" s="1" t="s">
        <v>979</v>
      </c>
      <c r="B48" s="1" t="str">
        <f t="shared" si="0"/>
        <v>ENC-444</v>
      </c>
      <c r="C48" s="1" t="s">
        <v>87</v>
      </c>
      <c r="D48" s="3">
        <v>32294</v>
      </c>
      <c r="E48" s="1" t="s">
        <v>35</v>
      </c>
      <c r="F48" s="1" t="s">
        <v>13</v>
      </c>
      <c r="G48" s="1" t="s">
        <v>1974</v>
      </c>
      <c r="H48" s="1" t="s">
        <v>1975</v>
      </c>
      <c r="I48" s="1" t="s">
        <v>2096</v>
      </c>
      <c r="J48" s="3">
        <v>46145</v>
      </c>
      <c r="K48" s="1" t="s">
        <v>2089</v>
      </c>
      <c r="L48" s="4">
        <f t="shared" si="1"/>
        <v>37</v>
      </c>
      <c r="M48" s="4">
        <f t="shared" si="2"/>
        <v>2026</v>
      </c>
    </row>
    <row r="49" spans="1:13" x14ac:dyDescent="0.25">
      <c r="A49" s="1" t="s">
        <v>541</v>
      </c>
      <c r="B49" s="1" t="str">
        <f t="shared" si="0"/>
        <v>ENC-227</v>
      </c>
      <c r="C49" s="1" t="s">
        <v>359</v>
      </c>
      <c r="D49" s="3">
        <v>24324</v>
      </c>
      <c r="E49" s="1" t="s">
        <v>35</v>
      </c>
      <c r="F49" s="1" t="s">
        <v>56</v>
      </c>
      <c r="G49" s="1" t="s">
        <v>1545</v>
      </c>
      <c r="H49" s="1" t="s">
        <v>1546</v>
      </c>
      <c r="I49" s="1" t="s">
        <v>2087</v>
      </c>
      <c r="J49" s="3">
        <v>46137</v>
      </c>
      <c r="K49" s="1" t="s">
        <v>2093</v>
      </c>
      <c r="L49" s="4">
        <f t="shared" si="1"/>
        <v>59</v>
      </c>
      <c r="M49" s="4">
        <f t="shared" si="2"/>
        <v>2026</v>
      </c>
    </row>
    <row r="50" spans="1:13" x14ac:dyDescent="0.25">
      <c r="A50" s="1" t="s">
        <v>1083</v>
      </c>
      <c r="B50" s="1" t="str">
        <f t="shared" si="0"/>
        <v>ENC-496</v>
      </c>
      <c r="C50" s="1" t="s">
        <v>396</v>
      </c>
      <c r="D50" s="3">
        <v>30931</v>
      </c>
      <c r="E50" s="1" t="s">
        <v>35</v>
      </c>
      <c r="F50" s="1" t="s">
        <v>42</v>
      </c>
      <c r="G50" s="1" t="s">
        <v>2071</v>
      </c>
      <c r="H50" s="1" t="s">
        <v>2072</v>
      </c>
      <c r="I50" s="1" t="s">
        <v>2087</v>
      </c>
      <c r="J50" s="3">
        <v>46136</v>
      </c>
      <c r="K50" s="1" t="s">
        <v>2108</v>
      </c>
      <c r="L50" s="4">
        <f t="shared" si="1"/>
        <v>41</v>
      </c>
      <c r="M50" s="4">
        <f t="shared" si="2"/>
        <v>2026</v>
      </c>
    </row>
    <row r="51" spans="1:13" x14ac:dyDescent="0.25">
      <c r="A51" s="1" t="s">
        <v>441</v>
      </c>
      <c r="B51" s="1" t="str">
        <f t="shared" si="0"/>
        <v>ENC-179</v>
      </c>
      <c r="C51" s="1" t="s">
        <v>170</v>
      </c>
      <c r="D51" s="3">
        <v>15200</v>
      </c>
      <c r="E51" s="1" t="s">
        <v>8</v>
      </c>
      <c r="F51" s="1" t="s">
        <v>28</v>
      </c>
      <c r="G51" s="1" t="s">
        <v>1449</v>
      </c>
      <c r="H51" s="1" t="s">
        <v>1450</v>
      </c>
      <c r="I51" s="1" t="s">
        <v>2087</v>
      </c>
      <c r="J51" s="3">
        <v>46121</v>
      </c>
      <c r="K51" s="1" t="s">
        <v>2093</v>
      </c>
      <c r="L51" s="4">
        <f t="shared" si="1"/>
        <v>84</v>
      </c>
      <c r="M51" s="4">
        <f t="shared" si="2"/>
        <v>2026</v>
      </c>
    </row>
    <row r="52" spans="1:13" x14ac:dyDescent="0.25">
      <c r="A52" s="1" t="s">
        <v>875</v>
      </c>
      <c r="B52" s="1" t="str">
        <f t="shared" si="0"/>
        <v>ENC-392</v>
      </c>
      <c r="C52" s="1" t="s">
        <v>297</v>
      </c>
      <c r="D52" s="3">
        <v>21605</v>
      </c>
      <c r="E52" s="1" t="s">
        <v>35</v>
      </c>
      <c r="F52" s="1" t="s">
        <v>24</v>
      </c>
      <c r="G52" s="1" t="s">
        <v>1873</v>
      </c>
      <c r="H52" s="1" t="s">
        <v>1874</v>
      </c>
      <c r="I52" s="1" t="s">
        <v>2087</v>
      </c>
      <c r="J52" s="3">
        <v>46120</v>
      </c>
      <c r="K52" s="1" t="s">
        <v>2108</v>
      </c>
      <c r="L52" s="4">
        <f t="shared" si="1"/>
        <v>67</v>
      </c>
      <c r="M52" s="4">
        <f t="shared" si="2"/>
        <v>2026</v>
      </c>
    </row>
    <row r="53" spans="1:13" x14ac:dyDescent="0.25">
      <c r="A53" s="1" t="s">
        <v>582</v>
      </c>
      <c r="B53" s="1" t="str">
        <f t="shared" si="0"/>
        <v>ENC-247</v>
      </c>
      <c r="C53" s="1" t="s">
        <v>263</v>
      </c>
      <c r="D53" s="3">
        <v>25134</v>
      </c>
      <c r="E53" s="1" t="s">
        <v>35</v>
      </c>
      <c r="F53" s="1" t="s">
        <v>56</v>
      </c>
      <c r="G53" s="1" t="s">
        <v>1584</v>
      </c>
      <c r="H53" s="1" t="s">
        <v>1585</v>
      </c>
      <c r="I53" s="1" t="s">
        <v>2087</v>
      </c>
      <c r="J53" s="3">
        <v>46115</v>
      </c>
      <c r="K53" s="1" t="s">
        <v>2108</v>
      </c>
      <c r="L53" s="4">
        <f t="shared" si="1"/>
        <v>57</v>
      </c>
      <c r="M53" s="4">
        <f t="shared" si="2"/>
        <v>2026</v>
      </c>
    </row>
    <row r="54" spans="1:13" x14ac:dyDescent="0.25">
      <c r="A54" s="1" t="s">
        <v>993</v>
      </c>
      <c r="B54" s="1" t="str">
        <f t="shared" si="0"/>
        <v>ENC-451</v>
      </c>
      <c r="C54" s="1" t="s">
        <v>396</v>
      </c>
      <c r="D54" s="3">
        <v>37219</v>
      </c>
      <c r="E54" s="1" t="s">
        <v>35</v>
      </c>
      <c r="F54" s="1" t="s">
        <v>9</v>
      </c>
      <c r="G54" s="1" t="s">
        <v>1988</v>
      </c>
      <c r="H54" s="1" t="s">
        <v>1989</v>
      </c>
      <c r="I54" s="1" t="s">
        <v>2096</v>
      </c>
      <c r="J54" s="3">
        <v>46112</v>
      </c>
      <c r="K54" s="1" t="s">
        <v>2093</v>
      </c>
      <c r="L54" s="4">
        <f t="shared" si="1"/>
        <v>24</v>
      </c>
      <c r="M54" s="4">
        <f t="shared" si="2"/>
        <v>2026</v>
      </c>
    </row>
    <row r="55" spans="1:13" x14ac:dyDescent="0.25">
      <c r="A55" s="1" t="s">
        <v>456</v>
      </c>
      <c r="B55" s="1" t="str">
        <f t="shared" si="0"/>
        <v>ENC-186</v>
      </c>
      <c r="C55" s="1" t="s">
        <v>30</v>
      </c>
      <c r="D55" s="3">
        <v>35624</v>
      </c>
      <c r="E55" s="1" t="s">
        <v>52</v>
      </c>
      <c r="F55" s="1" t="s">
        <v>13</v>
      </c>
      <c r="G55" s="1" t="s">
        <v>1463</v>
      </c>
      <c r="H55" s="1" t="s">
        <v>1464</v>
      </c>
      <c r="I55" s="1" t="s">
        <v>2096</v>
      </c>
      <c r="J55" s="3">
        <v>46108</v>
      </c>
      <c r="K55" s="1" t="s">
        <v>2108</v>
      </c>
      <c r="L55" s="4">
        <f t="shared" si="1"/>
        <v>28</v>
      </c>
      <c r="M55" s="4">
        <f t="shared" si="2"/>
        <v>2026</v>
      </c>
    </row>
    <row r="56" spans="1:13" x14ac:dyDescent="0.25">
      <c r="A56" s="1" t="s">
        <v>378</v>
      </c>
      <c r="B56" s="1" t="str">
        <f t="shared" si="0"/>
        <v>ENC-150</v>
      </c>
      <c r="C56" s="1" t="s">
        <v>216</v>
      </c>
      <c r="D56" s="3">
        <v>20956</v>
      </c>
      <c r="E56" s="1" t="s">
        <v>35</v>
      </c>
      <c r="F56" s="1" t="s">
        <v>28</v>
      </c>
      <c r="G56" s="1" t="s">
        <v>1391</v>
      </c>
      <c r="H56" s="1" t="s">
        <v>1392</v>
      </c>
      <c r="I56" s="1" t="s">
        <v>2096</v>
      </c>
      <c r="J56" s="3">
        <v>46107</v>
      </c>
      <c r="K56" s="1" t="s">
        <v>2089</v>
      </c>
      <c r="L56" s="4">
        <f t="shared" si="1"/>
        <v>68</v>
      </c>
      <c r="M56" s="4">
        <f t="shared" si="2"/>
        <v>2026</v>
      </c>
    </row>
    <row r="57" spans="1:13" x14ac:dyDescent="0.25">
      <c r="A57" s="1" t="s">
        <v>948</v>
      </c>
      <c r="B57" s="1" t="str">
        <f t="shared" si="0"/>
        <v>ENC-428</v>
      </c>
      <c r="C57" s="1" t="s">
        <v>219</v>
      </c>
      <c r="D57" s="3">
        <v>32759</v>
      </c>
      <c r="E57" s="1" t="s">
        <v>35</v>
      </c>
      <c r="F57" s="1" t="s">
        <v>9</v>
      </c>
      <c r="G57" s="1" t="s">
        <v>1943</v>
      </c>
      <c r="H57" s="1" t="s">
        <v>1944</v>
      </c>
      <c r="I57" s="1" t="s">
        <v>2096</v>
      </c>
      <c r="J57" s="3">
        <v>46098</v>
      </c>
      <c r="K57" s="1" t="s">
        <v>2089</v>
      </c>
      <c r="L57" s="4">
        <f t="shared" si="1"/>
        <v>36</v>
      </c>
      <c r="M57" s="4">
        <f t="shared" si="2"/>
        <v>2026</v>
      </c>
    </row>
    <row r="58" spans="1:13" x14ac:dyDescent="0.25">
      <c r="A58" s="1" t="s">
        <v>950</v>
      </c>
      <c r="B58" s="1" t="str">
        <f t="shared" si="0"/>
        <v>ENC-429</v>
      </c>
      <c r="C58" s="1" t="s">
        <v>236</v>
      </c>
      <c r="D58" s="3">
        <v>29977</v>
      </c>
      <c r="E58" s="1" t="s">
        <v>35</v>
      </c>
      <c r="F58" s="1" t="s">
        <v>24</v>
      </c>
      <c r="G58" s="1" t="s">
        <v>1945</v>
      </c>
      <c r="H58" s="1" t="s">
        <v>1946</v>
      </c>
      <c r="I58" s="1" t="s">
        <v>2087</v>
      </c>
      <c r="J58" s="3">
        <v>46097</v>
      </c>
      <c r="K58" s="1" t="s">
        <v>2093</v>
      </c>
      <c r="L58" s="4">
        <f t="shared" si="1"/>
        <v>44</v>
      </c>
      <c r="M58" s="4">
        <f t="shared" si="2"/>
        <v>2026</v>
      </c>
    </row>
    <row r="59" spans="1:13" x14ac:dyDescent="0.25">
      <c r="A59" s="1" t="s">
        <v>808</v>
      </c>
      <c r="B59" s="1" t="str">
        <f t="shared" si="0"/>
        <v>ENC-359</v>
      </c>
      <c r="C59" s="1" t="s">
        <v>809</v>
      </c>
      <c r="D59" s="3">
        <v>14760</v>
      </c>
      <c r="E59" s="1" t="s">
        <v>35</v>
      </c>
      <c r="F59" s="1" t="s">
        <v>9</v>
      </c>
      <c r="G59" s="1" t="s">
        <v>1808</v>
      </c>
      <c r="H59" s="1" t="s">
        <v>1809</v>
      </c>
      <c r="I59" s="1" t="s">
        <v>2096</v>
      </c>
      <c r="J59" s="3">
        <v>46086</v>
      </c>
      <c r="K59" s="1" t="s">
        <v>2089</v>
      </c>
      <c r="L59" s="4">
        <f t="shared" si="1"/>
        <v>85</v>
      </c>
      <c r="M59" s="4">
        <f t="shared" si="2"/>
        <v>2026</v>
      </c>
    </row>
    <row r="60" spans="1:13" x14ac:dyDescent="0.25">
      <c r="A60" s="1" t="s">
        <v>312</v>
      </c>
      <c r="B60" s="1" t="str">
        <f t="shared" si="0"/>
        <v>ENC-120</v>
      </c>
      <c r="C60" s="1" t="s">
        <v>313</v>
      </c>
      <c r="D60" s="3">
        <v>24601</v>
      </c>
      <c r="E60" s="1" t="s">
        <v>8</v>
      </c>
      <c r="F60" s="1" t="s">
        <v>28</v>
      </c>
      <c r="G60" s="1" t="s">
        <v>1331</v>
      </c>
      <c r="H60" s="1" t="s">
        <v>1332</v>
      </c>
      <c r="I60" s="1" t="s">
        <v>2096</v>
      </c>
      <c r="J60" s="3">
        <v>46081</v>
      </c>
      <c r="K60" s="1" t="s">
        <v>2104</v>
      </c>
      <c r="L60" s="4">
        <f t="shared" si="1"/>
        <v>58</v>
      </c>
      <c r="M60" s="4">
        <f t="shared" si="2"/>
        <v>2026</v>
      </c>
    </row>
    <row r="61" spans="1:13" x14ac:dyDescent="0.25">
      <c r="A61" s="1" t="s">
        <v>877</v>
      </c>
      <c r="B61" s="1" t="str">
        <f t="shared" si="0"/>
        <v>ENC-393</v>
      </c>
      <c r="C61" s="1" t="s">
        <v>364</v>
      </c>
      <c r="D61" s="3">
        <v>28975</v>
      </c>
      <c r="E61" s="1" t="s">
        <v>52</v>
      </c>
      <c r="F61" s="1" t="s">
        <v>42</v>
      </c>
      <c r="G61" s="1" t="s">
        <v>1875</v>
      </c>
      <c r="H61" s="1" t="s">
        <v>1876</v>
      </c>
      <c r="I61" s="1" t="s">
        <v>2096</v>
      </c>
      <c r="J61" s="3">
        <v>46079</v>
      </c>
      <c r="K61" s="1" t="s">
        <v>2108</v>
      </c>
      <c r="L61" s="4">
        <f t="shared" si="1"/>
        <v>46</v>
      </c>
      <c r="M61" s="4">
        <f t="shared" si="2"/>
        <v>2026</v>
      </c>
    </row>
    <row r="62" spans="1:13" x14ac:dyDescent="0.25">
      <c r="A62" s="1" t="s">
        <v>1089</v>
      </c>
      <c r="B62" s="1" t="str">
        <f t="shared" si="0"/>
        <v>ENC-499</v>
      </c>
      <c r="C62" s="1" t="s">
        <v>251</v>
      </c>
      <c r="D62" s="3">
        <v>25117</v>
      </c>
      <c r="E62" s="1" t="s">
        <v>35</v>
      </c>
      <c r="F62" s="1" t="s">
        <v>9</v>
      </c>
      <c r="G62" s="1" t="s">
        <v>2076</v>
      </c>
      <c r="H62" s="1" t="s">
        <v>2077</v>
      </c>
      <c r="I62" s="1" t="s">
        <v>2096</v>
      </c>
      <c r="J62" s="3">
        <v>46073</v>
      </c>
      <c r="K62" s="1" t="s">
        <v>2089</v>
      </c>
      <c r="L62" s="4">
        <f t="shared" si="1"/>
        <v>57</v>
      </c>
      <c r="M62" s="4">
        <f t="shared" si="2"/>
        <v>2026</v>
      </c>
    </row>
    <row r="63" spans="1:13" x14ac:dyDescent="0.25">
      <c r="A63" s="1" t="s">
        <v>553</v>
      </c>
      <c r="B63" s="1" t="str">
        <f t="shared" si="0"/>
        <v>ENC-233</v>
      </c>
      <c r="C63" s="1" t="s">
        <v>219</v>
      </c>
      <c r="D63" s="3">
        <v>19931</v>
      </c>
      <c r="E63" s="1" t="s">
        <v>35</v>
      </c>
      <c r="F63" s="1" t="s">
        <v>56</v>
      </c>
      <c r="G63" s="1" t="s">
        <v>1557</v>
      </c>
      <c r="H63" s="1" t="s">
        <v>1558</v>
      </c>
      <c r="I63" s="1" t="s">
        <v>2096</v>
      </c>
      <c r="J63" s="3">
        <v>46070</v>
      </c>
      <c r="K63" s="1" t="s">
        <v>2093</v>
      </c>
      <c r="L63" s="4">
        <f t="shared" si="1"/>
        <v>71</v>
      </c>
      <c r="M63" s="4">
        <f t="shared" si="2"/>
        <v>2026</v>
      </c>
    </row>
    <row r="64" spans="1:13" x14ac:dyDescent="0.25">
      <c r="A64" s="1" t="s">
        <v>612</v>
      </c>
      <c r="B64" s="1" t="str">
        <f t="shared" si="0"/>
        <v>ENC-261</v>
      </c>
      <c r="C64" s="1" t="s">
        <v>119</v>
      </c>
      <c r="D64" s="3">
        <v>32192</v>
      </c>
      <c r="E64" s="1" t="s">
        <v>35</v>
      </c>
      <c r="F64" s="1" t="s">
        <v>20</v>
      </c>
      <c r="G64" s="1" t="s">
        <v>1612</v>
      </c>
      <c r="H64" s="1" t="s">
        <v>1613</v>
      </c>
      <c r="I64" s="1" t="s">
        <v>2096</v>
      </c>
      <c r="J64" s="3">
        <v>46068</v>
      </c>
      <c r="K64" s="1" t="s">
        <v>2093</v>
      </c>
      <c r="L64" s="4">
        <f t="shared" si="1"/>
        <v>37</v>
      </c>
      <c r="M64" s="4">
        <f t="shared" si="2"/>
        <v>2026</v>
      </c>
    </row>
    <row r="65" spans="1:13" x14ac:dyDescent="0.25">
      <c r="A65" s="1" t="s">
        <v>403</v>
      </c>
      <c r="B65" s="1" t="str">
        <f t="shared" si="0"/>
        <v>ENC-161</v>
      </c>
      <c r="C65" s="1" t="s">
        <v>90</v>
      </c>
      <c r="D65" s="3">
        <v>34917</v>
      </c>
      <c r="E65" s="1" t="s">
        <v>35</v>
      </c>
      <c r="F65" s="1" t="s">
        <v>13</v>
      </c>
      <c r="G65" s="1" t="s">
        <v>1413</v>
      </c>
      <c r="H65" s="1" t="s">
        <v>1414</v>
      </c>
      <c r="I65" s="1" t="s">
        <v>2096</v>
      </c>
      <c r="J65" s="3">
        <v>46061</v>
      </c>
      <c r="K65" s="1" t="s">
        <v>2108</v>
      </c>
      <c r="L65" s="4">
        <f t="shared" si="1"/>
        <v>30</v>
      </c>
      <c r="M65" s="4">
        <f t="shared" si="2"/>
        <v>2026</v>
      </c>
    </row>
    <row r="66" spans="1:13" x14ac:dyDescent="0.25">
      <c r="A66" s="1" t="s">
        <v>746</v>
      </c>
      <c r="B66" s="1" t="str">
        <f t="shared" ref="B66:B129" si="3">"ENC-"&amp;(VALUE(RIGHT(A66,4))-1000)</f>
        <v>ENC-328</v>
      </c>
      <c r="C66" s="1" t="s">
        <v>124</v>
      </c>
      <c r="D66" s="3">
        <v>37948</v>
      </c>
      <c r="E66" s="1" t="s">
        <v>35</v>
      </c>
      <c r="F66" s="1" t="s">
        <v>9</v>
      </c>
      <c r="G66" s="1" t="s">
        <v>1746</v>
      </c>
      <c r="H66" s="1" t="s">
        <v>1747</v>
      </c>
      <c r="I66" s="1" t="s">
        <v>2087</v>
      </c>
      <c r="J66" s="3">
        <v>46055</v>
      </c>
      <c r="K66" s="1" t="s">
        <v>2089</v>
      </c>
      <c r="L66" s="4">
        <f t="shared" ref="L66:L129" si="4">DATEDIF(D66,J66,"Y")</f>
        <v>22</v>
      </c>
      <c r="M66" s="4">
        <f t="shared" ref="M66:M129" si="5">YEAR(J66)</f>
        <v>2026</v>
      </c>
    </row>
    <row r="67" spans="1:13" x14ac:dyDescent="0.25">
      <c r="A67" s="1" t="s">
        <v>616</v>
      </c>
      <c r="B67" s="1" t="str">
        <f t="shared" si="3"/>
        <v>ENC-263</v>
      </c>
      <c r="C67" s="1" t="s">
        <v>90</v>
      </c>
      <c r="D67" s="3">
        <v>20475</v>
      </c>
      <c r="E67" s="1" t="s">
        <v>35</v>
      </c>
      <c r="F67" s="1" t="s">
        <v>42</v>
      </c>
      <c r="G67" s="1" t="s">
        <v>1616</v>
      </c>
      <c r="H67" s="1" t="s">
        <v>1617</v>
      </c>
      <c r="I67" s="1" t="s">
        <v>2087</v>
      </c>
      <c r="J67" s="3">
        <v>46054</v>
      </c>
      <c r="K67" s="1" t="s">
        <v>2104</v>
      </c>
      <c r="L67" s="4">
        <f t="shared" si="4"/>
        <v>70</v>
      </c>
      <c r="M67" s="4">
        <f t="shared" si="5"/>
        <v>2026</v>
      </c>
    </row>
    <row r="68" spans="1:13" x14ac:dyDescent="0.25">
      <c r="A68" s="1" t="s">
        <v>594</v>
      </c>
      <c r="B68" s="1" t="str">
        <f t="shared" si="3"/>
        <v>ENC-253</v>
      </c>
      <c r="C68" s="1" t="s">
        <v>239</v>
      </c>
      <c r="D68" s="3">
        <v>23839</v>
      </c>
      <c r="E68" s="1" t="s">
        <v>52</v>
      </c>
      <c r="F68" s="1" t="s">
        <v>20</v>
      </c>
      <c r="G68" s="1" t="s">
        <v>1596</v>
      </c>
      <c r="H68" s="1" t="s">
        <v>1597</v>
      </c>
      <c r="I68" s="1" t="s">
        <v>2087</v>
      </c>
      <c r="J68" s="3">
        <v>46043</v>
      </c>
      <c r="K68" s="1" t="s">
        <v>2108</v>
      </c>
      <c r="L68" s="4">
        <f t="shared" si="4"/>
        <v>60</v>
      </c>
      <c r="M68" s="4">
        <f t="shared" si="5"/>
        <v>2026</v>
      </c>
    </row>
    <row r="69" spans="1:13" x14ac:dyDescent="0.25">
      <c r="A69" s="1" t="s">
        <v>1065</v>
      </c>
      <c r="B69" s="1" t="str">
        <f t="shared" si="3"/>
        <v>ENC-487</v>
      </c>
      <c r="C69" s="1" t="s">
        <v>84</v>
      </c>
      <c r="D69" s="3">
        <v>21422</v>
      </c>
      <c r="E69" s="1" t="s">
        <v>52</v>
      </c>
      <c r="F69" s="1" t="s">
        <v>28</v>
      </c>
      <c r="G69" s="1" t="s">
        <v>2055</v>
      </c>
      <c r="H69" s="1" t="s">
        <v>2056</v>
      </c>
      <c r="I69" s="1" t="s">
        <v>2087</v>
      </c>
      <c r="J69" s="3">
        <v>46037</v>
      </c>
      <c r="K69" s="1" t="s">
        <v>2089</v>
      </c>
      <c r="L69" s="4">
        <f t="shared" si="4"/>
        <v>67</v>
      </c>
      <c r="M69" s="4">
        <f t="shared" si="5"/>
        <v>2026</v>
      </c>
    </row>
    <row r="70" spans="1:13" x14ac:dyDescent="0.25">
      <c r="A70" s="1" t="s">
        <v>1073</v>
      </c>
      <c r="B70" s="1" t="str">
        <f t="shared" si="3"/>
        <v>ENC-491</v>
      </c>
      <c r="C70" s="1" t="s">
        <v>523</v>
      </c>
      <c r="D70" s="3">
        <v>22717</v>
      </c>
      <c r="E70" s="1" t="s">
        <v>52</v>
      </c>
      <c r="F70" s="1" t="s">
        <v>24</v>
      </c>
      <c r="G70" s="1" t="s">
        <v>1847</v>
      </c>
      <c r="H70" s="1" t="s">
        <v>2063</v>
      </c>
      <c r="I70" s="1" t="s">
        <v>2096</v>
      </c>
      <c r="J70" s="3">
        <v>46030</v>
      </c>
      <c r="K70" s="1" t="s">
        <v>2104</v>
      </c>
      <c r="L70" s="4">
        <f t="shared" si="4"/>
        <v>63</v>
      </c>
      <c r="M70" s="4">
        <f t="shared" si="5"/>
        <v>2026</v>
      </c>
    </row>
    <row r="71" spans="1:13" x14ac:dyDescent="0.25">
      <c r="A71" s="1" t="s">
        <v>917</v>
      </c>
      <c r="B71" s="1" t="str">
        <f t="shared" si="3"/>
        <v>ENC-413</v>
      </c>
      <c r="C71" s="1" t="s">
        <v>359</v>
      </c>
      <c r="D71" s="3">
        <v>21066</v>
      </c>
      <c r="E71" s="1" t="s">
        <v>52</v>
      </c>
      <c r="F71" s="1" t="s">
        <v>56</v>
      </c>
      <c r="G71" s="1" t="s">
        <v>1914</v>
      </c>
      <c r="H71" s="1" t="s">
        <v>1915</v>
      </c>
      <c r="I71" s="1" t="s">
        <v>2087</v>
      </c>
      <c r="J71" s="3">
        <v>46027</v>
      </c>
      <c r="K71" s="1" t="s">
        <v>2104</v>
      </c>
      <c r="L71" s="4">
        <f t="shared" si="4"/>
        <v>68</v>
      </c>
      <c r="M71" s="4">
        <f t="shared" si="5"/>
        <v>2026</v>
      </c>
    </row>
    <row r="72" spans="1:13" x14ac:dyDescent="0.25">
      <c r="A72" s="1" t="s">
        <v>873</v>
      </c>
      <c r="B72" s="1" t="str">
        <f t="shared" si="3"/>
        <v>ENC-391</v>
      </c>
      <c r="C72" s="1" t="s">
        <v>87</v>
      </c>
      <c r="D72" s="3">
        <v>15435</v>
      </c>
      <c r="E72" s="1" t="s">
        <v>52</v>
      </c>
      <c r="F72" s="1" t="s">
        <v>24</v>
      </c>
      <c r="G72" s="1" t="s">
        <v>1871</v>
      </c>
      <c r="H72" s="1" t="s">
        <v>1872</v>
      </c>
      <c r="I72" s="1" t="s">
        <v>2087</v>
      </c>
      <c r="J72" s="3">
        <v>46023</v>
      </c>
      <c r="K72" s="1" t="s">
        <v>2108</v>
      </c>
      <c r="L72" s="4">
        <f t="shared" si="4"/>
        <v>83</v>
      </c>
      <c r="M72" s="4">
        <f t="shared" si="5"/>
        <v>2026</v>
      </c>
    </row>
    <row r="73" spans="1:13" x14ac:dyDescent="0.25">
      <c r="A73" s="1" t="s">
        <v>660</v>
      </c>
      <c r="B73" s="1" t="str">
        <f t="shared" si="3"/>
        <v>ENC-285</v>
      </c>
      <c r="C73" s="1" t="s">
        <v>61</v>
      </c>
      <c r="D73" s="3">
        <v>32317</v>
      </c>
      <c r="E73" s="1" t="s">
        <v>52</v>
      </c>
      <c r="F73" s="1" t="s">
        <v>42</v>
      </c>
      <c r="G73" s="1" t="s">
        <v>1660</v>
      </c>
      <c r="H73" s="1" t="s">
        <v>1661</v>
      </c>
      <c r="I73" s="1" t="s">
        <v>2096</v>
      </c>
      <c r="J73" s="3">
        <v>46020</v>
      </c>
      <c r="K73" s="1" t="s">
        <v>2089</v>
      </c>
      <c r="L73" s="4">
        <f t="shared" si="4"/>
        <v>37</v>
      </c>
      <c r="M73" s="4">
        <f t="shared" si="5"/>
        <v>2025</v>
      </c>
    </row>
    <row r="74" spans="1:13" x14ac:dyDescent="0.25">
      <c r="A74" s="1" t="s">
        <v>104</v>
      </c>
      <c r="B74" s="1" t="str">
        <f t="shared" si="3"/>
        <v>ENC-32</v>
      </c>
      <c r="C74" s="1" t="s">
        <v>47</v>
      </c>
      <c r="D74" s="3">
        <v>20259</v>
      </c>
      <c r="E74" s="1" t="s">
        <v>8</v>
      </c>
      <c r="F74" s="1" t="s">
        <v>24</v>
      </c>
      <c r="G74" s="1" t="s">
        <v>1157</v>
      </c>
      <c r="H74" s="1" t="s">
        <v>1158</v>
      </c>
      <c r="I74" s="1" t="s">
        <v>2096</v>
      </c>
      <c r="J74" s="3">
        <v>46016</v>
      </c>
      <c r="K74" s="1" t="s">
        <v>2093</v>
      </c>
      <c r="L74" s="4">
        <f t="shared" si="4"/>
        <v>70</v>
      </c>
      <c r="M74" s="4">
        <f t="shared" si="5"/>
        <v>2025</v>
      </c>
    </row>
    <row r="75" spans="1:13" x14ac:dyDescent="0.25">
      <c r="A75" s="1" t="s">
        <v>326</v>
      </c>
      <c r="B75" s="1" t="str">
        <f t="shared" si="3"/>
        <v>ENC-126</v>
      </c>
      <c r="C75" s="1" t="s">
        <v>44</v>
      </c>
      <c r="D75" s="3">
        <v>26178</v>
      </c>
      <c r="E75" s="1" t="s">
        <v>8</v>
      </c>
      <c r="F75" s="1" t="s">
        <v>13</v>
      </c>
      <c r="G75" s="1" t="s">
        <v>1343</v>
      </c>
      <c r="H75" s="1" t="s">
        <v>1344</v>
      </c>
      <c r="I75" s="1" t="s">
        <v>2096</v>
      </c>
      <c r="J75" s="3">
        <v>46008</v>
      </c>
      <c r="K75" s="1" t="s">
        <v>2089</v>
      </c>
      <c r="L75" s="4">
        <f t="shared" si="4"/>
        <v>54</v>
      </c>
      <c r="M75" s="4">
        <f t="shared" si="5"/>
        <v>2025</v>
      </c>
    </row>
    <row r="76" spans="1:13" x14ac:dyDescent="0.25">
      <c r="A76" s="1" t="s">
        <v>942</v>
      </c>
      <c r="B76" s="1" t="str">
        <f t="shared" si="3"/>
        <v>ENC-425</v>
      </c>
      <c r="C76" s="1" t="s">
        <v>313</v>
      </c>
      <c r="D76" s="3">
        <v>19073</v>
      </c>
      <c r="E76" s="1" t="s">
        <v>52</v>
      </c>
      <c r="F76" s="1" t="s">
        <v>42</v>
      </c>
      <c r="G76" s="1" t="s">
        <v>1937</v>
      </c>
      <c r="H76" s="1" t="s">
        <v>1938</v>
      </c>
      <c r="I76" s="1" t="s">
        <v>2087</v>
      </c>
      <c r="J76" s="3">
        <v>46008</v>
      </c>
      <c r="K76" s="1" t="s">
        <v>2093</v>
      </c>
      <c r="L76" s="4">
        <f t="shared" si="4"/>
        <v>73</v>
      </c>
      <c r="M76" s="4">
        <f t="shared" si="5"/>
        <v>2025</v>
      </c>
    </row>
    <row r="77" spans="1:13" x14ac:dyDescent="0.25">
      <c r="A77" s="1" t="s">
        <v>543</v>
      </c>
      <c r="B77" s="1" t="str">
        <f t="shared" si="3"/>
        <v>ENC-228</v>
      </c>
      <c r="C77" s="1" t="s">
        <v>47</v>
      </c>
      <c r="D77" s="3">
        <v>26032</v>
      </c>
      <c r="E77" s="1" t="s">
        <v>52</v>
      </c>
      <c r="F77" s="1" t="s">
        <v>28</v>
      </c>
      <c r="G77" s="1" t="s">
        <v>1547</v>
      </c>
      <c r="H77" s="1" t="s">
        <v>1548</v>
      </c>
      <c r="I77" s="1" t="s">
        <v>2087</v>
      </c>
      <c r="J77" s="3">
        <v>46007</v>
      </c>
      <c r="K77" s="1" t="s">
        <v>2089</v>
      </c>
      <c r="L77" s="4">
        <f t="shared" si="4"/>
        <v>54</v>
      </c>
      <c r="M77" s="4">
        <f t="shared" si="5"/>
        <v>2025</v>
      </c>
    </row>
    <row r="78" spans="1:13" x14ac:dyDescent="0.25">
      <c r="A78" s="1" t="s">
        <v>718</v>
      </c>
      <c r="B78" s="1" t="str">
        <f t="shared" si="3"/>
        <v>ENC-314</v>
      </c>
      <c r="C78" s="1" t="s">
        <v>6</v>
      </c>
      <c r="D78" s="3">
        <v>16800</v>
      </c>
      <c r="E78" s="1" t="s">
        <v>35</v>
      </c>
      <c r="F78" s="1" t="s">
        <v>16</v>
      </c>
      <c r="G78" s="1" t="s">
        <v>1718</v>
      </c>
      <c r="H78" s="1" t="s">
        <v>1719</v>
      </c>
      <c r="I78" s="1" t="s">
        <v>2087</v>
      </c>
      <c r="J78" s="3">
        <v>46007</v>
      </c>
      <c r="K78" s="1" t="s">
        <v>2093</v>
      </c>
      <c r="L78" s="4">
        <f t="shared" si="4"/>
        <v>79</v>
      </c>
      <c r="M78" s="4">
        <f t="shared" si="5"/>
        <v>2025</v>
      </c>
    </row>
    <row r="79" spans="1:13" x14ac:dyDescent="0.25">
      <c r="A79" s="1" t="s">
        <v>610</v>
      </c>
      <c r="B79" s="1" t="str">
        <f t="shared" si="3"/>
        <v>ENC-260</v>
      </c>
      <c r="C79" s="1" t="s">
        <v>102</v>
      </c>
      <c r="D79" s="3">
        <v>34229</v>
      </c>
      <c r="E79" s="1" t="s">
        <v>52</v>
      </c>
      <c r="F79" s="1" t="s">
        <v>16</v>
      </c>
      <c r="G79" s="1" t="s">
        <v>1610</v>
      </c>
      <c r="H79" s="1" t="s">
        <v>1611</v>
      </c>
      <c r="I79" s="1" t="s">
        <v>2087</v>
      </c>
      <c r="J79" s="3">
        <v>46006</v>
      </c>
      <c r="K79" s="1" t="s">
        <v>2104</v>
      </c>
      <c r="L79" s="4">
        <f t="shared" si="4"/>
        <v>32</v>
      </c>
      <c r="M79" s="4">
        <f t="shared" si="5"/>
        <v>2025</v>
      </c>
    </row>
    <row r="80" spans="1:13" x14ac:dyDescent="0.25">
      <c r="A80" s="1" t="s">
        <v>106</v>
      </c>
      <c r="B80" s="1" t="str">
        <f t="shared" si="3"/>
        <v>ENC-33</v>
      </c>
      <c r="C80" s="1" t="s">
        <v>50</v>
      </c>
      <c r="D80" s="3">
        <v>36983</v>
      </c>
      <c r="E80" s="1" t="s">
        <v>8</v>
      </c>
      <c r="F80" s="1" t="s">
        <v>13</v>
      </c>
      <c r="G80" s="1" t="s">
        <v>1153</v>
      </c>
      <c r="H80" s="1" t="s">
        <v>1159</v>
      </c>
      <c r="I80" s="1" t="s">
        <v>2096</v>
      </c>
      <c r="J80" s="3">
        <v>45997</v>
      </c>
      <c r="K80" s="1" t="s">
        <v>2104</v>
      </c>
      <c r="L80" s="4">
        <f t="shared" si="4"/>
        <v>24</v>
      </c>
      <c r="M80" s="4">
        <f t="shared" si="5"/>
        <v>2025</v>
      </c>
    </row>
    <row r="81" spans="1:13" x14ac:dyDescent="0.25">
      <c r="A81" s="1" t="s">
        <v>69</v>
      </c>
      <c r="B81" s="1" t="str">
        <f t="shared" si="3"/>
        <v>ENC-19</v>
      </c>
      <c r="C81" s="1" t="s">
        <v>70</v>
      </c>
      <c r="D81" s="3">
        <v>39706</v>
      </c>
      <c r="E81" s="1" t="s">
        <v>52</v>
      </c>
      <c r="F81" s="1" t="s">
        <v>9</v>
      </c>
      <c r="G81" s="1" t="s">
        <v>1131</v>
      </c>
      <c r="H81" s="1" t="s">
        <v>1132</v>
      </c>
      <c r="I81" s="1" t="s">
        <v>2087</v>
      </c>
      <c r="J81" s="3">
        <v>45995</v>
      </c>
      <c r="K81" s="1" t="s">
        <v>2093</v>
      </c>
      <c r="L81" s="4">
        <f t="shared" si="4"/>
        <v>17</v>
      </c>
      <c r="M81" s="4">
        <f t="shared" si="5"/>
        <v>2025</v>
      </c>
    </row>
    <row r="82" spans="1:13" x14ac:dyDescent="0.25">
      <c r="A82" s="1" t="s">
        <v>714</v>
      </c>
      <c r="B82" s="1" t="str">
        <f t="shared" si="3"/>
        <v>ENC-312</v>
      </c>
      <c r="C82" s="1" t="s">
        <v>523</v>
      </c>
      <c r="D82" s="3">
        <v>17062</v>
      </c>
      <c r="E82" s="1" t="s">
        <v>52</v>
      </c>
      <c r="F82" s="1" t="s">
        <v>56</v>
      </c>
      <c r="G82" s="1" t="s">
        <v>1714</v>
      </c>
      <c r="H82" s="1" t="s">
        <v>1715</v>
      </c>
      <c r="I82" s="1" t="s">
        <v>2096</v>
      </c>
      <c r="J82" s="3">
        <v>45995</v>
      </c>
      <c r="K82" s="1" t="s">
        <v>2104</v>
      </c>
      <c r="L82" s="4">
        <f t="shared" si="4"/>
        <v>79</v>
      </c>
      <c r="M82" s="4">
        <f t="shared" si="5"/>
        <v>2025</v>
      </c>
    </row>
    <row r="83" spans="1:13" x14ac:dyDescent="0.25">
      <c r="A83" s="1" t="s">
        <v>726</v>
      </c>
      <c r="B83" s="1" t="str">
        <f t="shared" si="3"/>
        <v>ENC-318</v>
      </c>
      <c r="C83" s="1" t="s">
        <v>61</v>
      </c>
      <c r="D83" s="3">
        <v>29000</v>
      </c>
      <c r="E83" s="1" t="s">
        <v>52</v>
      </c>
      <c r="F83" s="1" t="s">
        <v>20</v>
      </c>
      <c r="G83" s="1" t="s">
        <v>1726</v>
      </c>
      <c r="H83" s="1" t="s">
        <v>1727</v>
      </c>
      <c r="I83" s="1" t="s">
        <v>2096</v>
      </c>
      <c r="J83" s="3">
        <v>45992</v>
      </c>
      <c r="K83" s="1" t="s">
        <v>2104</v>
      </c>
      <c r="L83" s="4">
        <f t="shared" si="4"/>
        <v>46</v>
      </c>
      <c r="M83" s="4">
        <f t="shared" si="5"/>
        <v>2025</v>
      </c>
    </row>
    <row r="84" spans="1:13" x14ac:dyDescent="0.25">
      <c r="A84" s="1" t="s">
        <v>340</v>
      </c>
      <c r="B84" s="1" t="str">
        <f t="shared" si="3"/>
        <v>ENC-133</v>
      </c>
      <c r="C84" s="1" t="s">
        <v>341</v>
      </c>
      <c r="D84" s="3">
        <v>25187</v>
      </c>
      <c r="E84" s="1" t="s">
        <v>8</v>
      </c>
      <c r="F84" s="1" t="s">
        <v>56</v>
      </c>
      <c r="G84" s="1" t="s">
        <v>1357</v>
      </c>
      <c r="H84" s="1" t="s">
        <v>1358</v>
      </c>
      <c r="I84" s="1" t="s">
        <v>2096</v>
      </c>
      <c r="J84" s="3">
        <v>45987</v>
      </c>
      <c r="K84" s="1" t="s">
        <v>2104</v>
      </c>
      <c r="L84" s="4">
        <f t="shared" si="4"/>
        <v>56</v>
      </c>
      <c r="M84" s="4">
        <f t="shared" si="5"/>
        <v>2025</v>
      </c>
    </row>
    <row r="85" spans="1:13" x14ac:dyDescent="0.25">
      <c r="A85" s="1" t="s">
        <v>159</v>
      </c>
      <c r="B85" s="1" t="str">
        <f t="shared" si="3"/>
        <v>ENC-54</v>
      </c>
      <c r="C85" s="1" t="s">
        <v>160</v>
      </c>
      <c r="D85" s="3">
        <v>23290</v>
      </c>
      <c r="E85" s="1" t="s">
        <v>52</v>
      </c>
      <c r="F85" s="1" t="s">
        <v>9</v>
      </c>
      <c r="G85" s="1" t="s">
        <v>1200</v>
      </c>
      <c r="H85" s="1" t="s">
        <v>1201</v>
      </c>
      <c r="I85" s="1" t="s">
        <v>2096</v>
      </c>
      <c r="J85" s="3">
        <v>45983</v>
      </c>
      <c r="K85" s="1" t="s">
        <v>2104</v>
      </c>
      <c r="L85" s="4">
        <f t="shared" si="4"/>
        <v>62</v>
      </c>
      <c r="M85" s="4">
        <f t="shared" si="5"/>
        <v>2025</v>
      </c>
    </row>
    <row r="86" spans="1:13" x14ac:dyDescent="0.25">
      <c r="A86" s="1" t="s">
        <v>1019</v>
      </c>
      <c r="B86" s="1" t="str">
        <f t="shared" si="3"/>
        <v>ENC-464</v>
      </c>
      <c r="C86" s="1" t="s">
        <v>93</v>
      </c>
      <c r="D86" s="3">
        <v>28432</v>
      </c>
      <c r="E86" s="1" t="s">
        <v>35</v>
      </c>
      <c r="F86" s="1" t="s">
        <v>16</v>
      </c>
      <c r="G86" s="1" t="s">
        <v>2012</v>
      </c>
      <c r="H86" s="1" t="s">
        <v>2013</v>
      </c>
      <c r="I86" s="1" t="s">
        <v>2087</v>
      </c>
      <c r="J86" s="3">
        <v>45979</v>
      </c>
      <c r="K86" s="1" t="s">
        <v>2104</v>
      </c>
      <c r="L86" s="4">
        <f t="shared" si="4"/>
        <v>48</v>
      </c>
      <c r="M86" s="4">
        <f t="shared" si="5"/>
        <v>2025</v>
      </c>
    </row>
    <row r="87" spans="1:13" x14ac:dyDescent="0.25">
      <c r="A87" s="1" t="s">
        <v>863</v>
      </c>
      <c r="B87" s="1" t="str">
        <f t="shared" si="3"/>
        <v>ENC-386</v>
      </c>
      <c r="C87" s="1" t="s">
        <v>58</v>
      </c>
      <c r="D87" s="3">
        <v>23747</v>
      </c>
      <c r="E87" s="1" t="s">
        <v>8</v>
      </c>
      <c r="F87" s="1" t="s">
        <v>13</v>
      </c>
      <c r="G87" s="1" t="s">
        <v>1861</v>
      </c>
      <c r="H87" s="1" t="s">
        <v>1862</v>
      </c>
      <c r="I87" s="1" t="s">
        <v>2096</v>
      </c>
      <c r="J87" s="3">
        <v>45978</v>
      </c>
      <c r="K87" s="1" t="s">
        <v>2093</v>
      </c>
      <c r="L87" s="4">
        <f t="shared" si="4"/>
        <v>60</v>
      </c>
      <c r="M87" s="4">
        <f t="shared" si="5"/>
        <v>2025</v>
      </c>
    </row>
    <row r="88" spans="1:13" x14ac:dyDescent="0.25">
      <c r="A88" s="1" t="s">
        <v>238</v>
      </c>
      <c r="B88" s="1" t="str">
        <f t="shared" si="3"/>
        <v>ENC-87</v>
      </c>
      <c r="C88" s="1" t="s">
        <v>239</v>
      </c>
      <c r="D88" s="3">
        <v>24092</v>
      </c>
      <c r="E88" s="1" t="s">
        <v>8</v>
      </c>
      <c r="F88" s="1" t="s">
        <v>28</v>
      </c>
      <c r="G88" s="1" t="s">
        <v>1266</v>
      </c>
      <c r="H88" s="1" t="s">
        <v>1267</v>
      </c>
      <c r="I88" s="1" t="s">
        <v>2096</v>
      </c>
      <c r="J88" s="3">
        <v>45975</v>
      </c>
      <c r="K88" s="1" t="s">
        <v>2089</v>
      </c>
      <c r="L88" s="4">
        <f t="shared" si="4"/>
        <v>59</v>
      </c>
      <c r="M88" s="4">
        <f t="shared" si="5"/>
        <v>2025</v>
      </c>
    </row>
    <row r="89" spans="1:13" x14ac:dyDescent="0.25">
      <c r="A89" s="1" t="s">
        <v>126</v>
      </c>
      <c r="B89" s="1" t="str">
        <f t="shared" si="3"/>
        <v>ENC-41</v>
      </c>
      <c r="C89" s="1" t="s">
        <v>119</v>
      </c>
      <c r="D89" s="3">
        <v>31101</v>
      </c>
      <c r="E89" s="1" t="s">
        <v>8</v>
      </c>
      <c r="F89" s="1" t="s">
        <v>24</v>
      </c>
      <c r="G89" s="1" t="s">
        <v>1174</v>
      </c>
      <c r="H89" s="1" t="s">
        <v>1175</v>
      </c>
      <c r="I89" s="1" t="s">
        <v>2096</v>
      </c>
      <c r="J89" s="3">
        <v>45970</v>
      </c>
      <c r="K89" s="1" t="s">
        <v>2108</v>
      </c>
      <c r="L89" s="4">
        <f t="shared" si="4"/>
        <v>40</v>
      </c>
      <c r="M89" s="4">
        <f t="shared" si="5"/>
        <v>2025</v>
      </c>
    </row>
    <row r="90" spans="1:13" x14ac:dyDescent="0.25">
      <c r="A90" s="1" t="s">
        <v>233</v>
      </c>
      <c r="B90" s="1" t="str">
        <f t="shared" si="3"/>
        <v>ENC-85</v>
      </c>
      <c r="C90" s="1" t="s">
        <v>198</v>
      </c>
      <c r="D90" s="3">
        <v>23679</v>
      </c>
      <c r="E90" s="1" t="s">
        <v>52</v>
      </c>
      <c r="F90" s="1" t="s">
        <v>20</v>
      </c>
      <c r="G90" s="1" t="s">
        <v>1262</v>
      </c>
      <c r="H90" s="1" t="s">
        <v>1263</v>
      </c>
      <c r="I90" s="1" t="s">
        <v>2096</v>
      </c>
      <c r="J90" s="3">
        <v>45970</v>
      </c>
      <c r="K90" s="1" t="s">
        <v>2104</v>
      </c>
      <c r="L90" s="4">
        <f t="shared" si="4"/>
        <v>61</v>
      </c>
      <c r="M90" s="4">
        <f t="shared" si="5"/>
        <v>2025</v>
      </c>
    </row>
    <row r="91" spans="1:13" x14ac:dyDescent="0.25">
      <c r="A91" s="1" t="s">
        <v>409</v>
      </c>
      <c r="B91" s="1" t="str">
        <f t="shared" si="3"/>
        <v>ENC-164</v>
      </c>
      <c r="C91" s="1" t="s">
        <v>152</v>
      </c>
      <c r="D91" s="3">
        <v>34544</v>
      </c>
      <c r="E91" s="1" t="s">
        <v>8</v>
      </c>
      <c r="F91" s="1" t="s">
        <v>9</v>
      </c>
      <c r="G91" s="1" t="s">
        <v>1419</v>
      </c>
      <c r="H91" s="1" t="s">
        <v>1420</v>
      </c>
      <c r="I91" s="1" t="s">
        <v>2096</v>
      </c>
      <c r="J91" s="3">
        <v>45967</v>
      </c>
      <c r="K91" s="1" t="s">
        <v>2089</v>
      </c>
      <c r="L91" s="4">
        <f t="shared" si="4"/>
        <v>31</v>
      </c>
      <c r="M91" s="4">
        <f t="shared" si="5"/>
        <v>2025</v>
      </c>
    </row>
    <row r="92" spans="1:13" x14ac:dyDescent="0.25">
      <c r="A92" s="1" t="s">
        <v>930</v>
      </c>
      <c r="B92" s="1" t="str">
        <f t="shared" si="3"/>
        <v>ENC-419</v>
      </c>
      <c r="C92" s="1" t="s">
        <v>263</v>
      </c>
      <c r="D92" s="3">
        <v>15794</v>
      </c>
      <c r="E92" s="1" t="s">
        <v>52</v>
      </c>
      <c r="F92" s="1" t="s">
        <v>42</v>
      </c>
      <c r="G92" s="1" t="s">
        <v>1926</v>
      </c>
      <c r="H92" s="1" t="s">
        <v>1927</v>
      </c>
      <c r="I92" s="1" t="s">
        <v>2087</v>
      </c>
      <c r="J92" s="3">
        <v>45963</v>
      </c>
      <c r="K92" s="1" t="s">
        <v>2089</v>
      </c>
      <c r="L92" s="4">
        <f t="shared" si="4"/>
        <v>82</v>
      </c>
      <c r="M92" s="4">
        <f t="shared" si="5"/>
        <v>2025</v>
      </c>
    </row>
    <row r="93" spans="1:13" x14ac:dyDescent="0.25">
      <c r="A93" s="1" t="s">
        <v>968</v>
      </c>
      <c r="B93" s="1" t="str">
        <f t="shared" si="3"/>
        <v>ENC-438</v>
      </c>
      <c r="C93" s="1" t="s">
        <v>809</v>
      </c>
      <c r="D93" s="3">
        <v>25608</v>
      </c>
      <c r="E93" s="1" t="s">
        <v>35</v>
      </c>
      <c r="F93" s="1" t="s">
        <v>24</v>
      </c>
      <c r="G93" s="1" t="s">
        <v>1962</v>
      </c>
      <c r="H93" s="1" t="s">
        <v>1963</v>
      </c>
      <c r="I93" s="1" t="s">
        <v>2096</v>
      </c>
      <c r="J93" s="3">
        <v>45963</v>
      </c>
      <c r="K93" s="1" t="s">
        <v>2093</v>
      </c>
      <c r="L93" s="4">
        <f t="shared" si="4"/>
        <v>55</v>
      </c>
      <c r="M93" s="4">
        <f t="shared" si="5"/>
        <v>2025</v>
      </c>
    </row>
    <row r="94" spans="1:13" x14ac:dyDescent="0.25">
      <c r="A94" s="1" t="s">
        <v>101</v>
      </c>
      <c r="B94" s="1" t="str">
        <f t="shared" si="3"/>
        <v>ENC-31</v>
      </c>
      <c r="C94" s="1" t="s">
        <v>102</v>
      </c>
      <c r="D94" s="3">
        <v>17412</v>
      </c>
      <c r="E94" s="1" t="s">
        <v>35</v>
      </c>
      <c r="F94" s="1" t="s">
        <v>20</v>
      </c>
      <c r="G94" s="1" t="s">
        <v>1155</v>
      </c>
      <c r="H94" s="1" t="s">
        <v>1156</v>
      </c>
      <c r="I94" s="1" t="s">
        <v>2096</v>
      </c>
      <c r="J94" s="3">
        <v>45961</v>
      </c>
      <c r="K94" s="1" t="s">
        <v>2104</v>
      </c>
      <c r="L94" s="4">
        <f t="shared" si="4"/>
        <v>78</v>
      </c>
      <c r="M94" s="4">
        <f t="shared" si="5"/>
        <v>2025</v>
      </c>
    </row>
    <row r="95" spans="1:13" x14ac:dyDescent="0.25">
      <c r="A95" s="1" t="s">
        <v>696</v>
      </c>
      <c r="B95" s="1" t="str">
        <f t="shared" si="3"/>
        <v>ENC-303</v>
      </c>
      <c r="C95" s="1" t="s">
        <v>73</v>
      </c>
      <c r="D95" s="3">
        <v>27705</v>
      </c>
      <c r="E95" s="1" t="s">
        <v>52</v>
      </c>
      <c r="F95" s="1" t="s">
        <v>16</v>
      </c>
      <c r="G95" s="1" t="s">
        <v>1696</v>
      </c>
      <c r="H95" s="1" t="s">
        <v>1697</v>
      </c>
      <c r="I95" s="1" t="s">
        <v>2096</v>
      </c>
      <c r="J95" s="3">
        <v>45961</v>
      </c>
      <c r="K95" s="1" t="s">
        <v>2093</v>
      </c>
      <c r="L95" s="4">
        <f t="shared" si="4"/>
        <v>49</v>
      </c>
      <c r="M95" s="4">
        <f t="shared" si="5"/>
        <v>2025</v>
      </c>
    </row>
    <row r="96" spans="1:13" x14ac:dyDescent="0.25">
      <c r="A96" s="1" t="s">
        <v>932</v>
      </c>
      <c r="B96" s="1" t="str">
        <f t="shared" si="3"/>
        <v>ENC-420</v>
      </c>
      <c r="C96" s="1" t="s">
        <v>597</v>
      </c>
      <c r="D96" s="3">
        <v>30310</v>
      </c>
      <c r="E96" s="1" t="s">
        <v>35</v>
      </c>
      <c r="F96" s="1" t="s">
        <v>56</v>
      </c>
      <c r="G96" s="1" t="s">
        <v>1928</v>
      </c>
      <c r="H96" s="1" t="s">
        <v>1929</v>
      </c>
      <c r="I96" s="1" t="s">
        <v>2087</v>
      </c>
      <c r="J96" s="3">
        <v>45955</v>
      </c>
      <c r="K96" s="1" t="s">
        <v>2089</v>
      </c>
      <c r="L96" s="4">
        <f t="shared" si="4"/>
        <v>42</v>
      </c>
      <c r="M96" s="4">
        <f t="shared" si="5"/>
        <v>2025</v>
      </c>
    </row>
    <row r="97" spans="1:13" x14ac:dyDescent="0.25">
      <c r="A97" s="1" t="s">
        <v>742</v>
      </c>
      <c r="B97" s="1" t="str">
        <f t="shared" si="3"/>
        <v>ENC-326</v>
      </c>
      <c r="C97" s="1" t="s">
        <v>93</v>
      </c>
      <c r="D97" s="3">
        <v>25125</v>
      </c>
      <c r="E97" s="1" t="s">
        <v>8</v>
      </c>
      <c r="F97" s="1" t="s">
        <v>20</v>
      </c>
      <c r="G97" s="1" t="s">
        <v>1742</v>
      </c>
      <c r="H97" s="1" t="s">
        <v>1743</v>
      </c>
      <c r="I97" s="1" t="s">
        <v>2096</v>
      </c>
      <c r="J97" s="3">
        <v>45952</v>
      </c>
      <c r="K97" s="1" t="s">
        <v>2089</v>
      </c>
      <c r="L97" s="4">
        <f t="shared" si="4"/>
        <v>57</v>
      </c>
      <c r="M97" s="4">
        <f t="shared" si="5"/>
        <v>2025</v>
      </c>
    </row>
    <row r="98" spans="1:13" x14ac:dyDescent="0.25">
      <c r="A98" s="1" t="s">
        <v>1021</v>
      </c>
      <c r="B98" s="1" t="str">
        <f t="shared" si="3"/>
        <v>ENC-465</v>
      </c>
      <c r="C98" s="1" t="s">
        <v>33</v>
      </c>
      <c r="D98" s="3">
        <v>26187</v>
      </c>
      <c r="E98" s="1" t="s">
        <v>8</v>
      </c>
      <c r="F98" s="1" t="s">
        <v>42</v>
      </c>
      <c r="G98" s="1" t="s">
        <v>2014</v>
      </c>
      <c r="H98" s="1" t="s">
        <v>2015</v>
      </c>
      <c r="I98" s="1" t="s">
        <v>2096</v>
      </c>
      <c r="J98" s="3">
        <v>45948</v>
      </c>
      <c r="K98" s="1" t="s">
        <v>2093</v>
      </c>
      <c r="L98" s="4">
        <f t="shared" si="4"/>
        <v>54</v>
      </c>
      <c r="M98" s="4">
        <f t="shared" si="5"/>
        <v>2025</v>
      </c>
    </row>
    <row r="99" spans="1:13" x14ac:dyDescent="0.25">
      <c r="A99" s="1" t="s">
        <v>162</v>
      </c>
      <c r="B99" s="1" t="str">
        <f t="shared" si="3"/>
        <v>ENC-55</v>
      </c>
      <c r="C99" s="1" t="s">
        <v>163</v>
      </c>
      <c r="D99" s="3">
        <v>15635</v>
      </c>
      <c r="E99" s="1" t="s">
        <v>52</v>
      </c>
      <c r="F99" s="1" t="s">
        <v>9</v>
      </c>
      <c r="G99" s="1" t="s">
        <v>1202</v>
      </c>
      <c r="H99" s="1" t="s">
        <v>1203</v>
      </c>
      <c r="I99" s="1" t="s">
        <v>2087</v>
      </c>
      <c r="J99" s="3">
        <v>45943</v>
      </c>
      <c r="K99" s="1" t="s">
        <v>2108</v>
      </c>
      <c r="L99" s="4">
        <f t="shared" si="4"/>
        <v>82</v>
      </c>
      <c r="M99" s="4">
        <f t="shared" si="5"/>
        <v>2025</v>
      </c>
    </row>
    <row r="100" spans="1:13" x14ac:dyDescent="0.25">
      <c r="A100" s="1" t="s">
        <v>768</v>
      </c>
      <c r="B100" s="1" t="str">
        <f t="shared" si="3"/>
        <v>ENC-339</v>
      </c>
      <c r="C100" s="1" t="s">
        <v>54</v>
      </c>
      <c r="D100" s="3">
        <v>31686</v>
      </c>
      <c r="E100" s="1" t="s">
        <v>52</v>
      </c>
      <c r="F100" s="1" t="s">
        <v>20</v>
      </c>
      <c r="G100" s="1" t="s">
        <v>1768</v>
      </c>
      <c r="H100" s="1" t="s">
        <v>1769</v>
      </c>
      <c r="I100" s="1" t="s">
        <v>2096</v>
      </c>
      <c r="J100" s="3">
        <v>45939</v>
      </c>
      <c r="K100" s="1" t="s">
        <v>2089</v>
      </c>
      <c r="L100" s="4">
        <f t="shared" si="4"/>
        <v>39</v>
      </c>
      <c r="M100" s="4">
        <f t="shared" si="5"/>
        <v>2025</v>
      </c>
    </row>
    <row r="101" spans="1:13" x14ac:dyDescent="0.25">
      <c r="A101" s="1" t="s">
        <v>288</v>
      </c>
      <c r="B101" s="1" t="str">
        <f t="shared" si="3"/>
        <v>ENC-108</v>
      </c>
      <c r="C101" s="1" t="s">
        <v>81</v>
      </c>
      <c r="D101" s="3">
        <v>27595</v>
      </c>
      <c r="E101" s="1" t="s">
        <v>35</v>
      </c>
      <c r="F101" s="1" t="s">
        <v>9</v>
      </c>
      <c r="G101" s="1" t="s">
        <v>1307</v>
      </c>
      <c r="H101" s="1" t="s">
        <v>1308</v>
      </c>
      <c r="I101" s="1" t="s">
        <v>2096</v>
      </c>
      <c r="J101" s="3">
        <v>45924</v>
      </c>
      <c r="K101" s="1" t="s">
        <v>2104</v>
      </c>
      <c r="L101" s="4">
        <f t="shared" si="4"/>
        <v>50</v>
      </c>
      <c r="M101" s="4">
        <f t="shared" si="5"/>
        <v>2025</v>
      </c>
    </row>
    <row r="102" spans="1:13" x14ac:dyDescent="0.25">
      <c r="A102" s="1" t="s">
        <v>324</v>
      </c>
      <c r="B102" s="1" t="str">
        <f t="shared" si="3"/>
        <v>ENC-125</v>
      </c>
      <c r="C102" s="1" t="s">
        <v>47</v>
      </c>
      <c r="D102" s="3">
        <v>28091</v>
      </c>
      <c r="E102" s="1" t="s">
        <v>8</v>
      </c>
      <c r="F102" s="1" t="s">
        <v>24</v>
      </c>
      <c r="G102" s="1" t="s">
        <v>1341</v>
      </c>
      <c r="H102" s="1" t="s">
        <v>1342</v>
      </c>
      <c r="I102" s="1" t="s">
        <v>2087</v>
      </c>
      <c r="J102" s="3">
        <v>45923</v>
      </c>
      <c r="K102" s="1" t="s">
        <v>2089</v>
      </c>
      <c r="L102" s="4">
        <f t="shared" si="4"/>
        <v>48</v>
      </c>
      <c r="M102" s="4">
        <f t="shared" si="5"/>
        <v>2025</v>
      </c>
    </row>
    <row r="103" spans="1:13" x14ac:dyDescent="0.25">
      <c r="A103" s="1" t="s">
        <v>188</v>
      </c>
      <c r="B103" s="1" t="str">
        <f t="shared" si="3"/>
        <v>ENC-66</v>
      </c>
      <c r="C103" s="1" t="s">
        <v>189</v>
      </c>
      <c r="D103" s="3">
        <v>25018</v>
      </c>
      <c r="E103" s="1" t="s">
        <v>8</v>
      </c>
      <c r="F103" s="1" t="s">
        <v>9</v>
      </c>
      <c r="G103" s="1" t="s">
        <v>1224</v>
      </c>
      <c r="H103" s="1" t="s">
        <v>1225</v>
      </c>
      <c r="I103" s="1" t="s">
        <v>2087</v>
      </c>
      <c r="J103" s="3">
        <v>45921</v>
      </c>
      <c r="K103" s="1" t="s">
        <v>2093</v>
      </c>
      <c r="L103" s="4">
        <f t="shared" si="4"/>
        <v>57</v>
      </c>
      <c r="M103" s="4">
        <f t="shared" si="5"/>
        <v>2025</v>
      </c>
    </row>
    <row r="104" spans="1:13" x14ac:dyDescent="0.25">
      <c r="A104" s="1" t="s">
        <v>507</v>
      </c>
      <c r="B104" s="1" t="str">
        <f t="shared" si="3"/>
        <v>ENC-211</v>
      </c>
      <c r="C104" s="1" t="s">
        <v>37</v>
      </c>
      <c r="D104" s="3">
        <v>20667</v>
      </c>
      <c r="E104" s="1" t="s">
        <v>8</v>
      </c>
      <c r="F104" s="1" t="s">
        <v>56</v>
      </c>
      <c r="G104" s="1" t="s">
        <v>1513</v>
      </c>
      <c r="H104" s="1" t="s">
        <v>1514</v>
      </c>
      <c r="I104" s="1" t="s">
        <v>2087</v>
      </c>
      <c r="J104" s="3">
        <v>45915</v>
      </c>
      <c r="K104" s="1" t="s">
        <v>2089</v>
      </c>
      <c r="L104" s="4">
        <f t="shared" si="4"/>
        <v>69</v>
      </c>
      <c r="M104" s="4">
        <f t="shared" si="5"/>
        <v>2025</v>
      </c>
    </row>
    <row r="105" spans="1:13" x14ac:dyDescent="0.25">
      <c r="A105" s="1" t="s">
        <v>520</v>
      </c>
      <c r="B105" s="1" t="str">
        <f t="shared" si="3"/>
        <v>ENC-217</v>
      </c>
      <c r="C105" s="1" t="s">
        <v>412</v>
      </c>
      <c r="D105" s="3">
        <v>22343</v>
      </c>
      <c r="E105" s="1" t="s">
        <v>52</v>
      </c>
      <c r="F105" s="1" t="s">
        <v>16</v>
      </c>
      <c r="G105" s="1" t="s">
        <v>1525</v>
      </c>
      <c r="H105" s="1" t="s">
        <v>1526</v>
      </c>
      <c r="I105" s="1" t="s">
        <v>2096</v>
      </c>
      <c r="J105" s="3">
        <v>45913</v>
      </c>
      <c r="K105" s="1" t="s">
        <v>2093</v>
      </c>
      <c r="L105" s="4">
        <f t="shared" si="4"/>
        <v>64</v>
      </c>
      <c r="M105" s="4">
        <f t="shared" si="5"/>
        <v>2025</v>
      </c>
    </row>
    <row r="106" spans="1:13" x14ac:dyDescent="0.25">
      <c r="A106" s="1" t="s">
        <v>702</v>
      </c>
      <c r="B106" s="1" t="str">
        <f t="shared" si="3"/>
        <v>ENC-306</v>
      </c>
      <c r="C106" s="1" t="s">
        <v>144</v>
      </c>
      <c r="D106" s="3">
        <v>25346</v>
      </c>
      <c r="E106" s="1" t="s">
        <v>8</v>
      </c>
      <c r="F106" s="1" t="s">
        <v>56</v>
      </c>
      <c r="G106" s="1" t="s">
        <v>1702</v>
      </c>
      <c r="H106" s="1" t="s">
        <v>1703</v>
      </c>
      <c r="I106" s="1" t="s">
        <v>2087</v>
      </c>
      <c r="J106" s="3">
        <v>45907</v>
      </c>
      <c r="K106" s="1" t="s">
        <v>2089</v>
      </c>
      <c r="L106" s="4">
        <f t="shared" si="4"/>
        <v>56</v>
      </c>
      <c r="M106" s="4">
        <f t="shared" si="5"/>
        <v>2025</v>
      </c>
    </row>
    <row r="107" spans="1:13" x14ac:dyDescent="0.25">
      <c r="A107" s="1" t="s">
        <v>576</v>
      </c>
      <c r="B107" s="1" t="str">
        <f t="shared" si="3"/>
        <v>ENC-244</v>
      </c>
      <c r="C107" s="1" t="s">
        <v>275</v>
      </c>
      <c r="D107" s="3">
        <v>29650</v>
      </c>
      <c r="E107" s="1" t="s">
        <v>35</v>
      </c>
      <c r="F107" s="1" t="s">
        <v>56</v>
      </c>
      <c r="G107" s="1" t="s">
        <v>1578</v>
      </c>
      <c r="H107" s="1" t="s">
        <v>1579</v>
      </c>
      <c r="I107" s="1" t="s">
        <v>2087</v>
      </c>
      <c r="J107" s="3">
        <v>45900</v>
      </c>
      <c r="K107" s="1" t="s">
        <v>2093</v>
      </c>
      <c r="L107" s="4">
        <f t="shared" si="4"/>
        <v>44</v>
      </c>
      <c r="M107" s="4">
        <f t="shared" si="5"/>
        <v>2025</v>
      </c>
    </row>
    <row r="108" spans="1:13" x14ac:dyDescent="0.25">
      <c r="A108" s="1" t="s">
        <v>706</v>
      </c>
      <c r="B108" s="1" t="str">
        <f t="shared" si="3"/>
        <v>ENC-308</v>
      </c>
      <c r="C108" s="1" t="s">
        <v>278</v>
      </c>
      <c r="D108" s="3">
        <v>30038</v>
      </c>
      <c r="E108" s="1" t="s">
        <v>35</v>
      </c>
      <c r="F108" s="1" t="s">
        <v>20</v>
      </c>
      <c r="G108" s="1" t="s">
        <v>1706</v>
      </c>
      <c r="H108" s="1" t="s">
        <v>1707</v>
      </c>
      <c r="I108" s="1" t="s">
        <v>2096</v>
      </c>
      <c r="J108" s="3">
        <v>45898</v>
      </c>
      <c r="K108" s="1" t="s">
        <v>2089</v>
      </c>
      <c r="L108" s="4">
        <f t="shared" si="4"/>
        <v>43</v>
      </c>
      <c r="M108" s="4">
        <f t="shared" si="5"/>
        <v>2025</v>
      </c>
    </row>
    <row r="109" spans="1:13" x14ac:dyDescent="0.25">
      <c r="A109" s="1" t="s">
        <v>903</v>
      </c>
      <c r="B109" s="1" t="str">
        <f t="shared" si="3"/>
        <v>ENC-406</v>
      </c>
      <c r="C109" s="1" t="s">
        <v>322</v>
      </c>
      <c r="D109" s="3">
        <v>15313</v>
      </c>
      <c r="E109" s="1" t="s">
        <v>8</v>
      </c>
      <c r="F109" s="1" t="s">
        <v>42</v>
      </c>
      <c r="G109" s="1" t="s">
        <v>1900</v>
      </c>
      <c r="H109" s="1" t="s">
        <v>1901</v>
      </c>
      <c r="I109" s="1" t="s">
        <v>2096</v>
      </c>
      <c r="J109" s="3">
        <v>45898</v>
      </c>
      <c r="K109" s="1" t="s">
        <v>2104</v>
      </c>
      <c r="L109" s="4">
        <f t="shared" si="4"/>
        <v>83</v>
      </c>
      <c r="M109" s="4">
        <f t="shared" si="5"/>
        <v>2025</v>
      </c>
    </row>
    <row r="110" spans="1:13" x14ac:dyDescent="0.25">
      <c r="A110" s="1" t="s">
        <v>274</v>
      </c>
      <c r="B110" s="1" t="str">
        <f t="shared" si="3"/>
        <v>ENC-102</v>
      </c>
      <c r="C110" s="1" t="s">
        <v>275</v>
      </c>
      <c r="D110" s="3">
        <v>36892</v>
      </c>
      <c r="E110" s="1" t="s">
        <v>52</v>
      </c>
      <c r="F110" s="1" t="s">
        <v>20</v>
      </c>
      <c r="G110" s="1" t="s">
        <v>1295</v>
      </c>
      <c r="H110" s="1" t="s">
        <v>1296</v>
      </c>
      <c r="I110" s="1" t="s">
        <v>2087</v>
      </c>
      <c r="J110" s="3">
        <v>45893</v>
      </c>
      <c r="K110" s="1" t="s">
        <v>2093</v>
      </c>
      <c r="L110" s="4">
        <f t="shared" si="4"/>
        <v>24</v>
      </c>
      <c r="M110" s="4">
        <f t="shared" si="5"/>
        <v>2025</v>
      </c>
    </row>
    <row r="111" spans="1:13" x14ac:dyDescent="0.25">
      <c r="A111" s="1" t="s">
        <v>958</v>
      </c>
      <c r="B111" s="1" t="str">
        <f t="shared" si="3"/>
        <v>ENC-433</v>
      </c>
      <c r="C111" s="1" t="s">
        <v>119</v>
      </c>
      <c r="D111" s="3">
        <v>34160</v>
      </c>
      <c r="E111" s="1" t="s">
        <v>35</v>
      </c>
      <c r="F111" s="1" t="s">
        <v>20</v>
      </c>
      <c r="G111" s="1" t="s">
        <v>1952</v>
      </c>
      <c r="H111" s="1" t="s">
        <v>1953</v>
      </c>
      <c r="I111" s="1" t="s">
        <v>2087</v>
      </c>
      <c r="J111" s="3">
        <v>45888</v>
      </c>
      <c r="K111" s="1" t="s">
        <v>2104</v>
      </c>
      <c r="L111" s="4">
        <f t="shared" si="4"/>
        <v>32</v>
      </c>
      <c r="M111" s="4">
        <f t="shared" si="5"/>
        <v>2025</v>
      </c>
    </row>
    <row r="112" spans="1:13" x14ac:dyDescent="0.25">
      <c r="A112" s="1" t="s">
        <v>1023</v>
      </c>
      <c r="B112" s="1" t="str">
        <f t="shared" si="3"/>
        <v>ENC-466</v>
      </c>
      <c r="C112" s="1" t="s">
        <v>412</v>
      </c>
      <c r="D112" s="3">
        <v>38230</v>
      </c>
      <c r="E112" s="1" t="s">
        <v>52</v>
      </c>
      <c r="F112" s="1" t="s">
        <v>28</v>
      </c>
      <c r="G112" s="1" t="s">
        <v>2016</v>
      </c>
      <c r="H112" s="1" t="s">
        <v>2017</v>
      </c>
      <c r="I112" s="1" t="s">
        <v>2087</v>
      </c>
      <c r="J112" s="3">
        <v>45888</v>
      </c>
      <c r="K112" s="1" t="s">
        <v>2089</v>
      </c>
      <c r="L112" s="4">
        <f t="shared" si="4"/>
        <v>20</v>
      </c>
      <c r="M112" s="4">
        <f t="shared" si="5"/>
        <v>2025</v>
      </c>
    </row>
    <row r="113" spans="1:13" x14ac:dyDescent="0.25">
      <c r="A113" s="1" t="s">
        <v>672</v>
      </c>
      <c r="B113" s="1" t="str">
        <f t="shared" si="3"/>
        <v>ENC-291</v>
      </c>
      <c r="C113" s="1" t="s">
        <v>608</v>
      </c>
      <c r="D113" s="3">
        <v>36650</v>
      </c>
      <c r="E113" s="1" t="s">
        <v>35</v>
      </c>
      <c r="F113" s="1" t="s">
        <v>20</v>
      </c>
      <c r="G113" s="1" t="s">
        <v>1672</v>
      </c>
      <c r="H113" s="1" t="s">
        <v>1673</v>
      </c>
      <c r="I113" s="1" t="s">
        <v>2096</v>
      </c>
      <c r="J113" s="3">
        <v>45886</v>
      </c>
      <c r="K113" s="1" t="s">
        <v>2108</v>
      </c>
      <c r="L113" s="4">
        <f t="shared" si="4"/>
        <v>25</v>
      </c>
      <c r="M113" s="4">
        <f t="shared" si="5"/>
        <v>2025</v>
      </c>
    </row>
    <row r="114" spans="1:13" x14ac:dyDescent="0.25">
      <c r="A114" s="1" t="s">
        <v>1057</v>
      </c>
      <c r="B114" s="1" t="str">
        <f t="shared" si="3"/>
        <v>ENC-483</v>
      </c>
      <c r="C114" s="1" t="s">
        <v>201</v>
      </c>
      <c r="D114" s="3">
        <v>22843</v>
      </c>
      <c r="E114" s="1" t="s">
        <v>35</v>
      </c>
      <c r="F114" s="1" t="s">
        <v>42</v>
      </c>
      <c r="G114" s="1" t="s">
        <v>2047</v>
      </c>
      <c r="H114" s="1" t="s">
        <v>2048</v>
      </c>
      <c r="I114" s="1" t="s">
        <v>2096</v>
      </c>
      <c r="J114" s="3">
        <v>45883</v>
      </c>
      <c r="K114" s="1" t="s">
        <v>2104</v>
      </c>
      <c r="L114" s="4">
        <f t="shared" si="4"/>
        <v>63</v>
      </c>
      <c r="M114" s="4">
        <f t="shared" si="5"/>
        <v>2025</v>
      </c>
    </row>
    <row r="115" spans="1:13" x14ac:dyDescent="0.25">
      <c r="A115" s="1" t="s">
        <v>181</v>
      </c>
      <c r="B115" s="1" t="str">
        <f t="shared" si="3"/>
        <v>ENC-63</v>
      </c>
      <c r="C115" s="1" t="s">
        <v>155</v>
      </c>
      <c r="D115" s="3">
        <v>23076</v>
      </c>
      <c r="E115" s="1" t="s">
        <v>35</v>
      </c>
      <c r="F115" s="1" t="s">
        <v>9</v>
      </c>
      <c r="G115" s="1" t="s">
        <v>1218</v>
      </c>
      <c r="H115" s="1" t="s">
        <v>1219</v>
      </c>
      <c r="I115" s="1" t="s">
        <v>2087</v>
      </c>
      <c r="J115" s="3">
        <v>45878</v>
      </c>
      <c r="K115" s="1" t="s">
        <v>2108</v>
      </c>
      <c r="L115" s="4">
        <f t="shared" si="4"/>
        <v>62</v>
      </c>
      <c r="M115" s="4">
        <f t="shared" si="5"/>
        <v>2025</v>
      </c>
    </row>
    <row r="116" spans="1:13" x14ac:dyDescent="0.25">
      <c r="A116" s="1" t="s">
        <v>732</v>
      </c>
      <c r="B116" s="1" t="str">
        <f t="shared" si="3"/>
        <v>ENC-321</v>
      </c>
      <c r="C116" s="1" t="s">
        <v>18</v>
      </c>
      <c r="D116" s="3">
        <v>37529</v>
      </c>
      <c r="E116" s="1" t="s">
        <v>35</v>
      </c>
      <c r="F116" s="1" t="s">
        <v>42</v>
      </c>
      <c r="G116" s="1" t="s">
        <v>1732</v>
      </c>
      <c r="H116" s="1" t="s">
        <v>1733</v>
      </c>
      <c r="I116" s="1" t="s">
        <v>2087</v>
      </c>
      <c r="J116" s="3">
        <v>45878</v>
      </c>
      <c r="K116" s="1" t="s">
        <v>2093</v>
      </c>
      <c r="L116" s="4">
        <f t="shared" si="4"/>
        <v>22</v>
      </c>
      <c r="M116" s="4">
        <f t="shared" si="5"/>
        <v>2025</v>
      </c>
    </row>
    <row r="117" spans="1:13" x14ac:dyDescent="0.25">
      <c r="A117" s="1" t="s">
        <v>952</v>
      </c>
      <c r="B117" s="1" t="str">
        <f t="shared" si="3"/>
        <v>ENC-430</v>
      </c>
      <c r="C117" s="1" t="s">
        <v>160</v>
      </c>
      <c r="D117" s="3">
        <v>17468</v>
      </c>
      <c r="E117" s="1" t="s">
        <v>8</v>
      </c>
      <c r="F117" s="1" t="s">
        <v>28</v>
      </c>
      <c r="G117" s="1" t="s">
        <v>1947</v>
      </c>
      <c r="H117" s="1" t="s">
        <v>1948</v>
      </c>
      <c r="I117" s="1" t="s">
        <v>2096</v>
      </c>
      <c r="J117" s="3">
        <v>45878</v>
      </c>
      <c r="K117" s="1" t="s">
        <v>2108</v>
      </c>
      <c r="L117" s="4">
        <f t="shared" si="4"/>
        <v>77</v>
      </c>
      <c r="M117" s="4">
        <f t="shared" si="5"/>
        <v>2025</v>
      </c>
    </row>
    <row r="118" spans="1:13" x14ac:dyDescent="0.25">
      <c r="A118" s="1" t="s">
        <v>478</v>
      </c>
      <c r="B118" s="1" t="str">
        <f t="shared" si="3"/>
        <v>ENC-197</v>
      </c>
      <c r="C118" s="1" t="s">
        <v>137</v>
      </c>
      <c r="D118" s="3">
        <v>26299</v>
      </c>
      <c r="E118" s="1" t="s">
        <v>35</v>
      </c>
      <c r="F118" s="1" t="s">
        <v>20</v>
      </c>
      <c r="G118" s="1" t="s">
        <v>1485</v>
      </c>
      <c r="H118" s="1" t="s">
        <v>1486</v>
      </c>
      <c r="I118" s="1" t="s">
        <v>2087</v>
      </c>
      <c r="J118" s="3">
        <v>45877</v>
      </c>
      <c r="K118" s="1" t="s">
        <v>2093</v>
      </c>
      <c r="L118" s="4">
        <f t="shared" si="4"/>
        <v>53</v>
      </c>
      <c r="M118" s="4">
        <f t="shared" si="5"/>
        <v>2025</v>
      </c>
    </row>
    <row r="119" spans="1:13" x14ac:dyDescent="0.25">
      <c r="A119" s="1" t="s">
        <v>895</v>
      </c>
      <c r="B119" s="1" t="str">
        <f t="shared" si="3"/>
        <v>ENC-402</v>
      </c>
      <c r="C119" s="1" t="s">
        <v>6</v>
      </c>
      <c r="D119" s="3">
        <v>24026</v>
      </c>
      <c r="E119" s="1" t="s">
        <v>8</v>
      </c>
      <c r="F119" s="1" t="s">
        <v>16</v>
      </c>
      <c r="G119" s="1" t="s">
        <v>1892</v>
      </c>
      <c r="H119" s="1" t="s">
        <v>1893</v>
      </c>
      <c r="I119" s="1" t="s">
        <v>2087</v>
      </c>
      <c r="J119" s="3">
        <v>45872</v>
      </c>
      <c r="K119" s="1" t="s">
        <v>2093</v>
      </c>
      <c r="L119" s="4">
        <f t="shared" si="4"/>
        <v>59</v>
      </c>
      <c r="M119" s="4">
        <f t="shared" si="5"/>
        <v>2025</v>
      </c>
    </row>
    <row r="120" spans="1:13" x14ac:dyDescent="0.25">
      <c r="A120" s="1" t="s">
        <v>698</v>
      </c>
      <c r="B120" s="1" t="str">
        <f t="shared" si="3"/>
        <v>ENC-304</v>
      </c>
      <c r="C120" s="1" t="s">
        <v>33</v>
      </c>
      <c r="D120" s="3">
        <v>35320</v>
      </c>
      <c r="E120" s="1" t="s">
        <v>52</v>
      </c>
      <c r="F120" s="1" t="s">
        <v>13</v>
      </c>
      <c r="G120" s="1" t="s">
        <v>1698</v>
      </c>
      <c r="H120" s="1" t="s">
        <v>1699</v>
      </c>
      <c r="I120" s="1" t="s">
        <v>2096</v>
      </c>
      <c r="J120" s="3">
        <v>45866</v>
      </c>
      <c r="K120" s="1" t="s">
        <v>2104</v>
      </c>
      <c r="L120" s="4">
        <f t="shared" si="4"/>
        <v>28</v>
      </c>
      <c r="M120" s="4">
        <f t="shared" si="5"/>
        <v>2025</v>
      </c>
    </row>
    <row r="121" spans="1:13" x14ac:dyDescent="0.25">
      <c r="A121" s="1" t="s">
        <v>559</v>
      </c>
      <c r="B121" s="1" t="str">
        <f t="shared" si="3"/>
        <v>ENC-236</v>
      </c>
      <c r="C121" s="1" t="s">
        <v>512</v>
      </c>
      <c r="D121" s="3">
        <v>34153</v>
      </c>
      <c r="E121" s="1" t="s">
        <v>35</v>
      </c>
      <c r="F121" s="1" t="s">
        <v>28</v>
      </c>
      <c r="G121" s="1" t="s">
        <v>1393</v>
      </c>
      <c r="H121" s="1" t="s">
        <v>1563</v>
      </c>
      <c r="I121" s="1" t="s">
        <v>2096</v>
      </c>
      <c r="J121" s="3">
        <v>45865</v>
      </c>
      <c r="K121" s="1" t="s">
        <v>2093</v>
      </c>
      <c r="L121" s="4">
        <f t="shared" si="4"/>
        <v>32</v>
      </c>
      <c r="M121" s="4">
        <f t="shared" si="5"/>
        <v>2025</v>
      </c>
    </row>
    <row r="122" spans="1:13" x14ac:dyDescent="0.25">
      <c r="A122" s="1" t="s">
        <v>294</v>
      </c>
      <c r="B122" s="1" t="str">
        <f t="shared" si="3"/>
        <v>ENC-111</v>
      </c>
      <c r="C122" s="1" t="s">
        <v>124</v>
      </c>
      <c r="D122" s="3">
        <v>18212</v>
      </c>
      <c r="E122" s="1" t="s">
        <v>8</v>
      </c>
      <c r="F122" s="1" t="s">
        <v>42</v>
      </c>
      <c r="G122" s="1" t="s">
        <v>1313</v>
      </c>
      <c r="H122" s="1" t="s">
        <v>1314</v>
      </c>
      <c r="I122" s="1" t="s">
        <v>2087</v>
      </c>
      <c r="J122" s="3">
        <v>45864</v>
      </c>
      <c r="K122" s="1" t="s">
        <v>2093</v>
      </c>
      <c r="L122" s="4">
        <f t="shared" si="4"/>
        <v>75</v>
      </c>
      <c r="M122" s="4">
        <f t="shared" si="5"/>
        <v>2025</v>
      </c>
    </row>
    <row r="123" spans="1:13" x14ac:dyDescent="0.25">
      <c r="A123" s="1" t="s">
        <v>17</v>
      </c>
      <c r="B123" s="1" t="str">
        <f t="shared" si="3"/>
        <v>ENC-4</v>
      </c>
      <c r="C123" s="1" t="s">
        <v>18</v>
      </c>
      <c r="D123" s="3">
        <v>32968</v>
      </c>
      <c r="E123" s="1" t="s">
        <v>8</v>
      </c>
      <c r="F123" s="1" t="s">
        <v>20</v>
      </c>
      <c r="G123" s="1" t="s">
        <v>1101</v>
      </c>
      <c r="H123" s="1" t="s">
        <v>1102</v>
      </c>
      <c r="I123" s="1" t="s">
        <v>2087</v>
      </c>
      <c r="J123" s="3">
        <v>45851</v>
      </c>
      <c r="K123" s="1" t="s">
        <v>2093</v>
      </c>
      <c r="L123" s="4">
        <f t="shared" si="4"/>
        <v>35</v>
      </c>
      <c r="M123" s="4">
        <f t="shared" si="5"/>
        <v>2025</v>
      </c>
    </row>
    <row r="124" spans="1:13" x14ac:dyDescent="0.25">
      <c r="A124" s="1" t="s">
        <v>1025</v>
      </c>
      <c r="B124" s="1" t="str">
        <f t="shared" si="3"/>
        <v>ENC-467</v>
      </c>
      <c r="C124" s="1" t="s">
        <v>201</v>
      </c>
      <c r="D124" s="3">
        <v>25493</v>
      </c>
      <c r="E124" s="1" t="s">
        <v>35</v>
      </c>
      <c r="F124" s="1" t="s">
        <v>20</v>
      </c>
      <c r="G124" s="1" t="s">
        <v>1291</v>
      </c>
      <c r="H124" s="1" t="s">
        <v>2018</v>
      </c>
      <c r="I124" s="1" t="s">
        <v>2087</v>
      </c>
      <c r="J124" s="3">
        <v>45851</v>
      </c>
      <c r="K124" s="1" t="s">
        <v>2108</v>
      </c>
      <c r="L124" s="4">
        <f t="shared" si="4"/>
        <v>55</v>
      </c>
      <c r="M124" s="4">
        <f t="shared" si="5"/>
        <v>2025</v>
      </c>
    </row>
    <row r="125" spans="1:13" x14ac:dyDescent="0.25">
      <c r="A125" s="1" t="s">
        <v>321</v>
      </c>
      <c r="B125" s="1" t="str">
        <f t="shared" si="3"/>
        <v>ENC-124</v>
      </c>
      <c r="C125" s="1" t="s">
        <v>322</v>
      </c>
      <c r="D125" s="3">
        <v>31424</v>
      </c>
      <c r="E125" s="1" t="s">
        <v>35</v>
      </c>
      <c r="F125" s="1" t="s">
        <v>28</v>
      </c>
      <c r="G125" s="1" t="s">
        <v>1339</v>
      </c>
      <c r="H125" s="1" t="s">
        <v>1340</v>
      </c>
      <c r="I125" s="1" t="s">
        <v>2087</v>
      </c>
      <c r="J125" s="3">
        <v>45847</v>
      </c>
      <c r="K125" s="1" t="s">
        <v>2108</v>
      </c>
      <c r="L125" s="4">
        <f t="shared" si="4"/>
        <v>39</v>
      </c>
      <c r="M125" s="4">
        <f t="shared" si="5"/>
        <v>2025</v>
      </c>
    </row>
    <row r="126" spans="1:13" x14ac:dyDescent="0.25">
      <c r="A126" s="1" t="s">
        <v>899</v>
      </c>
      <c r="B126" s="1" t="str">
        <f t="shared" si="3"/>
        <v>ENC-404</v>
      </c>
      <c r="C126" s="1" t="s">
        <v>22</v>
      </c>
      <c r="D126" s="3">
        <v>23421</v>
      </c>
      <c r="E126" s="1" t="s">
        <v>35</v>
      </c>
      <c r="F126" s="1" t="s">
        <v>9</v>
      </c>
      <c r="G126" s="1" t="s">
        <v>1896</v>
      </c>
      <c r="H126" s="1" t="s">
        <v>1897</v>
      </c>
      <c r="I126" s="1" t="s">
        <v>2087</v>
      </c>
      <c r="J126" s="3">
        <v>45847</v>
      </c>
      <c r="K126" s="1" t="s">
        <v>2108</v>
      </c>
      <c r="L126" s="4">
        <f t="shared" si="4"/>
        <v>61</v>
      </c>
      <c r="M126" s="4">
        <f t="shared" si="5"/>
        <v>2025</v>
      </c>
    </row>
    <row r="127" spans="1:13" x14ac:dyDescent="0.25">
      <c r="A127" s="1" t="s">
        <v>209</v>
      </c>
      <c r="B127" s="1" t="str">
        <f t="shared" si="3"/>
        <v>ENC-75</v>
      </c>
      <c r="C127" s="1" t="s">
        <v>160</v>
      </c>
      <c r="D127" s="3">
        <v>28442</v>
      </c>
      <c r="E127" s="1" t="s">
        <v>8</v>
      </c>
      <c r="F127" s="1" t="s">
        <v>9</v>
      </c>
      <c r="G127" s="1" t="s">
        <v>1242</v>
      </c>
      <c r="H127" s="1" t="s">
        <v>1243</v>
      </c>
      <c r="I127" s="1" t="s">
        <v>2096</v>
      </c>
      <c r="J127" s="3">
        <v>45836</v>
      </c>
      <c r="K127" s="1" t="s">
        <v>2108</v>
      </c>
      <c r="L127" s="4">
        <f t="shared" si="4"/>
        <v>47</v>
      </c>
      <c r="M127" s="4">
        <f t="shared" si="5"/>
        <v>2025</v>
      </c>
    </row>
    <row r="128" spans="1:13" x14ac:dyDescent="0.25">
      <c r="A128" s="1" t="s">
        <v>835</v>
      </c>
      <c r="B128" s="1" t="str">
        <f t="shared" si="3"/>
        <v>ENC-372</v>
      </c>
      <c r="C128" s="1" t="s">
        <v>186</v>
      </c>
      <c r="D128" s="3">
        <v>24830</v>
      </c>
      <c r="E128" s="1" t="s">
        <v>52</v>
      </c>
      <c r="F128" s="1" t="s">
        <v>42</v>
      </c>
      <c r="G128" s="1" t="s">
        <v>1833</v>
      </c>
      <c r="H128" s="1" t="s">
        <v>1834</v>
      </c>
      <c r="I128" s="1" t="s">
        <v>2087</v>
      </c>
      <c r="J128" s="3">
        <v>45834</v>
      </c>
      <c r="K128" s="1" t="s">
        <v>2089</v>
      </c>
      <c r="L128" s="4">
        <f t="shared" si="4"/>
        <v>57</v>
      </c>
      <c r="M128" s="4">
        <f t="shared" si="5"/>
        <v>2025</v>
      </c>
    </row>
    <row r="129" spans="1:13" x14ac:dyDescent="0.25">
      <c r="A129" s="1" t="s">
        <v>624</v>
      </c>
      <c r="B129" s="1" t="str">
        <f t="shared" si="3"/>
        <v>ENC-267</v>
      </c>
      <c r="C129" s="1" t="s">
        <v>67</v>
      </c>
      <c r="D129" s="3">
        <v>33763</v>
      </c>
      <c r="E129" s="1" t="s">
        <v>35</v>
      </c>
      <c r="F129" s="1" t="s">
        <v>56</v>
      </c>
      <c r="G129" s="1" t="s">
        <v>1624</v>
      </c>
      <c r="H129" s="1" t="s">
        <v>1625</v>
      </c>
      <c r="I129" s="1" t="s">
        <v>2087</v>
      </c>
      <c r="J129" s="3">
        <v>45833</v>
      </c>
      <c r="K129" s="1" t="s">
        <v>2093</v>
      </c>
      <c r="L129" s="4">
        <f t="shared" si="4"/>
        <v>33</v>
      </c>
      <c r="M129" s="4">
        <f t="shared" si="5"/>
        <v>2025</v>
      </c>
    </row>
    <row r="130" spans="1:13" x14ac:dyDescent="0.25">
      <c r="A130" s="1" t="s">
        <v>974</v>
      </c>
      <c r="B130" s="1" t="str">
        <f t="shared" ref="B130:B193" si="6">"ENC-"&amp;(VALUE(RIGHT(A130,4))-1000)</f>
        <v>ENC-441</v>
      </c>
      <c r="C130" s="1" t="s">
        <v>11</v>
      </c>
      <c r="D130" s="3">
        <v>30574</v>
      </c>
      <c r="E130" s="1" t="s">
        <v>52</v>
      </c>
      <c r="F130" s="1" t="s">
        <v>20</v>
      </c>
      <c r="G130" s="1" t="s">
        <v>1968</v>
      </c>
      <c r="H130" s="1" t="s">
        <v>1969</v>
      </c>
      <c r="I130" s="1" t="s">
        <v>2096</v>
      </c>
      <c r="J130" s="3">
        <v>45831</v>
      </c>
      <c r="K130" s="1" t="s">
        <v>2108</v>
      </c>
      <c r="L130" s="4">
        <f t="shared" ref="L130:L193" si="7">DATEDIF(D130,J130,"Y")</f>
        <v>41</v>
      </c>
      <c r="M130" s="4">
        <f t="shared" ref="M130:M193" si="8">YEAR(J130)</f>
        <v>2025</v>
      </c>
    </row>
    <row r="131" spans="1:13" x14ac:dyDescent="0.25">
      <c r="A131" s="1" t="s">
        <v>118</v>
      </c>
      <c r="B131" s="1" t="str">
        <f t="shared" si="6"/>
        <v>ENC-38</v>
      </c>
      <c r="C131" s="1" t="s">
        <v>119</v>
      </c>
      <c r="D131" s="3">
        <v>29668</v>
      </c>
      <c r="E131" s="1" t="s">
        <v>35</v>
      </c>
      <c r="F131" s="1" t="s">
        <v>13</v>
      </c>
      <c r="G131" s="1" t="s">
        <v>1168</v>
      </c>
      <c r="H131" s="1" t="s">
        <v>1169</v>
      </c>
      <c r="I131" s="1" t="s">
        <v>2096</v>
      </c>
      <c r="J131" s="3">
        <v>45823</v>
      </c>
      <c r="K131" s="1" t="s">
        <v>2104</v>
      </c>
      <c r="L131" s="4">
        <f t="shared" si="7"/>
        <v>44</v>
      </c>
      <c r="M131" s="4">
        <f t="shared" si="8"/>
        <v>2025</v>
      </c>
    </row>
    <row r="132" spans="1:13" x14ac:dyDescent="0.25">
      <c r="A132" s="1" t="s">
        <v>800</v>
      </c>
      <c r="B132" s="1" t="str">
        <f t="shared" si="6"/>
        <v>ENC-355</v>
      </c>
      <c r="C132" s="1" t="s">
        <v>263</v>
      </c>
      <c r="D132" s="3">
        <v>18491</v>
      </c>
      <c r="E132" s="1" t="s">
        <v>35</v>
      </c>
      <c r="F132" s="1" t="s">
        <v>56</v>
      </c>
      <c r="G132" s="1" t="s">
        <v>1800</v>
      </c>
      <c r="H132" s="1" t="s">
        <v>1801</v>
      </c>
      <c r="I132" s="1" t="s">
        <v>2096</v>
      </c>
      <c r="J132" s="3">
        <v>45820</v>
      </c>
      <c r="K132" s="1" t="s">
        <v>2093</v>
      </c>
      <c r="L132" s="4">
        <f t="shared" si="7"/>
        <v>74</v>
      </c>
      <c r="M132" s="4">
        <f t="shared" si="8"/>
        <v>2025</v>
      </c>
    </row>
    <row r="133" spans="1:13" x14ac:dyDescent="0.25">
      <c r="A133" s="1" t="s">
        <v>960</v>
      </c>
      <c r="B133" s="1" t="str">
        <f t="shared" si="6"/>
        <v>ENC-434</v>
      </c>
      <c r="C133" s="1" t="s">
        <v>186</v>
      </c>
      <c r="D133" s="3">
        <v>38397</v>
      </c>
      <c r="E133" s="1" t="s">
        <v>8</v>
      </c>
      <c r="F133" s="1" t="s">
        <v>20</v>
      </c>
      <c r="G133" s="1" t="s">
        <v>1954</v>
      </c>
      <c r="H133" s="1" t="s">
        <v>1955</v>
      </c>
      <c r="I133" s="1" t="s">
        <v>2096</v>
      </c>
      <c r="J133" s="3">
        <v>45809</v>
      </c>
      <c r="K133" s="1" t="s">
        <v>2089</v>
      </c>
      <c r="L133" s="4">
        <f t="shared" si="7"/>
        <v>20</v>
      </c>
      <c r="M133" s="4">
        <f t="shared" si="8"/>
        <v>2025</v>
      </c>
    </row>
    <row r="134" spans="1:13" x14ac:dyDescent="0.25">
      <c r="A134" s="1" t="s">
        <v>57</v>
      </c>
      <c r="B134" s="1" t="str">
        <f t="shared" si="6"/>
        <v>ENC-15</v>
      </c>
      <c r="C134" s="1" t="s">
        <v>58</v>
      </c>
      <c r="D134" s="3">
        <v>27526</v>
      </c>
      <c r="E134" s="1" t="s">
        <v>52</v>
      </c>
      <c r="F134" s="1" t="s">
        <v>16</v>
      </c>
      <c r="G134" s="1" t="s">
        <v>1123</v>
      </c>
      <c r="H134" s="1" t="s">
        <v>1124</v>
      </c>
      <c r="I134" s="1" t="s">
        <v>2087</v>
      </c>
      <c r="J134" s="3">
        <v>45805</v>
      </c>
      <c r="K134" s="1" t="s">
        <v>2089</v>
      </c>
      <c r="L134" s="4">
        <f t="shared" si="7"/>
        <v>50</v>
      </c>
      <c r="M134" s="4">
        <f t="shared" si="8"/>
        <v>2025</v>
      </c>
    </row>
    <row r="135" spans="1:13" x14ac:dyDescent="0.25">
      <c r="A135" s="1" t="s">
        <v>690</v>
      </c>
      <c r="B135" s="1" t="str">
        <f t="shared" si="6"/>
        <v>ENC-300</v>
      </c>
      <c r="C135" s="1" t="s">
        <v>84</v>
      </c>
      <c r="D135" s="3">
        <v>33743</v>
      </c>
      <c r="E135" s="1" t="s">
        <v>8</v>
      </c>
      <c r="F135" s="1" t="s">
        <v>20</v>
      </c>
      <c r="G135" s="1" t="s">
        <v>1690</v>
      </c>
      <c r="H135" s="1" t="s">
        <v>1691</v>
      </c>
      <c r="I135" s="1" t="s">
        <v>2087</v>
      </c>
      <c r="J135" s="3">
        <v>45802</v>
      </c>
      <c r="K135" s="1" t="s">
        <v>2104</v>
      </c>
      <c r="L135" s="4">
        <f t="shared" si="7"/>
        <v>33</v>
      </c>
      <c r="M135" s="4">
        <f t="shared" si="8"/>
        <v>2025</v>
      </c>
    </row>
    <row r="136" spans="1:13" x14ac:dyDescent="0.25">
      <c r="A136" s="1" t="s">
        <v>938</v>
      </c>
      <c r="B136" s="1" t="str">
        <f t="shared" si="6"/>
        <v>ENC-423</v>
      </c>
      <c r="C136" s="1" t="s">
        <v>186</v>
      </c>
      <c r="D136" s="3">
        <v>31340</v>
      </c>
      <c r="E136" s="1" t="s">
        <v>52</v>
      </c>
      <c r="F136" s="1" t="s">
        <v>42</v>
      </c>
      <c r="G136" s="1" t="s">
        <v>1934</v>
      </c>
      <c r="H136" s="1" t="s">
        <v>1935</v>
      </c>
      <c r="I136" s="1" t="s">
        <v>2087</v>
      </c>
      <c r="J136" s="3">
        <v>45798</v>
      </c>
      <c r="K136" s="1" t="s">
        <v>2104</v>
      </c>
      <c r="L136" s="4">
        <f t="shared" si="7"/>
        <v>39</v>
      </c>
      <c r="M136" s="4">
        <f t="shared" si="8"/>
        <v>2025</v>
      </c>
    </row>
    <row r="137" spans="1:13" x14ac:dyDescent="0.25">
      <c r="A137" s="1" t="s">
        <v>650</v>
      </c>
      <c r="B137" s="1" t="str">
        <f t="shared" si="6"/>
        <v>ENC-280</v>
      </c>
      <c r="C137" s="1" t="s">
        <v>76</v>
      </c>
      <c r="D137" s="3">
        <v>38873</v>
      </c>
      <c r="E137" s="1" t="s">
        <v>52</v>
      </c>
      <c r="F137" s="1" t="s">
        <v>9</v>
      </c>
      <c r="G137" s="1" t="s">
        <v>1650</v>
      </c>
      <c r="H137" s="1" t="s">
        <v>1651</v>
      </c>
      <c r="I137" s="1" t="s">
        <v>2087</v>
      </c>
      <c r="J137" s="3">
        <v>45796</v>
      </c>
      <c r="K137" s="1" t="s">
        <v>2108</v>
      </c>
      <c r="L137" s="4">
        <f t="shared" si="7"/>
        <v>18</v>
      </c>
      <c r="M137" s="4">
        <f t="shared" si="8"/>
        <v>2025</v>
      </c>
    </row>
    <row r="138" spans="1:13" x14ac:dyDescent="0.25">
      <c r="A138" s="1" t="s">
        <v>437</v>
      </c>
      <c r="B138" s="1" t="str">
        <f t="shared" si="6"/>
        <v>ENC-177</v>
      </c>
      <c r="C138" s="1" t="s">
        <v>37</v>
      </c>
      <c r="D138" s="3">
        <v>28791</v>
      </c>
      <c r="E138" s="1" t="s">
        <v>8</v>
      </c>
      <c r="F138" s="1" t="s">
        <v>9</v>
      </c>
      <c r="G138" s="1" t="s">
        <v>1445</v>
      </c>
      <c r="H138" s="1" t="s">
        <v>1446</v>
      </c>
      <c r="I138" s="1" t="s">
        <v>2096</v>
      </c>
      <c r="J138" s="3">
        <v>45791</v>
      </c>
      <c r="K138" s="1" t="s">
        <v>2104</v>
      </c>
      <c r="L138" s="4">
        <f t="shared" si="7"/>
        <v>46</v>
      </c>
      <c r="M138" s="4">
        <f t="shared" si="8"/>
        <v>2025</v>
      </c>
    </row>
    <row r="139" spans="1:13" x14ac:dyDescent="0.25">
      <c r="A139" s="1" t="s">
        <v>303</v>
      </c>
      <c r="B139" s="1" t="str">
        <f t="shared" si="6"/>
        <v>ENC-115</v>
      </c>
      <c r="C139" s="1" t="s">
        <v>297</v>
      </c>
      <c r="D139" s="3">
        <v>36015</v>
      </c>
      <c r="E139" s="1" t="s">
        <v>8</v>
      </c>
      <c r="F139" s="1" t="s">
        <v>24</v>
      </c>
      <c r="G139" s="1" t="s">
        <v>1321</v>
      </c>
      <c r="H139" s="1" t="s">
        <v>1322</v>
      </c>
      <c r="I139" s="1" t="s">
        <v>2096</v>
      </c>
      <c r="J139" s="3">
        <v>45789</v>
      </c>
      <c r="K139" s="1" t="s">
        <v>2104</v>
      </c>
      <c r="L139" s="4">
        <f t="shared" si="7"/>
        <v>26</v>
      </c>
      <c r="M139" s="4">
        <f t="shared" si="8"/>
        <v>2025</v>
      </c>
    </row>
    <row r="140" spans="1:13" x14ac:dyDescent="0.25">
      <c r="A140" s="1" t="s">
        <v>511</v>
      </c>
      <c r="B140" s="1" t="str">
        <f t="shared" si="6"/>
        <v>ENC-213</v>
      </c>
      <c r="C140" s="1" t="s">
        <v>512</v>
      </c>
      <c r="D140" s="3">
        <v>29827</v>
      </c>
      <c r="E140" s="1" t="s">
        <v>52</v>
      </c>
      <c r="F140" s="1" t="s">
        <v>20</v>
      </c>
      <c r="G140" s="1" t="s">
        <v>1517</v>
      </c>
      <c r="H140" s="1" t="s">
        <v>1518</v>
      </c>
      <c r="I140" s="1" t="s">
        <v>2087</v>
      </c>
      <c r="J140" s="3">
        <v>45786</v>
      </c>
      <c r="K140" s="1" t="s">
        <v>2104</v>
      </c>
      <c r="L140" s="4">
        <f t="shared" si="7"/>
        <v>43</v>
      </c>
      <c r="M140" s="4">
        <f t="shared" si="8"/>
        <v>2025</v>
      </c>
    </row>
    <row r="141" spans="1:13" x14ac:dyDescent="0.25">
      <c r="A141" s="1" t="s">
        <v>905</v>
      </c>
      <c r="B141" s="1" t="str">
        <f t="shared" si="6"/>
        <v>ENC-407</v>
      </c>
      <c r="C141" s="1" t="s">
        <v>399</v>
      </c>
      <c r="D141" s="3">
        <v>17699</v>
      </c>
      <c r="E141" s="1" t="s">
        <v>8</v>
      </c>
      <c r="F141" s="1" t="s">
        <v>16</v>
      </c>
      <c r="G141" s="1" t="s">
        <v>1902</v>
      </c>
      <c r="H141" s="1" t="s">
        <v>1903</v>
      </c>
      <c r="I141" s="1" t="s">
        <v>2096</v>
      </c>
      <c r="J141" s="3">
        <v>45786</v>
      </c>
      <c r="K141" s="1" t="s">
        <v>2089</v>
      </c>
      <c r="L141" s="4">
        <f t="shared" si="7"/>
        <v>76</v>
      </c>
      <c r="M141" s="4">
        <f t="shared" si="8"/>
        <v>2025</v>
      </c>
    </row>
    <row r="142" spans="1:13" x14ac:dyDescent="0.25">
      <c r="A142" s="1" t="s">
        <v>179</v>
      </c>
      <c r="B142" s="1" t="str">
        <f t="shared" si="6"/>
        <v>ENC-62</v>
      </c>
      <c r="C142" s="1" t="s">
        <v>30</v>
      </c>
      <c r="D142" s="3">
        <v>26417</v>
      </c>
      <c r="E142" s="1" t="s">
        <v>8</v>
      </c>
      <c r="F142" s="1" t="s">
        <v>42</v>
      </c>
      <c r="G142" s="1" t="s">
        <v>1216</v>
      </c>
      <c r="H142" s="1" t="s">
        <v>1217</v>
      </c>
      <c r="I142" s="1" t="s">
        <v>2096</v>
      </c>
      <c r="J142" s="3">
        <v>45784</v>
      </c>
      <c r="K142" s="1" t="s">
        <v>2093</v>
      </c>
      <c r="L142" s="4">
        <f t="shared" si="7"/>
        <v>53</v>
      </c>
      <c r="M142" s="4">
        <f t="shared" si="8"/>
        <v>2025</v>
      </c>
    </row>
    <row r="143" spans="1:13" x14ac:dyDescent="0.25">
      <c r="A143" s="1" t="s">
        <v>792</v>
      </c>
      <c r="B143" s="1" t="str">
        <f t="shared" si="6"/>
        <v>ENC-351</v>
      </c>
      <c r="C143" s="1" t="s">
        <v>341</v>
      </c>
      <c r="D143" s="3">
        <v>33470</v>
      </c>
      <c r="E143" s="1" t="s">
        <v>8</v>
      </c>
      <c r="F143" s="1" t="s">
        <v>9</v>
      </c>
      <c r="G143" s="1" t="s">
        <v>1792</v>
      </c>
      <c r="H143" s="1" t="s">
        <v>1793</v>
      </c>
      <c r="I143" s="1" t="s">
        <v>2087</v>
      </c>
      <c r="J143" s="3">
        <v>45779</v>
      </c>
      <c r="K143" s="1" t="s">
        <v>2093</v>
      </c>
      <c r="L143" s="4">
        <f t="shared" si="7"/>
        <v>33</v>
      </c>
      <c r="M143" s="4">
        <f t="shared" si="8"/>
        <v>2025</v>
      </c>
    </row>
    <row r="144" spans="1:13" x14ac:dyDescent="0.25">
      <c r="A144" s="1" t="s">
        <v>245</v>
      </c>
      <c r="B144" s="1" t="str">
        <f t="shared" si="6"/>
        <v>ENC-90</v>
      </c>
      <c r="C144" s="1" t="s">
        <v>246</v>
      </c>
      <c r="D144" s="3">
        <v>22975</v>
      </c>
      <c r="E144" s="1" t="s">
        <v>52</v>
      </c>
      <c r="F144" s="1" t="s">
        <v>28</v>
      </c>
      <c r="G144" s="1" t="s">
        <v>1272</v>
      </c>
      <c r="H144" s="1" t="s">
        <v>1273</v>
      </c>
      <c r="I144" s="1" t="s">
        <v>2096</v>
      </c>
      <c r="J144" s="3">
        <v>45778</v>
      </c>
      <c r="K144" s="1" t="s">
        <v>2108</v>
      </c>
      <c r="L144" s="4">
        <f t="shared" si="7"/>
        <v>62</v>
      </c>
      <c r="M144" s="4">
        <f t="shared" si="8"/>
        <v>2025</v>
      </c>
    </row>
    <row r="145" spans="1:13" x14ac:dyDescent="0.25">
      <c r="A145" s="1" t="s">
        <v>921</v>
      </c>
      <c r="B145" s="1" t="str">
        <f t="shared" si="6"/>
        <v>ENC-415</v>
      </c>
      <c r="C145" s="1" t="s">
        <v>922</v>
      </c>
      <c r="D145" s="3">
        <v>17489</v>
      </c>
      <c r="E145" s="1" t="s">
        <v>35</v>
      </c>
      <c r="F145" s="1" t="s">
        <v>20</v>
      </c>
      <c r="G145" s="1" t="s">
        <v>1918</v>
      </c>
      <c r="H145" s="1" t="s">
        <v>1919</v>
      </c>
      <c r="I145" s="1" t="s">
        <v>2096</v>
      </c>
      <c r="J145" s="3">
        <v>45761</v>
      </c>
      <c r="K145" s="1" t="s">
        <v>2093</v>
      </c>
      <c r="L145" s="4">
        <f t="shared" si="7"/>
        <v>77</v>
      </c>
      <c r="M145" s="4">
        <f t="shared" si="8"/>
        <v>2025</v>
      </c>
    </row>
    <row r="146" spans="1:13" x14ac:dyDescent="0.25">
      <c r="A146" s="1" t="s">
        <v>243</v>
      </c>
      <c r="B146" s="1" t="str">
        <f t="shared" si="6"/>
        <v>ENC-89</v>
      </c>
      <c r="C146" s="1" t="s">
        <v>50</v>
      </c>
      <c r="D146" s="3">
        <v>32834</v>
      </c>
      <c r="E146" s="1" t="s">
        <v>52</v>
      </c>
      <c r="F146" s="1" t="s">
        <v>42</v>
      </c>
      <c r="G146" s="1" t="s">
        <v>1270</v>
      </c>
      <c r="H146" s="1" t="s">
        <v>1271</v>
      </c>
      <c r="I146" s="1" t="s">
        <v>2096</v>
      </c>
      <c r="J146" s="3">
        <v>45755</v>
      </c>
      <c r="K146" s="1" t="s">
        <v>2108</v>
      </c>
      <c r="L146" s="4">
        <f t="shared" si="7"/>
        <v>35</v>
      </c>
      <c r="M146" s="4">
        <f t="shared" si="8"/>
        <v>2025</v>
      </c>
    </row>
    <row r="147" spans="1:13" x14ac:dyDescent="0.25">
      <c r="A147" s="1" t="s">
        <v>241</v>
      </c>
      <c r="B147" s="1" t="str">
        <f t="shared" si="6"/>
        <v>ENC-88</v>
      </c>
      <c r="C147" s="1" t="s">
        <v>30</v>
      </c>
      <c r="D147" s="3">
        <v>36292</v>
      </c>
      <c r="E147" s="1" t="s">
        <v>35</v>
      </c>
      <c r="F147" s="1" t="s">
        <v>42</v>
      </c>
      <c r="G147" s="1" t="s">
        <v>1268</v>
      </c>
      <c r="H147" s="1" t="s">
        <v>1269</v>
      </c>
      <c r="I147" s="1" t="s">
        <v>2087</v>
      </c>
      <c r="J147" s="3">
        <v>45748</v>
      </c>
      <c r="K147" s="1" t="s">
        <v>2089</v>
      </c>
      <c r="L147" s="4">
        <f t="shared" si="7"/>
        <v>25</v>
      </c>
      <c r="M147" s="4">
        <f t="shared" si="8"/>
        <v>2025</v>
      </c>
    </row>
    <row r="148" spans="1:13" x14ac:dyDescent="0.25">
      <c r="A148" s="1" t="s">
        <v>343</v>
      </c>
      <c r="B148" s="1" t="str">
        <f t="shared" si="6"/>
        <v>ENC-134</v>
      </c>
      <c r="C148" s="1" t="s">
        <v>149</v>
      </c>
      <c r="D148" s="3">
        <v>20678</v>
      </c>
      <c r="E148" s="1" t="s">
        <v>8</v>
      </c>
      <c r="F148" s="1" t="s">
        <v>56</v>
      </c>
      <c r="G148" s="1" t="s">
        <v>1359</v>
      </c>
      <c r="H148" s="1" t="s">
        <v>1360</v>
      </c>
      <c r="I148" s="1" t="s">
        <v>2096</v>
      </c>
      <c r="J148" s="3">
        <v>45741</v>
      </c>
      <c r="K148" s="1" t="s">
        <v>2104</v>
      </c>
      <c r="L148" s="4">
        <f t="shared" si="7"/>
        <v>68</v>
      </c>
      <c r="M148" s="4">
        <f t="shared" si="8"/>
        <v>2025</v>
      </c>
    </row>
    <row r="149" spans="1:13" x14ac:dyDescent="0.25">
      <c r="A149" s="1" t="s">
        <v>694</v>
      </c>
      <c r="B149" s="1" t="str">
        <f t="shared" si="6"/>
        <v>ENC-302</v>
      </c>
      <c r="C149" s="1" t="s">
        <v>364</v>
      </c>
      <c r="D149" s="3">
        <v>37735</v>
      </c>
      <c r="E149" s="1" t="s">
        <v>52</v>
      </c>
      <c r="F149" s="1" t="s">
        <v>9</v>
      </c>
      <c r="G149" s="1" t="s">
        <v>1694</v>
      </c>
      <c r="H149" s="1" t="s">
        <v>1695</v>
      </c>
      <c r="I149" s="1" t="s">
        <v>2087</v>
      </c>
      <c r="J149" s="3">
        <v>45740</v>
      </c>
      <c r="K149" s="1" t="s">
        <v>2089</v>
      </c>
      <c r="L149" s="4">
        <f t="shared" si="7"/>
        <v>21</v>
      </c>
      <c r="M149" s="4">
        <f t="shared" si="8"/>
        <v>2025</v>
      </c>
    </row>
    <row r="150" spans="1:13" x14ac:dyDescent="0.25">
      <c r="A150" s="1" t="s">
        <v>940</v>
      </c>
      <c r="B150" s="1" t="str">
        <f t="shared" si="6"/>
        <v>ENC-424</v>
      </c>
      <c r="C150" s="1" t="s">
        <v>236</v>
      </c>
      <c r="D150" s="3">
        <v>35792</v>
      </c>
      <c r="E150" s="1" t="s">
        <v>52</v>
      </c>
      <c r="F150" s="1" t="s">
        <v>56</v>
      </c>
      <c r="G150" s="1" t="s">
        <v>1459</v>
      </c>
      <c r="H150" s="1" t="s">
        <v>1936</v>
      </c>
      <c r="I150" s="1" t="s">
        <v>2096</v>
      </c>
      <c r="J150" s="3">
        <v>45736</v>
      </c>
      <c r="K150" s="1" t="s">
        <v>2089</v>
      </c>
      <c r="L150" s="4">
        <f t="shared" si="7"/>
        <v>27</v>
      </c>
      <c r="M150" s="4">
        <f t="shared" si="8"/>
        <v>2025</v>
      </c>
    </row>
    <row r="151" spans="1:13" x14ac:dyDescent="0.25">
      <c r="A151" s="1" t="s">
        <v>590</v>
      </c>
      <c r="B151" s="1" t="str">
        <f t="shared" si="6"/>
        <v>ENC-251</v>
      </c>
      <c r="C151" s="1" t="s">
        <v>129</v>
      </c>
      <c r="D151" s="3">
        <v>20351</v>
      </c>
      <c r="E151" s="1" t="s">
        <v>35</v>
      </c>
      <c r="F151" s="1" t="s">
        <v>20</v>
      </c>
      <c r="G151" s="1" t="s">
        <v>1592</v>
      </c>
      <c r="H151" s="1" t="s">
        <v>1593</v>
      </c>
      <c r="I151" s="1" t="s">
        <v>2087</v>
      </c>
      <c r="J151" s="3">
        <v>45734</v>
      </c>
      <c r="K151" s="1" t="s">
        <v>2104</v>
      </c>
      <c r="L151" s="4">
        <f t="shared" si="7"/>
        <v>69</v>
      </c>
      <c r="M151" s="4">
        <f t="shared" si="8"/>
        <v>2025</v>
      </c>
    </row>
    <row r="152" spans="1:13" x14ac:dyDescent="0.25">
      <c r="A152" s="1" t="s">
        <v>704</v>
      </c>
      <c r="B152" s="1" t="str">
        <f t="shared" si="6"/>
        <v>ENC-307</v>
      </c>
      <c r="C152" s="1" t="s">
        <v>219</v>
      </c>
      <c r="D152" s="3">
        <v>26222</v>
      </c>
      <c r="E152" s="1" t="s">
        <v>35</v>
      </c>
      <c r="F152" s="1" t="s">
        <v>56</v>
      </c>
      <c r="G152" s="1" t="s">
        <v>1704</v>
      </c>
      <c r="H152" s="1" t="s">
        <v>1705</v>
      </c>
      <c r="I152" s="1" t="s">
        <v>2096</v>
      </c>
      <c r="J152" s="3">
        <v>45731</v>
      </c>
      <c r="K152" s="1" t="s">
        <v>2089</v>
      </c>
      <c r="L152" s="4">
        <f t="shared" si="7"/>
        <v>53</v>
      </c>
      <c r="M152" s="4">
        <f t="shared" si="8"/>
        <v>2025</v>
      </c>
    </row>
    <row r="153" spans="1:13" x14ac:dyDescent="0.25">
      <c r="A153" s="1" t="s">
        <v>113</v>
      </c>
      <c r="B153" s="1" t="str">
        <f t="shared" si="6"/>
        <v>ENC-36</v>
      </c>
      <c r="C153" s="1" t="s">
        <v>114</v>
      </c>
      <c r="D153" s="3">
        <v>29511</v>
      </c>
      <c r="E153" s="1" t="s">
        <v>8</v>
      </c>
      <c r="F153" s="1" t="s">
        <v>13</v>
      </c>
      <c r="G153" s="1" t="s">
        <v>1164</v>
      </c>
      <c r="H153" s="1" t="s">
        <v>1165</v>
      </c>
      <c r="I153" s="1" t="s">
        <v>2096</v>
      </c>
      <c r="J153" s="3">
        <v>45728</v>
      </c>
      <c r="K153" s="1" t="s">
        <v>2089</v>
      </c>
      <c r="L153" s="4">
        <f t="shared" si="7"/>
        <v>44</v>
      </c>
      <c r="M153" s="4">
        <f t="shared" si="8"/>
        <v>2025</v>
      </c>
    </row>
    <row r="154" spans="1:13" x14ac:dyDescent="0.25">
      <c r="A154" s="1" t="s">
        <v>258</v>
      </c>
      <c r="B154" s="1" t="str">
        <f t="shared" si="6"/>
        <v>ENC-95</v>
      </c>
      <c r="C154" s="1" t="s">
        <v>6</v>
      </c>
      <c r="D154" s="3">
        <v>22542</v>
      </c>
      <c r="E154" s="1" t="s">
        <v>8</v>
      </c>
      <c r="F154" s="1" t="s">
        <v>56</v>
      </c>
      <c r="G154" s="1" t="s">
        <v>1282</v>
      </c>
      <c r="H154" s="1" t="s">
        <v>1283</v>
      </c>
      <c r="I154" s="1" t="s">
        <v>2087</v>
      </c>
      <c r="J154" s="3">
        <v>45728</v>
      </c>
      <c r="K154" s="1" t="s">
        <v>2104</v>
      </c>
      <c r="L154" s="4">
        <f t="shared" si="7"/>
        <v>63</v>
      </c>
      <c r="M154" s="4">
        <f t="shared" si="8"/>
        <v>2025</v>
      </c>
    </row>
    <row r="155" spans="1:13" x14ac:dyDescent="0.25">
      <c r="A155" s="1" t="s">
        <v>596</v>
      </c>
      <c r="B155" s="1" t="str">
        <f t="shared" si="6"/>
        <v>ENC-254</v>
      </c>
      <c r="C155" s="1" t="s">
        <v>597</v>
      </c>
      <c r="D155" s="3">
        <v>18382</v>
      </c>
      <c r="E155" s="1" t="s">
        <v>8</v>
      </c>
      <c r="F155" s="1" t="s">
        <v>56</v>
      </c>
      <c r="G155" s="1" t="s">
        <v>1598</v>
      </c>
      <c r="H155" s="1" t="s">
        <v>1599</v>
      </c>
      <c r="I155" s="1" t="s">
        <v>2087</v>
      </c>
      <c r="J155" s="3">
        <v>45725</v>
      </c>
      <c r="K155" s="1" t="s">
        <v>2108</v>
      </c>
      <c r="L155" s="4">
        <f t="shared" si="7"/>
        <v>74</v>
      </c>
      <c r="M155" s="4">
        <f t="shared" si="8"/>
        <v>2025</v>
      </c>
    </row>
    <row r="156" spans="1:13" x14ac:dyDescent="0.25">
      <c r="A156" s="1" t="s">
        <v>712</v>
      </c>
      <c r="B156" s="1" t="str">
        <f t="shared" si="6"/>
        <v>ENC-311</v>
      </c>
      <c r="C156" s="1" t="s">
        <v>186</v>
      </c>
      <c r="D156" s="3">
        <v>28319</v>
      </c>
      <c r="E156" s="1" t="s">
        <v>8</v>
      </c>
      <c r="F156" s="1" t="s">
        <v>28</v>
      </c>
      <c r="G156" s="1" t="s">
        <v>1712</v>
      </c>
      <c r="H156" s="1" t="s">
        <v>1713</v>
      </c>
      <c r="I156" s="1" t="s">
        <v>2087</v>
      </c>
      <c r="J156" s="3">
        <v>45722</v>
      </c>
      <c r="K156" s="1" t="s">
        <v>2089</v>
      </c>
      <c r="L156" s="4">
        <f t="shared" si="7"/>
        <v>47</v>
      </c>
      <c r="M156" s="4">
        <f t="shared" si="8"/>
        <v>2025</v>
      </c>
    </row>
    <row r="157" spans="1:13" x14ac:dyDescent="0.25">
      <c r="A157" s="1" t="s">
        <v>867</v>
      </c>
      <c r="B157" s="1" t="str">
        <f t="shared" si="6"/>
        <v>ENC-388</v>
      </c>
      <c r="C157" s="1" t="s">
        <v>93</v>
      </c>
      <c r="D157" s="3">
        <v>18734</v>
      </c>
      <c r="E157" s="1" t="s">
        <v>52</v>
      </c>
      <c r="F157" s="1" t="s">
        <v>13</v>
      </c>
      <c r="G157" s="1" t="s">
        <v>1865</v>
      </c>
      <c r="H157" s="1" t="s">
        <v>1866</v>
      </c>
      <c r="I157" s="1" t="s">
        <v>2096</v>
      </c>
      <c r="J157" s="3">
        <v>45720</v>
      </c>
      <c r="K157" s="1" t="s">
        <v>2104</v>
      </c>
      <c r="L157" s="4">
        <f t="shared" si="7"/>
        <v>73</v>
      </c>
      <c r="M157" s="4">
        <f t="shared" si="8"/>
        <v>2025</v>
      </c>
    </row>
    <row r="158" spans="1:13" x14ac:dyDescent="0.25">
      <c r="A158" s="1" t="s">
        <v>123</v>
      </c>
      <c r="B158" s="1" t="str">
        <f t="shared" si="6"/>
        <v>ENC-40</v>
      </c>
      <c r="C158" s="1" t="s">
        <v>124</v>
      </c>
      <c r="D158" s="3">
        <v>24939</v>
      </c>
      <c r="E158" s="1" t="s">
        <v>35</v>
      </c>
      <c r="F158" s="1" t="s">
        <v>24</v>
      </c>
      <c r="G158" s="1" t="s">
        <v>1172</v>
      </c>
      <c r="H158" s="1" t="s">
        <v>1173</v>
      </c>
      <c r="I158" s="1" t="s">
        <v>2096</v>
      </c>
      <c r="J158" s="3">
        <v>45717</v>
      </c>
      <c r="K158" s="1" t="s">
        <v>2089</v>
      </c>
      <c r="L158" s="4">
        <f t="shared" si="7"/>
        <v>56</v>
      </c>
      <c r="M158" s="4">
        <f t="shared" si="8"/>
        <v>2025</v>
      </c>
    </row>
    <row r="159" spans="1:13" x14ac:dyDescent="0.25">
      <c r="A159" s="1" t="s">
        <v>682</v>
      </c>
      <c r="B159" s="1" t="str">
        <f t="shared" si="6"/>
        <v>ENC-296</v>
      </c>
      <c r="C159" s="1" t="s">
        <v>170</v>
      </c>
      <c r="D159" s="3">
        <v>31935</v>
      </c>
      <c r="E159" s="1" t="s">
        <v>8</v>
      </c>
      <c r="F159" s="1" t="s">
        <v>28</v>
      </c>
      <c r="G159" s="1" t="s">
        <v>1682</v>
      </c>
      <c r="H159" s="1" t="s">
        <v>1683</v>
      </c>
      <c r="I159" s="1" t="s">
        <v>2087</v>
      </c>
      <c r="J159" s="3">
        <v>45716</v>
      </c>
      <c r="K159" s="1" t="s">
        <v>2089</v>
      </c>
      <c r="L159" s="4">
        <f t="shared" si="7"/>
        <v>37</v>
      </c>
      <c r="M159" s="4">
        <f t="shared" si="8"/>
        <v>2025</v>
      </c>
    </row>
    <row r="160" spans="1:13" x14ac:dyDescent="0.25">
      <c r="A160" s="1" t="s">
        <v>522</v>
      </c>
      <c r="B160" s="1" t="str">
        <f t="shared" si="6"/>
        <v>ENC-218</v>
      </c>
      <c r="C160" s="1" t="s">
        <v>523</v>
      </c>
      <c r="D160" s="3">
        <v>14809</v>
      </c>
      <c r="E160" s="1" t="s">
        <v>8</v>
      </c>
      <c r="F160" s="1" t="s">
        <v>9</v>
      </c>
      <c r="G160" s="1" t="s">
        <v>1527</v>
      </c>
      <c r="H160" s="1" t="s">
        <v>1528</v>
      </c>
      <c r="I160" s="1" t="s">
        <v>2087</v>
      </c>
      <c r="J160" s="3">
        <v>45713</v>
      </c>
      <c r="K160" s="1" t="s">
        <v>2108</v>
      </c>
      <c r="L160" s="4">
        <f t="shared" si="7"/>
        <v>84</v>
      </c>
      <c r="M160" s="4">
        <f t="shared" si="8"/>
        <v>2025</v>
      </c>
    </row>
    <row r="161" spans="1:13" x14ac:dyDescent="0.25">
      <c r="A161" s="1" t="s">
        <v>503</v>
      </c>
      <c r="B161" s="1" t="str">
        <f t="shared" si="6"/>
        <v>ENC-209</v>
      </c>
      <c r="C161" s="1" t="s">
        <v>137</v>
      </c>
      <c r="D161" s="3">
        <v>32347</v>
      </c>
      <c r="E161" s="1" t="s">
        <v>8</v>
      </c>
      <c r="F161" s="1" t="s">
        <v>13</v>
      </c>
      <c r="G161" s="1" t="s">
        <v>1509</v>
      </c>
      <c r="H161" s="1" t="s">
        <v>1510</v>
      </c>
      <c r="I161" s="1" t="s">
        <v>2087</v>
      </c>
      <c r="J161" s="3">
        <v>45712</v>
      </c>
      <c r="K161" s="1" t="s">
        <v>2108</v>
      </c>
      <c r="L161" s="4">
        <f t="shared" si="7"/>
        <v>36</v>
      </c>
      <c r="M161" s="4">
        <f t="shared" si="8"/>
        <v>2025</v>
      </c>
    </row>
    <row r="162" spans="1:13" x14ac:dyDescent="0.25">
      <c r="A162" s="1" t="s">
        <v>414</v>
      </c>
      <c r="B162" s="1" t="str">
        <f t="shared" si="6"/>
        <v>ENC-166</v>
      </c>
      <c r="C162" s="1" t="s">
        <v>40</v>
      </c>
      <c r="D162" s="3">
        <v>37528</v>
      </c>
      <c r="E162" s="1" t="s">
        <v>52</v>
      </c>
      <c r="F162" s="1" t="s">
        <v>42</v>
      </c>
      <c r="G162" s="1" t="s">
        <v>1423</v>
      </c>
      <c r="H162" s="1" t="s">
        <v>1424</v>
      </c>
      <c r="I162" s="1" t="s">
        <v>2087</v>
      </c>
      <c r="J162" s="3">
        <v>45706</v>
      </c>
      <c r="K162" s="1" t="s">
        <v>2108</v>
      </c>
      <c r="L162" s="4">
        <f t="shared" si="7"/>
        <v>22</v>
      </c>
      <c r="M162" s="4">
        <f t="shared" si="8"/>
        <v>2025</v>
      </c>
    </row>
    <row r="163" spans="1:13" x14ac:dyDescent="0.25">
      <c r="A163" s="1" t="s">
        <v>1017</v>
      </c>
      <c r="B163" s="1" t="str">
        <f t="shared" si="6"/>
        <v>ENC-463</v>
      </c>
      <c r="C163" s="1" t="s">
        <v>64</v>
      </c>
      <c r="D163" s="3">
        <v>31149</v>
      </c>
      <c r="E163" s="1" t="s">
        <v>8</v>
      </c>
      <c r="F163" s="1" t="s">
        <v>28</v>
      </c>
      <c r="G163" s="1" t="s">
        <v>2010</v>
      </c>
      <c r="H163" s="1" t="s">
        <v>2011</v>
      </c>
      <c r="I163" s="1" t="s">
        <v>2087</v>
      </c>
      <c r="J163" s="3">
        <v>45706</v>
      </c>
      <c r="K163" s="1" t="s">
        <v>2093</v>
      </c>
      <c r="L163" s="4">
        <f t="shared" si="7"/>
        <v>39</v>
      </c>
      <c r="M163" s="4">
        <f t="shared" si="8"/>
        <v>2025</v>
      </c>
    </row>
    <row r="164" spans="1:13" x14ac:dyDescent="0.25">
      <c r="A164" s="1" t="s">
        <v>907</v>
      </c>
      <c r="B164" s="1" t="str">
        <f t="shared" si="6"/>
        <v>ENC-408</v>
      </c>
      <c r="C164" s="1" t="s">
        <v>251</v>
      </c>
      <c r="D164" s="3">
        <v>22276</v>
      </c>
      <c r="E164" s="1" t="s">
        <v>8</v>
      </c>
      <c r="F164" s="1" t="s">
        <v>56</v>
      </c>
      <c r="G164" s="1" t="s">
        <v>1904</v>
      </c>
      <c r="H164" s="1" t="s">
        <v>1905</v>
      </c>
      <c r="I164" s="1" t="s">
        <v>2096</v>
      </c>
      <c r="J164" s="3">
        <v>45698</v>
      </c>
      <c r="K164" s="1" t="s">
        <v>2108</v>
      </c>
      <c r="L164" s="4">
        <f t="shared" si="7"/>
        <v>64</v>
      </c>
      <c r="M164" s="4">
        <f t="shared" si="8"/>
        <v>2025</v>
      </c>
    </row>
    <row r="165" spans="1:13" x14ac:dyDescent="0.25">
      <c r="A165" s="1" t="s">
        <v>1075</v>
      </c>
      <c r="B165" s="1" t="str">
        <f t="shared" si="6"/>
        <v>ENC-492</v>
      </c>
      <c r="C165" s="1" t="s">
        <v>297</v>
      </c>
      <c r="D165" s="3">
        <v>20481</v>
      </c>
      <c r="E165" s="1" t="s">
        <v>52</v>
      </c>
      <c r="F165" s="1" t="s">
        <v>16</v>
      </c>
      <c r="G165" s="1" t="s">
        <v>2064</v>
      </c>
      <c r="H165" s="1" t="s">
        <v>2065</v>
      </c>
      <c r="I165" s="1" t="s">
        <v>2087</v>
      </c>
      <c r="J165" s="3">
        <v>45695</v>
      </c>
      <c r="K165" s="1" t="s">
        <v>2104</v>
      </c>
      <c r="L165" s="4">
        <f t="shared" si="7"/>
        <v>69</v>
      </c>
      <c r="M165" s="4">
        <f t="shared" si="8"/>
        <v>2025</v>
      </c>
    </row>
    <row r="166" spans="1:13" x14ac:dyDescent="0.25">
      <c r="A166" s="1" t="s">
        <v>823</v>
      </c>
      <c r="B166" s="1" t="str">
        <f t="shared" si="6"/>
        <v>ENC-366</v>
      </c>
      <c r="C166" s="1" t="s">
        <v>251</v>
      </c>
      <c r="D166" s="3">
        <v>26404</v>
      </c>
      <c r="E166" s="1" t="s">
        <v>52</v>
      </c>
      <c r="F166" s="1" t="s">
        <v>13</v>
      </c>
      <c r="G166" s="1" t="s">
        <v>1821</v>
      </c>
      <c r="H166" s="1" t="s">
        <v>1822</v>
      </c>
      <c r="I166" s="1" t="s">
        <v>2087</v>
      </c>
      <c r="J166" s="3">
        <v>45690</v>
      </c>
      <c r="K166" s="1" t="s">
        <v>2089</v>
      </c>
      <c r="L166" s="4">
        <f t="shared" si="7"/>
        <v>52</v>
      </c>
      <c r="M166" s="4">
        <f t="shared" si="8"/>
        <v>2025</v>
      </c>
    </row>
    <row r="167" spans="1:13" x14ac:dyDescent="0.25">
      <c r="A167" s="1" t="s">
        <v>1007</v>
      </c>
      <c r="B167" s="1" t="str">
        <f t="shared" si="6"/>
        <v>ENC-458</v>
      </c>
      <c r="C167" s="1" t="s">
        <v>90</v>
      </c>
      <c r="D167" s="3">
        <v>21684</v>
      </c>
      <c r="E167" s="1" t="s">
        <v>52</v>
      </c>
      <c r="F167" s="1" t="s">
        <v>56</v>
      </c>
      <c r="G167" s="1" t="s">
        <v>2002</v>
      </c>
      <c r="H167" s="1" t="s">
        <v>2003</v>
      </c>
      <c r="I167" s="1" t="s">
        <v>2096</v>
      </c>
      <c r="J167" s="3">
        <v>45689</v>
      </c>
      <c r="K167" s="1" t="s">
        <v>2093</v>
      </c>
      <c r="L167" s="4">
        <f t="shared" si="7"/>
        <v>65</v>
      </c>
      <c r="M167" s="4">
        <f t="shared" si="8"/>
        <v>2025</v>
      </c>
    </row>
    <row r="168" spans="1:13" x14ac:dyDescent="0.25">
      <c r="A168" s="1" t="s">
        <v>1009</v>
      </c>
      <c r="B168" s="1" t="str">
        <f t="shared" si="6"/>
        <v>ENC-459</v>
      </c>
      <c r="C168" s="1" t="s">
        <v>597</v>
      </c>
      <c r="D168" s="3">
        <v>24908</v>
      </c>
      <c r="E168" s="1" t="s">
        <v>52</v>
      </c>
      <c r="F168" s="1" t="s">
        <v>9</v>
      </c>
      <c r="G168" s="1" t="s">
        <v>1865</v>
      </c>
      <c r="H168" s="1" t="s">
        <v>2004</v>
      </c>
      <c r="I168" s="1" t="s">
        <v>2096</v>
      </c>
      <c r="J168" s="3">
        <v>45687</v>
      </c>
      <c r="K168" s="1" t="s">
        <v>2108</v>
      </c>
      <c r="L168" s="4">
        <f t="shared" si="7"/>
        <v>56</v>
      </c>
      <c r="M168" s="4">
        <f t="shared" si="8"/>
        <v>2025</v>
      </c>
    </row>
    <row r="169" spans="1:13" x14ac:dyDescent="0.25">
      <c r="A169" s="1" t="s">
        <v>1035</v>
      </c>
      <c r="B169" s="1" t="str">
        <f t="shared" si="6"/>
        <v>ENC-472</v>
      </c>
      <c r="C169" s="1" t="s">
        <v>406</v>
      </c>
      <c r="D169" s="3">
        <v>31643</v>
      </c>
      <c r="E169" s="1" t="s">
        <v>8</v>
      </c>
      <c r="F169" s="1" t="s">
        <v>28</v>
      </c>
      <c r="G169" s="1" t="s">
        <v>1521</v>
      </c>
      <c r="H169" s="1" t="s">
        <v>2026</v>
      </c>
      <c r="I169" s="1" t="s">
        <v>2096</v>
      </c>
      <c r="J169" s="3">
        <v>45685</v>
      </c>
      <c r="K169" s="1" t="s">
        <v>2108</v>
      </c>
      <c r="L169" s="4">
        <f t="shared" si="7"/>
        <v>38</v>
      </c>
      <c r="M169" s="4">
        <f t="shared" si="8"/>
        <v>2025</v>
      </c>
    </row>
    <row r="170" spans="1:13" x14ac:dyDescent="0.25">
      <c r="A170" s="1" t="s">
        <v>527</v>
      </c>
      <c r="B170" s="1" t="str">
        <f t="shared" si="6"/>
        <v>ENC-220</v>
      </c>
      <c r="C170" s="1" t="s">
        <v>81</v>
      </c>
      <c r="D170" s="3">
        <v>14846</v>
      </c>
      <c r="E170" s="1" t="s">
        <v>35</v>
      </c>
      <c r="F170" s="1" t="s">
        <v>9</v>
      </c>
      <c r="G170" s="1" t="s">
        <v>1531</v>
      </c>
      <c r="H170" s="1" t="s">
        <v>1532</v>
      </c>
      <c r="I170" s="1" t="s">
        <v>2096</v>
      </c>
      <c r="J170" s="3">
        <v>45681</v>
      </c>
      <c r="K170" s="1" t="s">
        <v>2089</v>
      </c>
      <c r="L170" s="4">
        <f t="shared" si="7"/>
        <v>84</v>
      </c>
      <c r="M170" s="4">
        <f t="shared" si="8"/>
        <v>2025</v>
      </c>
    </row>
    <row r="171" spans="1:13" x14ac:dyDescent="0.25">
      <c r="A171" s="1" t="s">
        <v>370</v>
      </c>
      <c r="B171" s="1" t="str">
        <f t="shared" si="6"/>
        <v>ENC-146</v>
      </c>
      <c r="C171" s="1" t="s">
        <v>11</v>
      </c>
      <c r="D171" s="3">
        <v>37659</v>
      </c>
      <c r="E171" s="1" t="s">
        <v>35</v>
      </c>
      <c r="F171" s="1" t="s">
        <v>20</v>
      </c>
      <c r="G171" s="1" t="s">
        <v>1383</v>
      </c>
      <c r="H171" s="1" t="s">
        <v>1384</v>
      </c>
      <c r="I171" s="1" t="s">
        <v>2087</v>
      </c>
      <c r="J171" s="3">
        <v>45680</v>
      </c>
      <c r="K171" s="1" t="s">
        <v>2093</v>
      </c>
      <c r="L171" s="4">
        <f t="shared" si="7"/>
        <v>21</v>
      </c>
      <c r="M171" s="4">
        <f t="shared" si="8"/>
        <v>2025</v>
      </c>
    </row>
    <row r="172" spans="1:13" x14ac:dyDescent="0.25">
      <c r="A172" s="1" t="s">
        <v>915</v>
      </c>
      <c r="B172" s="1" t="str">
        <f t="shared" si="6"/>
        <v>ENC-412</v>
      </c>
      <c r="C172" s="1" t="s">
        <v>70</v>
      </c>
      <c r="D172" s="3">
        <v>39748</v>
      </c>
      <c r="E172" s="1" t="s">
        <v>35</v>
      </c>
      <c r="F172" s="1" t="s">
        <v>16</v>
      </c>
      <c r="G172" s="1" t="s">
        <v>1912</v>
      </c>
      <c r="H172" s="1" t="s">
        <v>1913</v>
      </c>
      <c r="I172" s="1" t="s">
        <v>2087</v>
      </c>
      <c r="J172" s="3">
        <v>45680</v>
      </c>
      <c r="K172" s="1" t="s">
        <v>2104</v>
      </c>
      <c r="L172" s="4">
        <f t="shared" si="7"/>
        <v>16</v>
      </c>
      <c r="M172" s="4">
        <f t="shared" si="8"/>
        <v>2025</v>
      </c>
    </row>
    <row r="173" spans="1:13" x14ac:dyDescent="0.25">
      <c r="A173" s="1" t="s">
        <v>656</v>
      </c>
      <c r="B173" s="1" t="str">
        <f t="shared" si="6"/>
        <v>ENC-283</v>
      </c>
      <c r="C173" s="1" t="s">
        <v>129</v>
      </c>
      <c r="D173" s="3">
        <v>34330</v>
      </c>
      <c r="E173" s="1" t="s">
        <v>35</v>
      </c>
      <c r="F173" s="1" t="s">
        <v>16</v>
      </c>
      <c r="G173" s="1" t="s">
        <v>1656</v>
      </c>
      <c r="H173" s="1" t="s">
        <v>1657</v>
      </c>
      <c r="I173" s="1" t="s">
        <v>2096</v>
      </c>
      <c r="J173" s="3">
        <v>45678</v>
      </c>
      <c r="K173" s="1" t="s">
        <v>2093</v>
      </c>
      <c r="L173" s="4">
        <f t="shared" si="7"/>
        <v>31</v>
      </c>
      <c r="M173" s="4">
        <f t="shared" si="8"/>
        <v>2025</v>
      </c>
    </row>
    <row r="174" spans="1:13" x14ac:dyDescent="0.25">
      <c r="A174" s="1" t="s">
        <v>778</v>
      </c>
      <c r="B174" s="1" t="str">
        <f t="shared" si="6"/>
        <v>ENC-344</v>
      </c>
      <c r="C174" s="1" t="s">
        <v>70</v>
      </c>
      <c r="D174" s="3">
        <v>22436</v>
      </c>
      <c r="E174" s="1" t="s">
        <v>52</v>
      </c>
      <c r="F174" s="1" t="s">
        <v>16</v>
      </c>
      <c r="G174" s="1" t="s">
        <v>1778</v>
      </c>
      <c r="H174" s="1" t="s">
        <v>1779</v>
      </c>
      <c r="I174" s="1" t="s">
        <v>2096</v>
      </c>
      <c r="J174" s="3">
        <v>45675</v>
      </c>
      <c r="K174" s="1" t="s">
        <v>2093</v>
      </c>
      <c r="L174" s="4">
        <f t="shared" si="7"/>
        <v>63</v>
      </c>
      <c r="M174" s="4">
        <f t="shared" si="8"/>
        <v>2025</v>
      </c>
    </row>
    <row r="175" spans="1:13" x14ac:dyDescent="0.25">
      <c r="A175" s="1" t="s">
        <v>486</v>
      </c>
      <c r="B175" s="1" t="str">
        <f t="shared" si="6"/>
        <v>ENC-201</v>
      </c>
      <c r="C175" s="1" t="s">
        <v>6</v>
      </c>
      <c r="D175" s="3">
        <v>25424</v>
      </c>
      <c r="E175" s="1" t="s">
        <v>35</v>
      </c>
      <c r="F175" s="1" t="s">
        <v>13</v>
      </c>
      <c r="G175" s="1" t="s">
        <v>1493</v>
      </c>
      <c r="H175" s="1" t="s">
        <v>1494</v>
      </c>
      <c r="I175" s="1" t="s">
        <v>2087</v>
      </c>
      <c r="J175" s="3">
        <v>45669</v>
      </c>
      <c r="K175" s="1" t="s">
        <v>2089</v>
      </c>
      <c r="L175" s="4">
        <f t="shared" si="7"/>
        <v>55</v>
      </c>
      <c r="M175" s="4">
        <f t="shared" si="8"/>
        <v>2025</v>
      </c>
    </row>
    <row r="176" spans="1:13" x14ac:dyDescent="0.25">
      <c r="A176" s="1" t="s">
        <v>569</v>
      </c>
      <c r="B176" s="1" t="str">
        <f t="shared" si="6"/>
        <v>ENC-241</v>
      </c>
      <c r="C176" s="1" t="s">
        <v>84</v>
      </c>
      <c r="D176" s="3">
        <v>34703</v>
      </c>
      <c r="E176" s="1" t="s">
        <v>52</v>
      </c>
      <c r="F176" s="1" t="s">
        <v>20</v>
      </c>
      <c r="G176" s="1" t="s">
        <v>1572</v>
      </c>
      <c r="H176" s="1" t="s">
        <v>1573</v>
      </c>
      <c r="I176" s="1" t="s">
        <v>2087</v>
      </c>
      <c r="J176" s="3">
        <v>45663</v>
      </c>
      <c r="K176" s="1" t="s">
        <v>2108</v>
      </c>
      <c r="L176" s="4">
        <f t="shared" si="7"/>
        <v>30</v>
      </c>
      <c r="M176" s="4">
        <f t="shared" si="8"/>
        <v>2025</v>
      </c>
    </row>
    <row r="177" spans="1:13" x14ac:dyDescent="0.25">
      <c r="A177" s="1" t="s">
        <v>640</v>
      </c>
      <c r="B177" s="1" t="str">
        <f t="shared" si="6"/>
        <v>ENC-275</v>
      </c>
      <c r="C177" s="1" t="s">
        <v>152</v>
      </c>
      <c r="D177" s="3">
        <v>29481</v>
      </c>
      <c r="E177" s="1" t="s">
        <v>35</v>
      </c>
      <c r="F177" s="1" t="s">
        <v>20</v>
      </c>
      <c r="G177" s="1" t="s">
        <v>1640</v>
      </c>
      <c r="H177" s="1" t="s">
        <v>1641</v>
      </c>
      <c r="I177" s="1" t="s">
        <v>2087</v>
      </c>
      <c r="J177" s="3">
        <v>45662</v>
      </c>
      <c r="K177" s="1" t="s">
        <v>2108</v>
      </c>
      <c r="L177" s="4">
        <f t="shared" si="7"/>
        <v>44</v>
      </c>
      <c r="M177" s="4">
        <f t="shared" si="8"/>
        <v>2025</v>
      </c>
    </row>
    <row r="178" spans="1:13" x14ac:dyDescent="0.25">
      <c r="A178" s="1" t="s">
        <v>678</v>
      </c>
      <c r="B178" s="1" t="str">
        <f t="shared" si="6"/>
        <v>ENC-294</v>
      </c>
      <c r="C178" s="1" t="s">
        <v>499</v>
      </c>
      <c r="D178" s="3">
        <v>16396</v>
      </c>
      <c r="E178" s="1" t="s">
        <v>8</v>
      </c>
      <c r="F178" s="1" t="s">
        <v>24</v>
      </c>
      <c r="G178" s="1" t="s">
        <v>1678</v>
      </c>
      <c r="H178" s="1" t="s">
        <v>1679</v>
      </c>
      <c r="I178" s="1" t="s">
        <v>2096</v>
      </c>
      <c r="J178" s="3">
        <v>45662</v>
      </c>
      <c r="K178" s="1" t="s">
        <v>2104</v>
      </c>
      <c r="L178" s="4">
        <f t="shared" si="7"/>
        <v>80</v>
      </c>
      <c r="M178" s="4">
        <f t="shared" si="8"/>
        <v>2025</v>
      </c>
    </row>
    <row r="179" spans="1:13" x14ac:dyDescent="0.25">
      <c r="A179" s="1" t="s">
        <v>376</v>
      </c>
      <c r="B179" s="1" t="str">
        <f t="shared" si="6"/>
        <v>ENC-149</v>
      </c>
      <c r="C179" s="1" t="s">
        <v>236</v>
      </c>
      <c r="D179" s="3">
        <v>28011</v>
      </c>
      <c r="E179" s="1" t="s">
        <v>35</v>
      </c>
      <c r="F179" s="1" t="s">
        <v>9</v>
      </c>
      <c r="G179" s="1" t="s">
        <v>1389</v>
      </c>
      <c r="H179" s="1" t="s">
        <v>1390</v>
      </c>
      <c r="I179" s="1" t="s">
        <v>2087</v>
      </c>
      <c r="J179" s="3">
        <v>45661</v>
      </c>
      <c r="K179" s="1" t="s">
        <v>2108</v>
      </c>
      <c r="L179" s="4">
        <f t="shared" si="7"/>
        <v>48</v>
      </c>
      <c r="M179" s="4">
        <f t="shared" si="8"/>
        <v>2025</v>
      </c>
    </row>
    <row r="180" spans="1:13" x14ac:dyDescent="0.25">
      <c r="A180" s="1" t="s">
        <v>498</v>
      </c>
      <c r="B180" s="1" t="str">
        <f t="shared" si="6"/>
        <v>ENC-207</v>
      </c>
      <c r="C180" s="1" t="s">
        <v>499</v>
      </c>
      <c r="D180" s="3">
        <v>25867</v>
      </c>
      <c r="E180" s="1" t="s">
        <v>35</v>
      </c>
      <c r="F180" s="1" t="s">
        <v>28</v>
      </c>
      <c r="G180" s="1" t="s">
        <v>1505</v>
      </c>
      <c r="H180" s="1" t="s">
        <v>1506</v>
      </c>
      <c r="I180" s="1" t="s">
        <v>2096</v>
      </c>
      <c r="J180" s="3">
        <v>45659</v>
      </c>
      <c r="K180" s="1" t="s">
        <v>2108</v>
      </c>
      <c r="L180" s="4">
        <f t="shared" si="7"/>
        <v>54</v>
      </c>
      <c r="M180" s="4">
        <f t="shared" si="8"/>
        <v>2025</v>
      </c>
    </row>
    <row r="181" spans="1:13" x14ac:dyDescent="0.25">
      <c r="A181" s="1" t="s">
        <v>223</v>
      </c>
      <c r="B181" s="1" t="str">
        <f t="shared" si="6"/>
        <v>ENC-81</v>
      </c>
      <c r="C181" s="1" t="s">
        <v>224</v>
      </c>
      <c r="D181" s="3">
        <v>20156</v>
      </c>
      <c r="E181" s="1" t="s">
        <v>8</v>
      </c>
      <c r="F181" s="1" t="s">
        <v>13</v>
      </c>
      <c r="G181" s="1" t="s">
        <v>1254</v>
      </c>
      <c r="H181" s="1" t="s">
        <v>1255</v>
      </c>
      <c r="I181" s="1" t="s">
        <v>2087</v>
      </c>
      <c r="J181" s="3">
        <v>45658</v>
      </c>
      <c r="K181" s="1" t="s">
        <v>2093</v>
      </c>
      <c r="L181" s="4">
        <f t="shared" si="7"/>
        <v>69</v>
      </c>
      <c r="M181" s="4">
        <f t="shared" si="8"/>
        <v>2025</v>
      </c>
    </row>
    <row r="182" spans="1:13" x14ac:dyDescent="0.25">
      <c r="A182" s="1" t="s">
        <v>75</v>
      </c>
      <c r="B182" s="1" t="str">
        <f t="shared" si="6"/>
        <v>ENC-21</v>
      </c>
      <c r="C182" s="1" t="s">
        <v>76</v>
      </c>
      <c r="D182" s="3">
        <v>32341</v>
      </c>
      <c r="E182" s="1" t="s">
        <v>8</v>
      </c>
      <c r="F182" s="1" t="s">
        <v>42</v>
      </c>
      <c r="G182" s="1" t="s">
        <v>1135</v>
      </c>
      <c r="H182" s="1" t="s">
        <v>1136</v>
      </c>
      <c r="I182" s="1" t="s">
        <v>2087</v>
      </c>
      <c r="J182" s="3">
        <v>45654</v>
      </c>
      <c r="K182" s="1" t="s">
        <v>2093</v>
      </c>
      <c r="L182" s="4">
        <f t="shared" si="7"/>
        <v>36</v>
      </c>
      <c r="M182" s="4">
        <f t="shared" si="8"/>
        <v>2024</v>
      </c>
    </row>
    <row r="183" spans="1:13" x14ac:dyDescent="0.25">
      <c r="A183" s="1" t="s">
        <v>571</v>
      </c>
      <c r="B183" s="1" t="str">
        <f t="shared" si="6"/>
        <v>ENC-242</v>
      </c>
      <c r="C183" s="1" t="s">
        <v>412</v>
      </c>
      <c r="D183" s="3">
        <v>35142</v>
      </c>
      <c r="E183" s="1" t="s">
        <v>35</v>
      </c>
      <c r="F183" s="1" t="s">
        <v>13</v>
      </c>
      <c r="G183" s="1" t="s">
        <v>1574</v>
      </c>
      <c r="H183" s="1" t="s">
        <v>1575</v>
      </c>
      <c r="I183" s="1" t="s">
        <v>2096</v>
      </c>
      <c r="J183" s="3">
        <v>45654</v>
      </c>
      <c r="K183" s="1" t="s">
        <v>2093</v>
      </c>
      <c r="L183" s="4">
        <f t="shared" si="7"/>
        <v>28</v>
      </c>
      <c r="M183" s="4">
        <f t="shared" si="8"/>
        <v>2024</v>
      </c>
    </row>
    <row r="184" spans="1:13" x14ac:dyDescent="0.25">
      <c r="A184" s="1" t="s">
        <v>644</v>
      </c>
      <c r="B184" s="1" t="str">
        <f t="shared" si="6"/>
        <v>ENC-277</v>
      </c>
      <c r="C184" s="1" t="s">
        <v>396</v>
      </c>
      <c r="D184" s="3">
        <v>33208</v>
      </c>
      <c r="E184" s="1" t="s">
        <v>35</v>
      </c>
      <c r="F184" s="1" t="s">
        <v>28</v>
      </c>
      <c r="G184" s="1" t="s">
        <v>1644</v>
      </c>
      <c r="H184" s="1" t="s">
        <v>1645</v>
      </c>
      <c r="I184" s="1" t="s">
        <v>2096</v>
      </c>
      <c r="J184" s="3">
        <v>45650</v>
      </c>
      <c r="K184" s="1" t="s">
        <v>2104</v>
      </c>
      <c r="L184" s="4">
        <f t="shared" si="7"/>
        <v>34</v>
      </c>
      <c r="M184" s="4">
        <f t="shared" si="8"/>
        <v>2024</v>
      </c>
    </row>
    <row r="185" spans="1:13" x14ac:dyDescent="0.25">
      <c r="A185" s="1" t="s">
        <v>758</v>
      </c>
      <c r="B185" s="1" t="str">
        <f t="shared" si="6"/>
        <v>ENC-334</v>
      </c>
      <c r="C185" s="1" t="s">
        <v>170</v>
      </c>
      <c r="D185" s="3">
        <v>39440</v>
      </c>
      <c r="E185" s="1" t="s">
        <v>8</v>
      </c>
      <c r="F185" s="1" t="s">
        <v>56</v>
      </c>
      <c r="G185" s="1" t="s">
        <v>1758</v>
      </c>
      <c r="H185" s="1" t="s">
        <v>1759</v>
      </c>
      <c r="I185" s="1" t="s">
        <v>2087</v>
      </c>
      <c r="J185" s="3">
        <v>45632</v>
      </c>
      <c r="K185" s="1" t="s">
        <v>2093</v>
      </c>
      <c r="L185" s="4">
        <f t="shared" si="7"/>
        <v>16</v>
      </c>
      <c r="M185" s="4">
        <f t="shared" si="8"/>
        <v>2024</v>
      </c>
    </row>
    <row r="186" spans="1:13" x14ac:dyDescent="0.25">
      <c r="A186" s="1" t="s">
        <v>652</v>
      </c>
      <c r="B186" s="1" t="str">
        <f t="shared" si="6"/>
        <v>ENC-281</v>
      </c>
      <c r="C186" s="1" t="s">
        <v>216</v>
      </c>
      <c r="D186" s="3">
        <v>33012</v>
      </c>
      <c r="E186" s="1" t="s">
        <v>52</v>
      </c>
      <c r="F186" s="1" t="s">
        <v>42</v>
      </c>
      <c r="G186" s="1" t="s">
        <v>1652</v>
      </c>
      <c r="H186" s="1" t="s">
        <v>1653</v>
      </c>
      <c r="I186" s="1" t="s">
        <v>2096</v>
      </c>
      <c r="J186" s="3">
        <v>45630</v>
      </c>
      <c r="K186" s="1" t="s">
        <v>2093</v>
      </c>
      <c r="L186" s="4">
        <f t="shared" si="7"/>
        <v>34</v>
      </c>
      <c r="M186" s="4">
        <f t="shared" si="8"/>
        <v>2024</v>
      </c>
    </row>
    <row r="187" spans="1:13" x14ac:dyDescent="0.25">
      <c r="A187" s="1" t="s">
        <v>518</v>
      </c>
      <c r="B187" s="1" t="str">
        <f t="shared" si="6"/>
        <v>ENC-216</v>
      </c>
      <c r="C187" s="1" t="s">
        <v>6</v>
      </c>
      <c r="D187" s="3">
        <v>33239</v>
      </c>
      <c r="E187" s="1" t="s">
        <v>52</v>
      </c>
      <c r="F187" s="1" t="s">
        <v>13</v>
      </c>
      <c r="G187" s="1" t="s">
        <v>1523</v>
      </c>
      <c r="H187" s="1" t="s">
        <v>1524</v>
      </c>
      <c r="I187" s="1" t="s">
        <v>2096</v>
      </c>
      <c r="J187" s="3">
        <v>45614</v>
      </c>
      <c r="K187" s="1" t="s">
        <v>2104</v>
      </c>
      <c r="L187" s="4">
        <f t="shared" si="7"/>
        <v>33</v>
      </c>
      <c r="M187" s="4">
        <f t="shared" si="8"/>
        <v>2024</v>
      </c>
    </row>
    <row r="188" spans="1:13" x14ac:dyDescent="0.25">
      <c r="A188" s="1" t="s">
        <v>688</v>
      </c>
      <c r="B188" s="1" t="str">
        <f t="shared" si="6"/>
        <v>ENC-299</v>
      </c>
      <c r="C188" s="1" t="s">
        <v>18</v>
      </c>
      <c r="D188" s="3">
        <v>16547</v>
      </c>
      <c r="E188" s="1" t="s">
        <v>8</v>
      </c>
      <c r="F188" s="1" t="s">
        <v>9</v>
      </c>
      <c r="G188" s="1" t="s">
        <v>1688</v>
      </c>
      <c r="H188" s="1" t="s">
        <v>1689</v>
      </c>
      <c r="I188" s="1" t="s">
        <v>2087</v>
      </c>
      <c r="J188" s="3">
        <v>45601</v>
      </c>
      <c r="K188" s="1" t="s">
        <v>2108</v>
      </c>
      <c r="L188" s="4">
        <f t="shared" si="7"/>
        <v>79</v>
      </c>
      <c r="M188" s="4">
        <f t="shared" si="8"/>
        <v>2024</v>
      </c>
    </row>
    <row r="189" spans="1:13" x14ac:dyDescent="0.25">
      <c r="A189" s="1" t="s">
        <v>207</v>
      </c>
      <c r="B189" s="1" t="str">
        <f t="shared" si="6"/>
        <v>ENC-74</v>
      </c>
      <c r="C189" s="1" t="s">
        <v>44</v>
      </c>
      <c r="D189" s="3">
        <v>15772</v>
      </c>
      <c r="E189" s="1" t="s">
        <v>35</v>
      </c>
      <c r="F189" s="1" t="s">
        <v>56</v>
      </c>
      <c r="G189" s="1" t="s">
        <v>1240</v>
      </c>
      <c r="H189" s="1" t="s">
        <v>1241</v>
      </c>
      <c r="I189" s="1" t="s">
        <v>2096</v>
      </c>
      <c r="J189" s="3">
        <v>45590</v>
      </c>
      <c r="K189" s="1" t="s">
        <v>2108</v>
      </c>
      <c r="L189" s="4">
        <f t="shared" si="7"/>
        <v>81</v>
      </c>
      <c r="M189" s="4">
        <f t="shared" si="8"/>
        <v>2024</v>
      </c>
    </row>
    <row r="190" spans="1:13" x14ac:dyDescent="0.25">
      <c r="A190" s="1" t="s">
        <v>599</v>
      </c>
      <c r="B190" s="1" t="str">
        <f t="shared" si="6"/>
        <v>ENC-255</v>
      </c>
      <c r="C190" s="1" t="s">
        <v>70</v>
      </c>
      <c r="D190" s="3">
        <v>18946</v>
      </c>
      <c r="E190" s="1" t="s">
        <v>35</v>
      </c>
      <c r="F190" s="1" t="s">
        <v>42</v>
      </c>
      <c r="G190" s="1" t="s">
        <v>1600</v>
      </c>
      <c r="H190" s="1" t="s">
        <v>1601</v>
      </c>
      <c r="I190" s="1" t="s">
        <v>2087</v>
      </c>
      <c r="J190" s="3">
        <v>45589</v>
      </c>
      <c r="K190" s="1" t="s">
        <v>2104</v>
      </c>
      <c r="L190" s="4">
        <f t="shared" si="7"/>
        <v>72</v>
      </c>
      <c r="M190" s="4">
        <f t="shared" si="8"/>
        <v>2024</v>
      </c>
    </row>
    <row r="191" spans="1:13" x14ac:dyDescent="0.25">
      <c r="A191" s="1" t="s">
        <v>131</v>
      </c>
      <c r="B191" s="1" t="str">
        <f t="shared" si="6"/>
        <v>ENC-43</v>
      </c>
      <c r="C191" s="1" t="s">
        <v>124</v>
      </c>
      <c r="D191" s="3">
        <v>22246</v>
      </c>
      <c r="E191" s="1" t="s">
        <v>52</v>
      </c>
      <c r="F191" s="1" t="s">
        <v>9</v>
      </c>
      <c r="G191" s="1" t="s">
        <v>1178</v>
      </c>
      <c r="H191" s="1" t="s">
        <v>1179</v>
      </c>
      <c r="I191" s="1" t="s">
        <v>2087</v>
      </c>
      <c r="J191" s="3">
        <v>45588</v>
      </c>
      <c r="K191" s="1" t="s">
        <v>2093</v>
      </c>
      <c r="L191" s="4">
        <f t="shared" si="7"/>
        <v>63</v>
      </c>
      <c r="M191" s="4">
        <f t="shared" si="8"/>
        <v>2024</v>
      </c>
    </row>
    <row r="192" spans="1:13" x14ac:dyDescent="0.25">
      <c r="A192" s="1" t="s">
        <v>5</v>
      </c>
      <c r="B192" s="1" t="str">
        <f t="shared" si="6"/>
        <v>ENC-1</v>
      </c>
      <c r="C192" s="1" t="s">
        <v>6</v>
      </c>
      <c r="D192" s="3">
        <v>40073</v>
      </c>
      <c r="E192" s="1" t="s">
        <v>8</v>
      </c>
      <c r="F192" s="1" t="s">
        <v>9</v>
      </c>
      <c r="G192" s="1" t="s">
        <v>1095</v>
      </c>
      <c r="H192" s="1" t="s">
        <v>1096</v>
      </c>
      <c r="I192" s="1" t="s">
        <v>2087</v>
      </c>
      <c r="J192" s="3">
        <v>45581</v>
      </c>
      <c r="K192" s="1" t="s">
        <v>2089</v>
      </c>
      <c r="L192" s="4">
        <f t="shared" si="7"/>
        <v>15</v>
      </c>
      <c r="M192" s="4">
        <f t="shared" si="8"/>
        <v>2024</v>
      </c>
    </row>
    <row r="193" spans="1:13" x14ac:dyDescent="0.25">
      <c r="A193" s="1" t="s">
        <v>395</v>
      </c>
      <c r="B193" s="1" t="str">
        <f t="shared" si="6"/>
        <v>ENC-158</v>
      </c>
      <c r="C193" s="1" t="s">
        <v>396</v>
      </c>
      <c r="D193" s="3">
        <v>24406</v>
      </c>
      <c r="E193" s="1" t="s">
        <v>52</v>
      </c>
      <c r="F193" s="1" t="s">
        <v>9</v>
      </c>
      <c r="G193" s="1" t="s">
        <v>1407</v>
      </c>
      <c r="H193" s="1" t="s">
        <v>1408</v>
      </c>
      <c r="I193" s="1" t="s">
        <v>2096</v>
      </c>
      <c r="J193" s="3">
        <v>45571</v>
      </c>
      <c r="K193" s="1" t="s">
        <v>2089</v>
      </c>
      <c r="L193" s="4">
        <f t="shared" si="7"/>
        <v>57</v>
      </c>
      <c r="M193" s="4">
        <f t="shared" si="8"/>
        <v>2024</v>
      </c>
    </row>
    <row r="194" spans="1:13" x14ac:dyDescent="0.25">
      <c r="A194" s="1" t="s">
        <v>315</v>
      </c>
      <c r="B194" s="1" t="str">
        <f t="shared" ref="B194:B257" si="9">"ENC-"&amp;(VALUE(RIGHT(A194,4))-1000)</f>
        <v>ENC-121</v>
      </c>
      <c r="C194" s="1" t="s">
        <v>37</v>
      </c>
      <c r="D194" s="3">
        <v>17698</v>
      </c>
      <c r="E194" s="1" t="s">
        <v>52</v>
      </c>
      <c r="F194" s="1" t="s">
        <v>16</v>
      </c>
      <c r="G194" s="1" t="s">
        <v>1333</v>
      </c>
      <c r="H194" s="1" t="s">
        <v>1334</v>
      </c>
      <c r="I194" s="1" t="s">
        <v>2096</v>
      </c>
      <c r="J194" s="3">
        <v>45568</v>
      </c>
      <c r="K194" s="1" t="s">
        <v>2104</v>
      </c>
      <c r="L194" s="4">
        <f t="shared" ref="L194:L257" si="10">DATEDIF(D194,J194,"Y")</f>
        <v>76</v>
      </c>
      <c r="M194" s="4">
        <f t="shared" ref="M194:M257" si="11">YEAR(J194)</f>
        <v>2024</v>
      </c>
    </row>
    <row r="195" spans="1:13" x14ac:dyDescent="0.25">
      <c r="A195" s="1" t="s">
        <v>632</v>
      </c>
      <c r="B195" s="1" t="str">
        <f t="shared" si="9"/>
        <v>ENC-271</v>
      </c>
      <c r="C195" s="1" t="s">
        <v>44</v>
      </c>
      <c r="D195" s="3">
        <v>33447</v>
      </c>
      <c r="E195" s="1" t="s">
        <v>35</v>
      </c>
      <c r="F195" s="1" t="s">
        <v>9</v>
      </c>
      <c r="G195" s="1" t="s">
        <v>1632</v>
      </c>
      <c r="H195" s="1" t="s">
        <v>1633</v>
      </c>
      <c r="I195" s="1" t="s">
        <v>2087</v>
      </c>
      <c r="J195" s="3">
        <v>45568</v>
      </c>
      <c r="K195" s="1" t="s">
        <v>2108</v>
      </c>
      <c r="L195" s="4">
        <f t="shared" si="10"/>
        <v>33</v>
      </c>
      <c r="M195" s="4">
        <f t="shared" si="11"/>
        <v>2024</v>
      </c>
    </row>
    <row r="196" spans="1:13" x14ac:dyDescent="0.25">
      <c r="A196" s="1" t="s">
        <v>770</v>
      </c>
      <c r="B196" s="1" t="str">
        <f t="shared" si="9"/>
        <v>ENC-340</v>
      </c>
      <c r="C196" s="1" t="s">
        <v>87</v>
      </c>
      <c r="D196" s="3">
        <v>23406</v>
      </c>
      <c r="E196" s="1" t="s">
        <v>52</v>
      </c>
      <c r="F196" s="1" t="s">
        <v>42</v>
      </c>
      <c r="G196" s="1" t="s">
        <v>1770</v>
      </c>
      <c r="H196" s="1" t="s">
        <v>1771</v>
      </c>
      <c r="I196" s="1" t="s">
        <v>2096</v>
      </c>
      <c r="J196" s="3">
        <v>45568</v>
      </c>
      <c r="K196" s="1" t="s">
        <v>2108</v>
      </c>
      <c r="L196" s="4">
        <f t="shared" si="10"/>
        <v>60</v>
      </c>
      <c r="M196" s="4">
        <f t="shared" si="11"/>
        <v>2024</v>
      </c>
    </row>
    <row r="197" spans="1:13" x14ac:dyDescent="0.25">
      <c r="A197" s="1" t="s">
        <v>1063</v>
      </c>
      <c r="B197" s="1" t="str">
        <f t="shared" si="9"/>
        <v>ENC-486</v>
      </c>
      <c r="C197" s="1" t="s">
        <v>73</v>
      </c>
      <c r="D197" s="3">
        <v>37752</v>
      </c>
      <c r="E197" s="1" t="s">
        <v>8</v>
      </c>
      <c r="F197" s="1" t="s">
        <v>24</v>
      </c>
      <c r="G197" s="1" t="s">
        <v>2053</v>
      </c>
      <c r="H197" s="1" t="s">
        <v>2054</v>
      </c>
      <c r="I197" s="1" t="s">
        <v>2087</v>
      </c>
      <c r="J197" s="3">
        <v>45550</v>
      </c>
      <c r="K197" s="1" t="s">
        <v>2089</v>
      </c>
      <c r="L197" s="4">
        <f t="shared" si="10"/>
        <v>21</v>
      </c>
      <c r="M197" s="4">
        <f t="shared" si="11"/>
        <v>2024</v>
      </c>
    </row>
    <row r="198" spans="1:13" x14ac:dyDescent="0.25">
      <c r="A198" s="1" t="s">
        <v>578</v>
      </c>
      <c r="B198" s="1" t="str">
        <f t="shared" si="9"/>
        <v>ENC-245</v>
      </c>
      <c r="C198" s="1" t="s">
        <v>396</v>
      </c>
      <c r="D198" s="3">
        <v>38596</v>
      </c>
      <c r="E198" s="1" t="s">
        <v>8</v>
      </c>
      <c r="F198" s="1" t="s">
        <v>24</v>
      </c>
      <c r="G198" s="1" t="s">
        <v>1580</v>
      </c>
      <c r="H198" s="1" t="s">
        <v>1581</v>
      </c>
      <c r="I198" s="1" t="s">
        <v>2087</v>
      </c>
      <c r="J198" s="3">
        <v>45546</v>
      </c>
      <c r="K198" s="1" t="s">
        <v>2104</v>
      </c>
      <c r="L198" s="4">
        <f t="shared" si="10"/>
        <v>19</v>
      </c>
      <c r="M198" s="4">
        <f t="shared" si="11"/>
        <v>2024</v>
      </c>
    </row>
    <row r="199" spans="1:13" x14ac:dyDescent="0.25">
      <c r="A199" s="1" t="s">
        <v>831</v>
      </c>
      <c r="B199" s="1" t="str">
        <f t="shared" si="9"/>
        <v>ENC-370</v>
      </c>
      <c r="C199" s="1" t="s">
        <v>322</v>
      </c>
      <c r="D199" s="3">
        <v>33764</v>
      </c>
      <c r="E199" s="1" t="s">
        <v>35</v>
      </c>
      <c r="F199" s="1" t="s">
        <v>20</v>
      </c>
      <c r="G199" s="1" t="s">
        <v>1829</v>
      </c>
      <c r="H199" s="1" t="s">
        <v>1830</v>
      </c>
      <c r="I199" s="1" t="s">
        <v>2096</v>
      </c>
      <c r="J199" s="3">
        <v>45539</v>
      </c>
      <c r="K199" s="1" t="s">
        <v>2093</v>
      </c>
      <c r="L199" s="4">
        <f t="shared" si="10"/>
        <v>32</v>
      </c>
      <c r="M199" s="4">
        <f t="shared" si="11"/>
        <v>2024</v>
      </c>
    </row>
    <row r="200" spans="1:13" x14ac:dyDescent="0.25">
      <c r="A200" s="1" t="s">
        <v>262</v>
      </c>
      <c r="B200" s="1" t="str">
        <f t="shared" si="9"/>
        <v>ENC-97</v>
      </c>
      <c r="C200" s="1" t="s">
        <v>263</v>
      </c>
      <c r="D200" s="3">
        <v>29573</v>
      </c>
      <c r="E200" s="1" t="s">
        <v>52</v>
      </c>
      <c r="F200" s="1" t="s">
        <v>42</v>
      </c>
      <c r="G200" s="1" t="s">
        <v>1286</v>
      </c>
      <c r="H200" s="1" t="s">
        <v>1287</v>
      </c>
      <c r="I200" s="1" t="s">
        <v>2096</v>
      </c>
      <c r="J200" s="3">
        <v>45537</v>
      </c>
      <c r="K200" s="1" t="s">
        <v>2093</v>
      </c>
      <c r="L200" s="4">
        <f t="shared" si="10"/>
        <v>43</v>
      </c>
      <c r="M200" s="4">
        <f t="shared" si="11"/>
        <v>2024</v>
      </c>
    </row>
    <row r="201" spans="1:13" x14ac:dyDescent="0.25">
      <c r="A201" s="1" t="s">
        <v>1033</v>
      </c>
      <c r="B201" s="1" t="str">
        <f t="shared" si="9"/>
        <v>ENC-471</v>
      </c>
      <c r="C201" s="1" t="s">
        <v>219</v>
      </c>
      <c r="D201" s="3">
        <v>36297</v>
      </c>
      <c r="E201" s="1" t="s">
        <v>35</v>
      </c>
      <c r="F201" s="1" t="s">
        <v>24</v>
      </c>
      <c r="G201" s="1" t="s">
        <v>1188</v>
      </c>
      <c r="H201" s="1" t="s">
        <v>2025</v>
      </c>
      <c r="I201" s="1" t="s">
        <v>2096</v>
      </c>
      <c r="J201" s="3">
        <v>45528</v>
      </c>
      <c r="K201" s="1" t="s">
        <v>2093</v>
      </c>
      <c r="L201" s="4">
        <f t="shared" si="10"/>
        <v>25</v>
      </c>
      <c r="M201" s="4">
        <f t="shared" si="11"/>
        <v>2024</v>
      </c>
    </row>
    <row r="202" spans="1:13" x14ac:dyDescent="0.25">
      <c r="A202" s="1" t="s">
        <v>764</v>
      </c>
      <c r="B202" s="1" t="str">
        <f t="shared" si="9"/>
        <v>ENC-337</v>
      </c>
      <c r="C202" s="1" t="s">
        <v>236</v>
      </c>
      <c r="D202" s="3">
        <v>15028</v>
      </c>
      <c r="E202" s="1" t="s">
        <v>35</v>
      </c>
      <c r="F202" s="1" t="s">
        <v>28</v>
      </c>
      <c r="G202" s="1" t="s">
        <v>1764</v>
      </c>
      <c r="H202" s="1" t="s">
        <v>1765</v>
      </c>
      <c r="I202" s="1" t="s">
        <v>2096</v>
      </c>
      <c r="J202" s="3">
        <v>45516</v>
      </c>
      <c r="K202" s="1" t="s">
        <v>2093</v>
      </c>
      <c r="L202" s="4">
        <f t="shared" si="10"/>
        <v>83</v>
      </c>
      <c r="M202" s="4">
        <f t="shared" si="11"/>
        <v>2024</v>
      </c>
    </row>
    <row r="203" spans="1:13" x14ac:dyDescent="0.25">
      <c r="A203" s="1" t="s">
        <v>819</v>
      </c>
      <c r="B203" s="1" t="str">
        <f t="shared" si="9"/>
        <v>ENC-364</v>
      </c>
      <c r="C203" s="1" t="s">
        <v>50</v>
      </c>
      <c r="D203" s="3">
        <v>34472</v>
      </c>
      <c r="E203" s="1" t="s">
        <v>35</v>
      </c>
      <c r="F203" s="1" t="s">
        <v>20</v>
      </c>
      <c r="G203" s="1" t="s">
        <v>1818</v>
      </c>
      <c r="H203" s="1" t="s">
        <v>1819</v>
      </c>
      <c r="I203" s="1" t="s">
        <v>2087</v>
      </c>
      <c r="J203" s="3">
        <v>45516</v>
      </c>
      <c r="K203" s="1" t="s">
        <v>2104</v>
      </c>
      <c r="L203" s="4">
        <f t="shared" si="10"/>
        <v>30</v>
      </c>
      <c r="M203" s="4">
        <f t="shared" si="11"/>
        <v>2024</v>
      </c>
    </row>
    <row r="204" spans="1:13" x14ac:dyDescent="0.25">
      <c r="A204" s="1" t="s">
        <v>355</v>
      </c>
      <c r="B204" s="1" t="str">
        <f t="shared" si="9"/>
        <v>ENC-140</v>
      </c>
      <c r="C204" s="1" t="s">
        <v>356</v>
      </c>
      <c r="D204" s="3">
        <v>32681</v>
      </c>
      <c r="E204" s="1" t="s">
        <v>52</v>
      </c>
      <c r="F204" s="1" t="s">
        <v>56</v>
      </c>
      <c r="G204" s="1" t="s">
        <v>1371</v>
      </c>
      <c r="H204" s="1" t="s">
        <v>1372</v>
      </c>
      <c r="I204" s="1" t="s">
        <v>2087</v>
      </c>
      <c r="J204" s="3">
        <v>45513</v>
      </c>
      <c r="K204" s="1" t="s">
        <v>2089</v>
      </c>
      <c r="L204" s="4">
        <f t="shared" si="10"/>
        <v>35</v>
      </c>
      <c r="M204" s="4">
        <f t="shared" si="11"/>
        <v>2024</v>
      </c>
    </row>
    <row r="205" spans="1:13" x14ac:dyDescent="0.25">
      <c r="A205" s="1" t="s">
        <v>686</v>
      </c>
      <c r="B205" s="1" t="str">
        <f t="shared" si="9"/>
        <v>ENC-298</v>
      </c>
      <c r="C205" s="1" t="s">
        <v>90</v>
      </c>
      <c r="D205" s="3">
        <v>21479</v>
      </c>
      <c r="E205" s="1" t="s">
        <v>35</v>
      </c>
      <c r="F205" s="1" t="s">
        <v>16</v>
      </c>
      <c r="G205" s="1" t="s">
        <v>1686</v>
      </c>
      <c r="H205" s="1" t="s">
        <v>1687</v>
      </c>
      <c r="I205" s="1" t="s">
        <v>2087</v>
      </c>
      <c r="J205" s="3">
        <v>45511</v>
      </c>
      <c r="K205" s="1" t="s">
        <v>2108</v>
      </c>
      <c r="L205" s="4">
        <f t="shared" si="10"/>
        <v>65</v>
      </c>
      <c r="M205" s="4">
        <f t="shared" si="11"/>
        <v>2024</v>
      </c>
    </row>
    <row r="206" spans="1:13" x14ac:dyDescent="0.25">
      <c r="A206" s="1" t="s">
        <v>347</v>
      </c>
      <c r="B206" s="1" t="str">
        <f t="shared" si="9"/>
        <v>ENC-136</v>
      </c>
      <c r="C206" s="1" t="s">
        <v>152</v>
      </c>
      <c r="D206" s="3">
        <v>31305</v>
      </c>
      <c r="E206" s="1" t="s">
        <v>52</v>
      </c>
      <c r="F206" s="1" t="s">
        <v>20</v>
      </c>
      <c r="G206" s="1" t="s">
        <v>1363</v>
      </c>
      <c r="H206" s="1" t="s">
        <v>1364</v>
      </c>
      <c r="I206" s="1" t="s">
        <v>2087</v>
      </c>
      <c r="J206" s="3">
        <v>45510</v>
      </c>
      <c r="K206" s="1" t="s">
        <v>2108</v>
      </c>
      <c r="L206" s="4">
        <f t="shared" si="10"/>
        <v>38</v>
      </c>
      <c r="M206" s="4">
        <f t="shared" si="11"/>
        <v>2024</v>
      </c>
    </row>
    <row r="207" spans="1:13" x14ac:dyDescent="0.25">
      <c r="A207" s="1" t="s">
        <v>141</v>
      </c>
      <c r="B207" s="1" t="str">
        <f t="shared" si="9"/>
        <v>ENC-47</v>
      </c>
      <c r="C207" s="1" t="s">
        <v>90</v>
      </c>
      <c r="D207" s="3">
        <v>37445</v>
      </c>
      <c r="E207" s="1" t="s">
        <v>52</v>
      </c>
      <c r="F207" s="1" t="s">
        <v>13</v>
      </c>
      <c r="G207" s="1" t="s">
        <v>1186</v>
      </c>
      <c r="H207" s="1" t="s">
        <v>1187</v>
      </c>
      <c r="I207" s="1" t="s">
        <v>2087</v>
      </c>
      <c r="J207" s="3">
        <v>45504</v>
      </c>
      <c r="K207" s="1" t="s">
        <v>2108</v>
      </c>
      <c r="L207" s="4">
        <f t="shared" si="10"/>
        <v>22</v>
      </c>
      <c r="M207" s="4">
        <f t="shared" si="11"/>
        <v>2024</v>
      </c>
    </row>
    <row r="208" spans="1:13" x14ac:dyDescent="0.25">
      <c r="A208" s="1" t="s">
        <v>482</v>
      </c>
      <c r="B208" s="1" t="str">
        <f t="shared" si="9"/>
        <v>ENC-199</v>
      </c>
      <c r="C208" s="1" t="s">
        <v>18</v>
      </c>
      <c r="D208" s="3">
        <v>28786</v>
      </c>
      <c r="E208" s="1" t="s">
        <v>52</v>
      </c>
      <c r="F208" s="1" t="s">
        <v>9</v>
      </c>
      <c r="G208" s="1" t="s">
        <v>1489</v>
      </c>
      <c r="H208" s="1" t="s">
        <v>1490</v>
      </c>
      <c r="I208" s="1" t="s">
        <v>2087</v>
      </c>
      <c r="J208" s="3">
        <v>45504</v>
      </c>
      <c r="K208" s="1" t="s">
        <v>2089</v>
      </c>
      <c r="L208" s="4">
        <f t="shared" si="10"/>
        <v>45</v>
      </c>
      <c r="M208" s="4">
        <f t="shared" si="11"/>
        <v>2024</v>
      </c>
    </row>
    <row r="209" spans="1:13" x14ac:dyDescent="0.25">
      <c r="A209" s="1" t="s">
        <v>592</v>
      </c>
      <c r="B209" s="1" t="str">
        <f t="shared" si="9"/>
        <v>ENC-252</v>
      </c>
      <c r="C209" s="1" t="s">
        <v>30</v>
      </c>
      <c r="D209" s="3">
        <v>26249</v>
      </c>
      <c r="E209" s="1" t="s">
        <v>35</v>
      </c>
      <c r="F209" s="1" t="s">
        <v>28</v>
      </c>
      <c r="G209" s="1" t="s">
        <v>1594</v>
      </c>
      <c r="H209" s="1" t="s">
        <v>1595</v>
      </c>
      <c r="I209" s="1" t="s">
        <v>2096</v>
      </c>
      <c r="J209" s="3">
        <v>45497</v>
      </c>
      <c r="K209" s="1" t="s">
        <v>2093</v>
      </c>
      <c r="L209" s="4">
        <f t="shared" si="10"/>
        <v>52</v>
      </c>
      <c r="M209" s="4">
        <f t="shared" si="11"/>
        <v>2024</v>
      </c>
    </row>
    <row r="210" spans="1:13" x14ac:dyDescent="0.25">
      <c r="A210" s="1" t="s">
        <v>121</v>
      </c>
      <c r="B210" s="1" t="str">
        <f t="shared" si="9"/>
        <v>ENC-39</v>
      </c>
      <c r="C210" s="1" t="s">
        <v>67</v>
      </c>
      <c r="D210" s="3">
        <v>27598</v>
      </c>
      <c r="E210" s="1" t="s">
        <v>35</v>
      </c>
      <c r="F210" s="1" t="s">
        <v>16</v>
      </c>
      <c r="G210" s="1" t="s">
        <v>1170</v>
      </c>
      <c r="H210" s="1" t="s">
        <v>1171</v>
      </c>
      <c r="I210" s="1" t="s">
        <v>2096</v>
      </c>
      <c r="J210" s="3">
        <v>45496</v>
      </c>
      <c r="K210" s="1" t="s">
        <v>2093</v>
      </c>
      <c r="L210" s="4">
        <f t="shared" si="10"/>
        <v>49</v>
      </c>
      <c r="M210" s="4">
        <f t="shared" si="11"/>
        <v>2024</v>
      </c>
    </row>
    <row r="211" spans="1:13" x14ac:dyDescent="0.25">
      <c r="A211" s="1" t="s">
        <v>1005</v>
      </c>
      <c r="B211" s="1" t="str">
        <f t="shared" si="9"/>
        <v>ENC-457</v>
      </c>
      <c r="C211" s="1" t="s">
        <v>18</v>
      </c>
      <c r="D211" s="3">
        <v>18549</v>
      </c>
      <c r="E211" s="1" t="s">
        <v>52</v>
      </c>
      <c r="F211" s="1" t="s">
        <v>13</v>
      </c>
      <c r="G211" s="1" t="s">
        <v>2000</v>
      </c>
      <c r="H211" s="1" t="s">
        <v>2001</v>
      </c>
      <c r="I211" s="1" t="s">
        <v>2087</v>
      </c>
      <c r="J211" s="3">
        <v>45494</v>
      </c>
      <c r="K211" s="1" t="s">
        <v>2089</v>
      </c>
      <c r="L211" s="4">
        <f t="shared" si="10"/>
        <v>73</v>
      </c>
      <c r="M211" s="4">
        <f t="shared" si="11"/>
        <v>2024</v>
      </c>
    </row>
    <row r="212" spans="1:13" x14ac:dyDescent="0.25">
      <c r="A212" s="1" t="s">
        <v>389</v>
      </c>
      <c r="B212" s="1" t="str">
        <f t="shared" si="9"/>
        <v>ENC-155</v>
      </c>
      <c r="C212" s="1" t="s">
        <v>87</v>
      </c>
      <c r="D212" s="3">
        <v>37854</v>
      </c>
      <c r="E212" s="1" t="s">
        <v>52</v>
      </c>
      <c r="F212" s="1" t="s">
        <v>42</v>
      </c>
      <c r="G212" s="1" t="s">
        <v>1401</v>
      </c>
      <c r="H212" s="1" t="s">
        <v>1402</v>
      </c>
      <c r="I212" s="1" t="s">
        <v>2087</v>
      </c>
      <c r="J212" s="3">
        <v>45490</v>
      </c>
      <c r="K212" s="1" t="s">
        <v>2093</v>
      </c>
      <c r="L212" s="4">
        <f t="shared" si="10"/>
        <v>20</v>
      </c>
      <c r="M212" s="4">
        <f t="shared" si="11"/>
        <v>2024</v>
      </c>
    </row>
    <row r="213" spans="1:13" x14ac:dyDescent="0.25">
      <c r="A213" s="1" t="s">
        <v>853</v>
      </c>
      <c r="B213" s="1" t="str">
        <f t="shared" si="9"/>
        <v>ENC-381</v>
      </c>
      <c r="C213" s="1" t="s">
        <v>224</v>
      </c>
      <c r="D213" s="3">
        <v>26586</v>
      </c>
      <c r="E213" s="1" t="s">
        <v>35</v>
      </c>
      <c r="F213" s="1" t="s">
        <v>56</v>
      </c>
      <c r="G213" s="1" t="s">
        <v>1851</v>
      </c>
      <c r="H213" s="1" t="s">
        <v>1852</v>
      </c>
      <c r="I213" s="1" t="s">
        <v>2087</v>
      </c>
      <c r="J213" s="3">
        <v>45487</v>
      </c>
      <c r="K213" s="1" t="s">
        <v>2104</v>
      </c>
      <c r="L213" s="4">
        <f t="shared" si="10"/>
        <v>51</v>
      </c>
      <c r="M213" s="4">
        <f t="shared" si="11"/>
        <v>2024</v>
      </c>
    </row>
    <row r="214" spans="1:13" x14ac:dyDescent="0.25">
      <c r="A214" s="1" t="s">
        <v>310</v>
      </c>
      <c r="B214" s="1" t="str">
        <f t="shared" si="9"/>
        <v>ENC-119</v>
      </c>
      <c r="C214" s="1" t="s">
        <v>246</v>
      </c>
      <c r="D214" s="3">
        <v>37058</v>
      </c>
      <c r="E214" s="1" t="s">
        <v>35</v>
      </c>
      <c r="F214" s="1" t="s">
        <v>9</v>
      </c>
      <c r="G214" s="1" t="s">
        <v>1329</v>
      </c>
      <c r="H214" s="1" t="s">
        <v>1330</v>
      </c>
      <c r="I214" s="1" t="s">
        <v>2087</v>
      </c>
      <c r="J214" s="3">
        <v>45479</v>
      </c>
      <c r="K214" s="1" t="s">
        <v>2089</v>
      </c>
      <c r="L214" s="4">
        <f t="shared" si="10"/>
        <v>23</v>
      </c>
      <c r="M214" s="4">
        <f t="shared" si="11"/>
        <v>2024</v>
      </c>
    </row>
    <row r="215" spans="1:13" x14ac:dyDescent="0.25">
      <c r="A215" s="1" t="s">
        <v>833</v>
      </c>
      <c r="B215" s="1" t="str">
        <f t="shared" si="9"/>
        <v>ENC-371</v>
      </c>
      <c r="C215" s="1" t="s">
        <v>809</v>
      </c>
      <c r="D215" s="3">
        <v>37342</v>
      </c>
      <c r="E215" s="1" t="s">
        <v>8</v>
      </c>
      <c r="F215" s="1" t="s">
        <v>24</v>
      </c>
      <c r="G215" s="1" t="s">
        <v>1831</v>
      </c>
      <c r="H215" s="1" t="s">
        <v>1832</v>
      </c>
      <c r="I215" s="1" t="s">
        <v>2087</v>
      </c>
      <c r="J215" s="3">
        <v>45475</v>
      </c>
      <c r="K215" s="1" t="s">
        <v>2104</v>
      </c>
      <c r="L215" s="4">
        <f t="shared" si="10"/>
        <v>22</v>
      </c>
      <c r="M215" s="4">
        <f t="shared" si="11"/>
        <v>2024</v>
      </c>
    </row>
    <row r="216" spans="1:13" x14ac:dyDescent="0.25">
      <c r="A216" s="1" t="s">
        <v>1059</v>
      </c>
      <c r="B216" s="1" t="str">
        <f t="shared" si="9"/>
        <v>ENC-484</v>
      </c>
      <c r="C216" s="1" t="s">
        <v>22</v>
      </c>
      <c r="D216" s="3">
        <v>28587</v>
      </c>
      <c r="E216" s="1" t="s">
        <v>35</v>
      </c>
      <c r="F216" s="1" t="s">
        <v>42</v>
      </c>
      <c r="G216" s="1" t="s">
        <v>2049</v>
      </c>
      <c r="H216" s="1" t="s">
        <v>2050</v>
      </c>
      <c r="I216" s="1" t="s">
        <v>2096</v>
      </c>
      <c r="J216" s="3">
        <v>45472</v>
      </c>
      <c r="K216" s="1" t="s">
        <v>2093</v>
      </c>
      <c r="L216" s="4">
        <f t="shared" si="10"/>
        <v>46</v>
      </c>
      <c r="M216" s="4">
        <f t="shared" si="11"/>
        <v>2024</v>
      </c>
    </row>
    <row r="217" spans="1:13" x14ac:dyDescent="0.25">
      <c r="A217" s="1" t="s">
        <v>290</v>
      </c>
      <c r="B217" s="1" t="str">
        <f t="shared" si="9"/>
        <v>ENC-109</v>
      </c>
      <c r="C217" s="1" t="s">
        <v>198</v>
      </c>
      <c r="D217" s="3">
        <v>29459</v>
      </c>
      <c r="E217" s="1" t="s">
        <v>52</v>
      </c>
      <c r="F217" s="1" t="s">
        <v>16</v>
      </c>
      <c r="G217" s="1" t="s">
        <v>1309</v>
      </c>
      <c r="H217" s="1" t="s">
        <v>1310</v>
      </c>
      <c r="I217" s="1" t="s">
        <v>2096</v>
      </c>
      <c r="J217" s="3">
        <v>45467</v>
      </c>
      <c r="K217" s="1" t="s">
        <v>2108</v>
      </c>
      <c r="L217" s="4">
        <f t="shared" si="10"/>
        <v>43</v>
      </c>
      <c r="M217" s="4">
        <f t="shared" si="11"/>
        <v>2024</v>
      </c>
    </row>
    <row r="218" spans="1:13" x14ac:dyDescent="0.25">
      <c r="A218" s="1" t="s">
        <v>881</v>
      </c>
      <c r="B218" s="1" t="str">
        <f t="shared" si="9"/>
        <v>ENC-395</v>
      </c>
      <c r="C218" s="1" t="s">
        <v>129</v>
      </c>
      <c r="D218" s="3">
        <v>30583</v>
      </c>
      <c r="E218" s="1" t="s">
        <v>8</v>
      </c>
      <c r="F218" s="1" t="s">
        <v>24</v>
      </c>
      <c r="G218" s="1" t="s">
        <v>1879</v>
      </c>
      <c r="H218" s="1" t="s">
        <v>1880</v>
      </c>
      <c r="I218" s="1" t="s">
        <v>2087</v>
      </c>
      <c r="J218" s="3">
        <v>45467</v>
      </c>
      <c r="K218" s="1" t="s">
        <v>2104</v>
      </c>
      <c r="L218" s="4">
        <f t="shared" si="10"/>
        <v>40</v>
      </c>
      <c r="M218" s="4">
        <f t="shared" si="11"/>
        <v>2024</v>
      </c>
    </row>
    <row r="219" spans="1:13" x14ac:dyDescent="0.25">
      <c r="A219" s="1" t="s">
        <v>962</v>
      </c>
      <c r="B219" s="1" t="str">
        <f t="shared" si="9"/>
        <v>ENC-435</v>
      </c>
      <c r="C219" s="1" t="s">
        <v>50</v>
      </c>
      <c r="D219" s="3">
        <v>37727</v>
      </c>
      <c r="E219" s="1" t="s">
        <v>52</v>
      </c>
      <c r="F219" s="1" t="s">
        <v>24</v>
      </c>
      <c r="G219" s="1" t="s">
        <v>1956</v>
      </c>
      <c r="H219" s="1" t="s">
        <v>1957</v>
      </c>
      <c r="I219" s="1" t="s">
        <v>2096</v>
      </c>
      <c r="J219" s="3">
        <v>45467</v>
      </c>
      <c r="K219" s="1" t="s">
        <v>2108</v>
      </c>
      <c r="L219" s="4">
        <f t="shared" si="10"/>
        <v>21</v>
      </c>
      <c r="M219" s="4">
        <f t="shared" si="11"/>
        <v>2024</v>
      </c>
    </row>
    <row r="220" spans="1:13" x14ac:dyDescent="0.25">
      <c r="A220" s="1" t="s">
        <v>772</v>
      </c>
      <c r="B220" s="1" t="str">
        <f t="shared" si="9"/>
        <v>ENC-341</v>
      </c>
      <c r="C220" s="1" t="s">
        <v>597</v>
      </c>
      <c r="D220" s="3">
        <v>29633</v>
      </c>
      <c r="E220" s="1" t="s">
        <v>35</v>
      </c>
      <c r="F220" s="1" t="s">
        <v>42</v>
      </c>
      <c r="G220" s="1" t="s">
        <v>1772</v>
      </c>
      <c r="H220" s="1" t="s">
        <v>1773</v>
      </c>
      <c r="I220" s="1" t="s">
        <v>2087</v>
      </c>
      <c r="J220" s="3">
        <v>45463</v>
      </c>
      <c r="K220" s="1" t="s">
        <v>2093</v>
      </c>
      <c r="L220" s="4">
        <f t="shared" si="10"/>
        <v>43</v>
      </c>
      <c r="M220" s="4">
        <f t="shared" si="11"/>
        <v>2024</v>
      </c>
    </row>
    <row r="221" spans="1:13" x14ac:dyDescent="0.25">
      <c r="A221" s="1" t="s">
        <v>563</v>
      </c>
      <c r="B221" s="1" t="str">
        <f t="shared" si="9"/>
        <v>ENC-238</v>
      </c>
      <c r="C221" s="1" t="s">
        <v>37</v>
      </c>
      <c r="D221" s="3">
        <v>35920</v>
      </c>
      <c r="E221" s="1" t="s">
        <v>35</v>
      </c>
      <c r="F221" s="1" t="s">
        <v>42</v>
      </c>
      <c r="G221" s="1" t="s">
        <v>1566</v>
      </c>
      <c r="H221" s="1" t="s">
        <v>1567</v>
      </c>
      <c r="I221" s="1" t="s">
        <v>2087</v>
      </c>
      <c r="J221" s="3">
        <v>45462</v>
      </c>
      <c r="K221" s="1" t="s">
        <v>2093</v>
      </c>
      <c r="L221" s="4">
        <f t="shared" si="10"/>
        <v>26</v>
      </c>
      <c r="M221" s="4">
        <f t="shared" si="11"/>
        <v>2024</v>
      </c>
    </row>
    <row r="222" spans="1:13" x14ac:dyDescent="0.25">
      <c r="A222" s="1" t="s">
        <v>308</v>
      </c>
      <c r="B222" s="1" t="str">
        <f t="shared" si="9"/>
        <v>ENC-118</v>
      </c>
      <c r="C222" s="1" t="s">
        <v>266</v>
      </c>
      <c r="D222" s="3">
        <v>34123</v>
      </c>
      <c r="E222" s="1" t="s">
        <v>35</v>
      </c>
      <c r="F222" s="1" t="s">
        <v>16</v>
      </c>
      <c r="G222" s="1" t="s">
        <v>1327</v>
      </c>
      <c r="H222" s="1" t="s">
        <v>1328</v>
      </c>
      <c r="I222" s="1" t="s">
        <v>2087</v>
      </c>
      <c r="J222" s="3">
        <v>45461</v>
      </c>
      <c r="K222" s="1" t="s">
        <v>2093</v>
      </c>
      <c r="L222" s="4">
        <f t="shared" si="10"/>
        <v>31</v>
      </c>
      <c r="M222" s="4">
        <f t="shared" si="11"/>
        <v>2024</v>
      </c>
    </row>
    <row r="223" spans="1:13" x14ac:dyDescent="0.25">
      <c r="A223" s="1" t="s">
        <v>86</v>
      </c>
      <c r="B223" s="1" t="str">
        <f t="shared" si="9"/>
        <v>ENC-25</v>
      </c>
      <c r="C223" s="1" t="s">
        <v>87</v>
      </c>
      <c r="D223" s="3">
        <v>40002</v>
      </c>
      <c r="E223" s="1" t="s">
        <v>8</v>
      </c>
      <c r="F223" s="1" t="s">
        <v>56</v>
      </c>
      <c r="G223" s="1" t="s">
        <v>1143</v>
      </c>
      <c r="H223" s="1" t="s">
        <v>1144</v>
      </c>
      <c r="I223" s="1" t="s">
        <v>2096</v>
      </c>
      <c r="J223" s="3">
        <v>45448</v>
      </c>
      <c r="K223" s="1" t="s">
        <v>2104</v>
      </c>
      <c r="L223" s="4">
        <f t="shared" si="10"/>
        <v>14</v>
      </c>
      <c r="M223" s="4">
        <f t="shared" si="11"/>
        <v>2024</v>
      </c>
    </row>
    <row r="224" spans="1:13" x14ac:dyDescent="0.25">
      <c r="A224" s="1" t="s">
        <v>317</v>
      </c>
      <c r="B224" s="1" t="str">
        <f t="shared" si="9"/>
        <v>ENC-122</v>
      </c>
      <c r="C224" s="1" t="s">
        <v>163</v>
      </c>
      <c r="D224" s="3">
        <v>15897</v>
      </c>
      <c r="E224" s="1" t="s">
        <v>35</v>
      </c>
      <c r="F224" s="1" t="s">
        <v>56</v>
      </c>
      <c r="G224" s="1" t="s">
        <v>1335</v>
      </c>
      <c r="H224" s="1" t="s">
        <v>1336</v>
      </c>
      <c r="I224" s="1" t="s">
        <v>2087</v>
      </c>
      <c r="J224" s="3">
        <v>45448</v>
      </c>
      <c r="K224" s="1" t="s">
        <v>2108</v>
      </c>
      <c r="L224" s="4">
        <f t="shared" si="10"/>
        <v>80</v>
      </c>
      <c r="M224" s="4">
        <f t="shared" si="11"/>
        <v>2024</v>
      </c>
    </row>
    <row r="225" spans="1:13" x14ac:dyDescent="0.25">
      <c r="A225" s="1" t="s">
        <v>330</v>
      </c>
      <c r="B225" s="1" t="str">
        <f t="shared" si="9"/>
        <v>ENC-128</v>
      </c>
      <c r="C225" s="1" t="s">
        <v>84</v>
      </c>
      <c r="D225" s="3">
        <v>39525</v>
      </c>
      <c r="E225" s="1" t="s">
        <v>8</v>
      </c>
      <c r="F225" s="1" t="s">
        <v>28</v>
      </c>
      <c r="G225" s="1" t="s">
        <v>1347</v>
      </c>
      <c r="H225" s="1" t="s">
        <v>1348</v>
      </c>
      <c r="I225" s="1" t="s">
        <v>2096</v>
      </c>
      <c r="J225" s="3">
        <v>45445</v>
      </c>
      <c r="K225" s="1" t="s">
        <v>2093</v>
      </c>
      <c r="L225" s="4">
        <f t="shared" si="10"/>
        <v>16</v>
      </c>
      <c r="M225" s="4">
        <f t="shared" si="11"/>
        <v>2024</v>
      </c>
    </row>
    <row r="226" spans="1:13" x14ac:dyDescent="0.25">
      <c r="A226" s="1" t="s">
        <v>720</v>
      </c>
      <c r="B226" s="1" t="str">
        <f t="shared" si="9"/>
        <v>ENC-315</v>
      </c>
      <c r="C226" s="1" t="s">
        <v>278</v>
      </c>
      <c r="D226" s="3">
        <v>30829</v>
      </c>
      <c r="E226" s="1" t="s">
        <v>35</v>
      </c>
      <c r="F226" s="1" t="s">
        <v>20</v>
      </c>
      <c r="G226" s="1" t="s">
        <v>1720</v>
      </c>
      <c r="H226" s="1" t="s">
        <v>1721</v>
      </c>
      <c r="I226" s="1" t="s">
        <v>2087</v>
      </c>
      <c r="J226" s="3">
        <v>45443</v>
      </c>
      <c r="K226" s="1" t="s">
        <v>2108</v>
      </c>
      <c r="L226" s="4">
        <f t="shared" si="10"/>
        <v>40</v>
      </c>
      <c r="M226" s="4">
        <f t="shared" si="11"/>
        <v>2024</v>
      </c>
    </row>
    <row r="227" spans="1:13" x14ac:dyDescent="0.25">
      <c r="A227" s="1" t="s">
        <v>464</v>
      </c>
      <c r="B227" s="1" t="str">
        <f t="shared" si="9"/>
        <v>ENC-190</v>
      </c>
      <c r="C227" s="1" t="s">
        <v>186</v>
      </c>
      <c r="D227" s="3">
        <v>32264</v>
      </c>
      <c r="E227" s="1" t="s">
        <v>52</v>
      </c>
      <c r="F227" s="1" t="s">
        <v>24</v>
      </c>
      <c r="G227" s="1" t="s">
        <v>1471</v>
      </c>
      <c r="H227" s="1" t="s">
        <v>1472</v>
      </c>
      <c r="I227" s="1" t="s">
        <v>2087</v>
      </c>
      <c r="J227" s="3">
        <v>45439</v>
      </c>
      <c r="K227" s="1" t="s">
        <v>2089</v>
      </c>
      <c r="L227" s="4">
        <f t="shared" si="10"/>
        <v>36</v>
      </c>
      <c r="M227" s="4">
        <f t="shared" si="11"/>
        <v>2024</v>
      </c>
    </row>
    <row r="228" spans="1:13" x14ac:dyDescent="0.25">
      <c r="A228" s="1" t="s">
        <v>813</v>
      </c>
      <c r="B228" s="1" t="str">
        <f t="shared" si="9"/>
        <v>ENC-361</v>
      </c>
      <c r="C228" s="1" t="s">
        <v>597</v>
      </c>
      <c r="D228" s="3">
        <v>21661</v>
      </c>
      <c r="E228" s="1" t="s">
        <v>35</v>
      </c>
      <c r="F228" s="1" t="s">
        <v>13</v>
      </c>
      <c r="G228" s="1" t="s">
        <v>1812</v>
      </c>
      <c r="H228" s="1" t="s">
        <v>1813</v>
      </c>
      <c r="I228" s="1" t="s">
        <v>2087</v>
      </c>
      <c r="J228" s="3">
        <v>45436</v>
      </c>
      <c r="K228" s="1" t="s">
        <v>2093</v>
      </c>
      <c r="L228" s="4">
        <f t="shared" si="10"/>
        <v>65</v>
      </c>
      <c r="M228" s="4">
        <f t="shared" si="11"/>
        <v>2024</v>
      </c>
    </row>
    <row r="229" spans="1:13" x14ac:dyDescent="0.25">
      <c r="A229" s="1" t="s">
        <v>299</v>
      </c>
      <c r="B229" s="1" t="str">
        <f t="shared" si="9"/>
        <v>ENC-113</v>
      </c>
      <c r="C229" s="1" t="s">
        <v>87</v>
      </c>
      <c r="D229" s="3">
        <v>26525</v>
      </c>
      <c r="E229" s="1" t="s">
        <v>52</v>
      </c>
      <c r="F229" s="1" t="s">
        <v>42</v>
      </c>
      <c r="G229" s="1" t="s">
        <v>1317</v>
      </c>
      <c r="H229" s="1" t="s">
        <v>1318</v>
      </c>
      <c r="I229" s="1" t="s">
        <v>2096</v>
      </c>
      <c r="J229" s="3">
        <v>45431</v>
      </c>
      <c r="K229" s="1" t="s">
        <v>2093</v>
      </c>
      <c r="L229" s="4">
        <f t="shared" si="10"/>
        <v>51</v>
      </c>
      <c r="M229" s="4">
        <f t="shared" si="11"/>
        <v>2024</v>
      </c>
    </row>
    <row r="230" spans="1:13" x14ac:dyDescent="0.25">
      <c r="A230" s="1" t="s">
        <v>484</v>
      </c>
      <c r="B230" s="1" t="str">
        <f t="shared" si="9"/>
        <v>ENC-200</v>
      </c>
      <c r="C230" s="1" t="s">
        <v>216</v>
      </c>
      <c r="D230" s="3">
        <v>32234</v>
      </c>
      <c r="E230" s="1" t="s">
        <v>8</v>
      </c>
      <c r="F230" s="1" t="s">
        <v>28</v>
      </c>
      <c r="G230" s="1" t="s">
        <v>1491</v>
      </c>
      <c r="H230" s="1" t="s">
        <v>1492</v>
      </c>
      <c r="I230" s="1" t="s">
        <v>2096</v>
      </c>
      <c r="J230" s="3">
        <v>45425</v>
      </c>
      <c r="K230" s="1" t="s">
        <v>2108</v>
      </c>
      <c r="L230" s="4">
        <f t="shared" si="10"/>
        <v>36</v>
      </c>
      <c r="M230" s="4">
        <f t="shared" si="11"/>
        <v>2024</v>
      </c>
    </row>
    <row r="231" spans="1:13" x14ac:dyDescent="0.25">
      <c r="A231" s="1" t="s">
        <v>936</v>
      </c>
      <c r="B231" s="1" t="str">
        <f t="shared" si="9"/>
        <v>ENC-422</v>
      </c>
      <c r="C231" s="1" t="s">
        <v>512</v>
      </c>
      <c r="D231" s="3">
        <v>30944</v>
      </c>
      <c r="E231" s="1" t="s">
        <v>8</v>
      </c>
      <c r="F231" s="1" t="s">
        <v>20</v>
      </c>
      <c r="G231" s="1" t="s">
        <v>1932</v>
      </c>
      <c r="H231" s="1" t="s">
        <v>1933</v>
      </c>
      <c r="I231" s="1" t="s">
        <v>2096</v>
      </c>
      <c r="J231" s="3">
        <v>45425</v>
      </c>
      <c r="K231" s="1" t="s">
        <v>2104</v>
      </c>
      <c r="L231" s="4">
        <f t="shared" si="10"/>
        <v>39</v>
      </c>
      <c r="M231" s="4">
        <f t="shared" si="11"/>
        <v>2024</v>
      </c>
    </row>
    <row r="232" spans="1:13" x14ac:dyDescent="0.25">
      <c r="A232" s="1" t="s">
        <v>255</v>
      </c>
      <c r="B232" s="1" t="str">
        <f t="shared" si="9"/>
        <v>ENC-94</v>
      </c>
      <c r="C232" s="1" t="s">
        <v>256</v>
      </c>
      <c r="D232" s="3">
        <v>27399</v>
      </c>
      <c r="E232" s="1" t="s">
        <v>35</v>
      </c>
      <c r="F232" s="1" t="s">
        <v>24</v>
      </c>
      <c r="G232" s="1" t="s">
        <v>1280</v>
      </c>
      <c r="H232" s="1" t="s">
        <v>1281</v>
      </c>
      <c r="I232" s="1" t="s">
        <v>2087</v>
      </c>
      <c r="J232" s="3">
        <v>45424</v>
      </c>
      <c r="K232" s="1" t="s">
        <v>2104</v>
      </c>
      <c r="L232" s="4">
        <f t="shared" si="10"/>
        <v>49</v>
      </c>
      <c r="M232" s="4">
        <f t="shared" si="11"/>
        <v>2024</v>
      </c>
    </row>
    <row r="233" spans="1:13" x14ac:dyDescent="0.25">
      <c r="A233" s="1" t="s">
        <v>1061</v>
      </c>
      <c r="B233" s="1" t="str">
        <f t="shared" si="9"/>
        <v>ENC-485</v>
      </c>
      <c r="C233" s="1" t="s">
        <v>134</v>
      </c>
      <c r="D233" s="3">
        <v>27811</v>
      </c>
      <c r="E233" s="1" t="s">
        <v>35</v>
      </c>
      <c r="F233" s="1" t="s">
        <v>42</v>
      </c>
      <c r="G233" s="1" t="s">
        <v>2051</v>
      </c>
      <c r="H233" s="1" t="s">
        <v>2052</v>
      </c>
      <c r="I233" s="1" t="s">
        <v>2087</v>
      </c>
      <c r="J233" s="3">
        <v>45413</v>
      </c>
      <c r="K233" s="1" t="s">
        <v>2108</v>
      </c>
      <c r="L233" s="4">
        <f t="shared" si="10"/>
        <v>48</v>
      </c>
      <c r="M233" s="4">
        <f t="shared" si="11"/>
        <v>2024</v>
      </c>
    </row>
    <row r="234" spans="1:13" x14ac:dyDescent="0.25">
      <c r="A234" s="1" t="s">
        <v>439</v>
      </c>
      <c r="B234" s="1" t="str">
        <f t="shared" si="9"/>
        <v>ENC-178</v>
      </c>
      <c r="C234" s="1" t="s">
        <v>102</v>
      </c>
      <c r="D234" s="3">
        <v>36295</v>
      </c>
      <c r="E234" s="1" t="s">
        <v>35</v>
      </c>
      <c r="F234" s="1" t="s">
        <v>56</v>
      </c>
      <c r="G234" s="1" t="s">
        <v>1447</v>
      </c>
      <c r="H234" s="1" t="s">
        <v>1448</v>
      </c>
      <c r="I234" s="1" t="s">
        <v>2087</v>
      </c>
      <c r="J234" s="3">
        <v>45411</v>
      </c>
      <c r="K234" s="1" t="s">
        <v>2104</v>
      </c>
      <c r="L234" s="4">
        <f t="shared" si="10"/>
        <v>24</v>
      </c>
      <c r="M234" s="4">
        <f t="shared" si="11"/>
        <v>2024</v>
      </c>
    </row>
    <row r="235" spans="1:13" x14ac:dyDescent="0.25">
      <c r="A235" s="1" t="s">
        <v>270</v>
      </c>
      <c r="B235" s="1" t="str">
        <f t="shared" si="9"/>
        <v>ENC-100</v>
      </c>
      <c r="C235" s="1" t="s">
        <v>50</v>
      </c>
      <c r="D235" s="3">
        <v>33549</v>
      </c>
      <c r="E235" s="1" t="s">
        <v>8</v>
      </c>
      <c r="F235" s="1" t="s">
        <v>20</v>
      </c>
      <c r="G235" s="1" t="s">
        <v>1291</v>
      </c>
      <c r="H235" s="1" t="s">
        <v>1292</v>
      </c>
      <c r="I235" s="1" t="s">
        <v>2087</v>
      </c>
      <c r="J235" s="3">
        <v>45409</v>
      </c>
      <c r="K235" s="1" t="s">
        <v>2108</v>
      </c>
      <c r="L235" s="4">
        <f t="shared" si="10"/>
        <v>32</v>
      </c>
      <c r="M235" s="4">
        <f t="shared" si="11"/>
        <v>2024</v>
      </c>
    </row>
    <row r="236" spans="1:13" x14ac:dyDescent="0.25">
      <c r="A236" s="1" t="s">
        <v>95</v>
      </c>
      <c r="B236" s="1" t="str">
        <f t="shared" si="9"/>
        <v>ENC-28</v>
      </c>
      <c r="C236" s="1" t="s">
        <v>40</v>
      </c>
      <c r="D236" s="3">
        <v>39764</v>
      </c>
      <c r="E236" s="1" t="s">
        <v>52</v>
      </c>
      <c r="F236" s="1" t="s">
        <v>16</v>
      </c>
      <c r="G236" s="1" t="s">
        <v>1149</v>
      </c>
      <c r="H236" s="1" t="s">
        <v>1150</v>
      </c>
      <c r="I236" s="1" t="s">
        <v>2087</v>
      </c>
      <c r="J236" s="3">
        <v>45406</v>
      </c>
      <c r="K236" s="1" t="s">
        <v>2108</v>
      </c>
      <c r="L236" s="4">
        <f t="shared" si="10"/>
        <v>15</v>
      </c>
      <c r="M236" s="4">
        <f t="shared" si="11"/>
        <v>2024</v>
      </c>
    </row>
    <row r="237" spans="1:13" x14ac:dyDescent="0.25">
      <c r="A237" s="1" t="s">
        <v>139</v>
      </c>
      <c r="B237" s="1" t="str">
        <f t="shared" si="9"/>
        <v>ENC-46</v>
      </c>
      <c r="C237" s="1" t="s">
        <v>90</v>
      </c>
      <c r="D237" s="3">
        <v>34075</v>
      </c>
      <c r="E237" s="1" t="s">
        <v>8</v>
      </c>
      <c r="F237" s="1" t="s">
        <v>16</v>
      </c>
      <c r="G237" s="1" t="s">
        <v>1184</v>
      </c>
      <c r="H237" s="1" t="s">
        <v>1185</v>
      </c>
      <c r="I237" s="1" t="s">
        <v>2096</v>
      </c>
      <c r="J237" s="3">
        <v>45406</v>
      </c>
      <c r="K237" s="1" t="s">
        <v>2104</v>
      </c>
      <c r="L237" s="4">
        <f t="shared" si="10"/>
        <v>31</v>
      </c>
      <c r="M237" s="4">
        <f t="shared" si="11"/>
        <v>2024</v>
      </c>
    </row>
    <row r="238" spans="1:13" x14ac:dyDescent="0.25">
      <c r="A238" s="1" t="s">
        <v>213</v>
      </c>
      <c r="B238" s="1" t="str">
        <f t="shared" si="9"/>
        <v>ENC-77</v>
      </c>
      <c r="C238" s="1" t="s">
        <v>144</v>
      </c>
      <c r="D238" s="3">
        <v>27043</v>
      </c>
      <c r="E238" s="1" t="s">
        <v>52</v>
      </c>
      <c r="F238" s="1" t="s">
        <v>16</v>
      </c>
      <c r="G238" s="1" t="s">
        <v>1246</v>
      </c>
      <c r="H238" s="1" t="s">
        <v>1247</v>
      </c>
      <c r="I238" s="1" t="s">
        <v>2087</v>
      </c>
      <c r="J238" s="3">
        <v>45406</v>
      </c>
      <c r="K238" s="1" t="s">
        <v>2108</v>
      </c>
      <c r="L238" s="4">
        <f t="shared" si="10"/>
        <v>50</v>
      </c>
      <c r="M238" s="4">
        <f t="shared" si="11"/>
        <v>2024</v>
      </c>
    </row>
    <row r="239" spans="1:13" x14ac:dyDescent="0.25">
      <c r="A239" s="1" t="s">
        <v>804</v>
      </c>
      <c r="B239" s="1" t="str">
        <f t="shared" si="9"/>
        <v>ENC-357</v>
      </c>
      <c r="C239" s="1" t="s">
        <v>87</v>
      </c>
      <c r="D239" s="3">
        <v>24783</v>
      </c>
      <c r="E239" s="1" t="s">
        <v>52</v>
      </c>
      <c r="F239" s="1" t="s">
        <v>24</v>
      </c>
      <c r="G239" s="1" t="s">
        <v>1804</v>
      </c>
      <c r="H239" s="1" t="s">
        <v>1805</v>
      </c>
      <c r="I239" s="1" t="s">
        <v>2087</v>
      </c>
      <c r="J239" s="3">
        <v>45403</v>
      </c>
      <c r="K239" s="1" t="s">
        <v>2093</v>
      </c>
      <c r="L239" s="4">
        <f t="shared" si="10"/>
        <v>56</v>
      </c>
      <c r="M239" s="4">
        <f t="shared" si="11"/>
        <v>2024</v>
      </c>
    </row>
    <row r="240" spans="1:13" x14ac:dyDescent="0.25">
      <c r="A240" s="1" t="s">
        <v>386</v>
      </c>
      <c r="B240" s="1" t="str">
        <f t="shared" si="9"/>
        <v>ENC-154</v>
      </c>
      <c r="C240" s="1" t="s">
        <v>387</v>
      </c>
      <c r="D240" s="3">
        <v>33530</v>
      </c>
      <c r="E240" s="1" t="s">
        <v>52</v>
      </c>
      <c r="F240" s="1" t="s">
        <v>13</v>
      </c>
      <c r="G240" s="1" t="s">
        <v>1399</v>
      </c>
      <c r="H240" s="1" t="s">
        <v>1400</v>
      </c>
      <c r="I240" s="1" t="s">
        <v>2087</v>
      </c>
      <c r="J240" s="3">
        <v>45400</v>
      </c>
      <c r="K240" s="1" t="s">
        <v>2108</v>
      </c>
      <c r="L240" s="4">
        <f t="shared" si="10"/>
        <v>32</v>
      </c>
      <c r="M240" s="4">
        <f t="shared" si="11"/>
        <v>2024</v>
      </c>
    </row>
    <row r="241" spans="1:13" x14ac:dyDescent="0.25">
      <c r="A241" s="1" t="s">
        <v>211</v>
      </c>
      <c r="B241" s="1" t="str">
        <f t="shared" si="9"/>
        <v>ENC-76</v>
      </c>
      <c r="C241" s="1" t="s">
        <v>76</v>
      </c>
      <c r="D241" s="3">
        <v>34832</v>
      </c>
      <c r="E241" s="1" t="s">
        <v>52</v>
      </c>
      <c r="F241" s="1" t="s">
        <v>20</v>
      </c>
      <c r="G241" s="1" t="s">
        <v>1244</v>
      </c>
      <c r="H241" s="1" t="s">
        <v>1245</v>
      </c>
      <c r="I241" s="1" t="s">
        <v>2096</v>
      </c>
      <c r="J241" s="3">
        <v>45385</v>
      </c>
      <c r="K241" s="1" t="s">
        <v>2093</v>
      </c>
      <c r="L241" s="4">
        <f t="shared" si="10"/>
        <v>28</v>
      </c>
      <c r="M241" s="4">
        <f t="shared" si="11"/>
        <v>2024</v>
      </c>
    </row>
    <row r="242" spans="1:13" x14ac:dyDescent="0.25">
      <c r="A242" s="1" t="s">
        <v>1067</v>
      </c>
      <c r="B242" s="1" t="str">
        <f t="shared" si="9"/>
        <v>ENC-488</v>
      </c>
      <c r="C242" s="1" t="s">
        <v>30</v>
      </c>
      <c r="D242" s="3">
        <v>27548</v>
      </c>
      <c r="E242" s="1" t="s">
        <v>35</v>
      </c>
      <c r="F242" s="1" t="s">
        <v>13</v>
      </c>
      <c r="G242" s="1" t="s">
        <v>2057</v>
      </c>
      <c r="H242" s="1" t="s">
        <v>2058</v>
      </c>
      <c r="I242" s="1" t="s">
        <v>2087</v>
      </c>
      <c r="J242" s="3">
        <v>45382</v>
      </c>
      <c r="K242" s="1" t="s">
        <v>2108</v>
      </c>
      <c r="L242" s="4">
        <f t="shared" si="10"/>
        <v>48</v>
      </c>
      <c r="M242" s="4">
        <f t="shared" si="11"/>
        <v>2024</v>
      </c>
    </row>
    <row r="243" spans="1:13" x14ac:dyDescent="0.25">
      <c r="A243" s="1" t="s">
        <v>855</v>
      </c>
      <c r="B243" s="1" t="str">
        <f t="shared" si="9"/>
        <v>ENC-382</v>
      </c>
      <c r="C243" s="1" t="s">
        <v>129</v>
      </c>
      <c r="D243" s="3">
        <v>18456</v>
      </c>
      <c r="E243" s="1" t="s">
        <v>35</v>
      </c>
      <c r="F243" s="1" t="s">
        <v>9</v>
      </c>
      <c r="G243" s="1" t="s">
        <v>1853</v>
      </c>
      <c r="H243" s="1" t="s">
        <v>1854</v>
      </c>
      <c r="I243" s="1" t="s">
        <v>2096</v>
      </c>
      <c r="J243" s="3">
        <v>45381</v>
      </c>
      <c r="K243" s="1" t="s">
        <v>2089</v>
      </c>
      <c r="L243" s="4">
        <f t="shared" si="10"/>
        <v>73</v>
      </c>
      <c r="M243" s="4">
        <f t="shared" si="11"/>
        <v>2024</v>
      </c>
    </row>
    <row r="244" spans="1:13" x14ac:dyDescent="0.25">
      <c r="A244" s="1" t="s">
        <v>466</v>
      </c>
      <c r="B244" s="1" t="str">
        <f t="shared" si="9"/>
        <v>ENC-191</v>
      </c>
      <c r="C244" s="1" t="s">
        <v>163</v>
      </c>
      <c r="D244" s="3">
        <v>27094</v>
      </c>
      <c r="E244" s="1" t="s">
        <v>52</v>
      </c>
      <c r="F244" s="1" t="s">
        <v>42</v>
      </c>
      <c r="G244" s="1" t="s">
        <v>1473</v>
      </c>
      <c r="H244" s="1" t="s">
        <v>1474</v>
      </c>
      <c r="I244" s="1" t="s">
        <v>2087</v>
      </c>
      <c r="J244" s="3">
        <v>45373</v>
      </c>
      <c r="K244" s="1" t="s">
        <v>2089</v>
      </c>
      <c r="L244" s="4">
        <f t="shared" si="10"/>
        <v>50</v>
      </c>
      <c r="M244" s="4">
        <f t="shared" si="11"/>
        <v>2024</v>
      </c>
    </row>
    <row r="245" spans="1:13" x14ac:dyDescent="0.25">
      <c r="A245" s="1" t="s">
        <v>887</v>
      </c>
      <c r="B245" s="1" t="str">
        <f t="shared" si="9"/>
        <v>ENC-398</v>
      </c>
      <c r="C245" s="1" t="s">
        <v>297</v>
      </c>
      <c r="D245" s="3">
        <v>37378</v>
      </c>
      <c r="E245" s="1" t="s">
        <v>8</v>
      </c>
      <c r="F245" s="1" t="s">
        <v>16</v>
      </c>
      <c r="G245" s="1" t="s">
        <v>1884</v>
      </c>
      <c r="H245" s="1" t="s">
        <v>1885</v>
      </c>
      <c r="I245" s="1" t="s">
        <v>2096</v>
      </c>
      <c r="J245" s="3">
        <v>45363</v>
      </c>
      <c r="K245" s="1" t="s">
        <v>2108</v>
      </c>
      <c r="L245" s="4">
        <f t="shared" si="10"/>
        <v>21</v>
      </c>
      <c r="M245" s="4">
        <f t="shared" si="11"/>
        <v>2024</v>
      </c>
    </row>
    <row r="246" spans="1:13" x14ac:dyDescent="0.25">
      <c r="A246" s="1" t="s">
        <v>422</v>
      </c>
      <c r="B246" s="1" t="str">
        <f t="shared" si="9"/>
        <v>ENC-170</v>
      </c>
      <c r="C246" s="1" t="s">
        <v>246</v>
      </c>
      <c r="D246" s="3">
        <v>28384</v>
      </c>
      <c r="E246" s="1" t="s">
        <v>35</v>
      </c>
      <c r="F246" s="1" t="s">
        <v>13</v>
      </c>
      <c r="G246" s="1" t="s">
        <v>1431</v>
      </c>
      <c r="H246" s="1" t="s">
        <v>1432</v>
      </c>
      <c r="I246" s="1" t="s">
        <v>2096</v>
      </c>
      <c r="J246" s="3">
        <v>45362</v>
      </c>
      <c r="K246" s="1" t="s">
        <v>2108</v>
      </c>
      <c r="L246" s="4">
        <f t="shared" si="10"/>
        <v>46</v>
      </c>
      <c r="M246" s="4">
        <f t="shared" si="11"/>
        <v>2024</v>
      </c>
    </row>
    <row r="247" spans="1:13" x14ac:dyDescent="0.25">
      <c r="A247" s="1" t="s">
        <v>913</v>
      </c>
      <c r="B247" s="1" t="str">
        <f t="shared" si="9"/>
        <v>ENC-411</v>
      </c>
      <c r="C247" s="1" t="s">
        <v>37</v>
      </c>
      <c r="D247" s="3">
        <v>36406</v>
      </c>
      <c r="E247" s="1" t="s">
        <v>52</v>
      </c>
      <c r="F247" s="1" t="s">
        <v>28</v>
      </c>
      <c r="G247" s="1" t="s">
        <v>1910</v>
      </c>
      <c r="H247" s="1" t="s">
        <v>1911</v>
      </c>
      <c r="I247" s="1" t="s">
        <v>2096</v>
      </c>
      <c r="J247" s="3">
        <v>45361</v>
      </c>
      <c r="K247" s="1" t="s">
        <v>2104</v>
      </c>
      <c r="L247" s="4">
        <f t="shared" si="10"/>
        <v>24</v>
      </c>
      <c r="M247" s="4">
        <f t="shared" si="11"/>
        <v>2024</v>
      </c>
    </row>
    <row r="248" spans="1:13" x14ac:dyDescent="0.25">
      <c r="A248" s="1" t="s">
        <v>430</v>
      </c>
      <c r="B248" s="1" t="str">
        <f t="shared" si="9"/>
        <v>ENC-174</v>
      </c>
      <c r="C248" s="1" t="s">
        <v>356</v>
      </c>
      <c r="D248" s="3">
        <v>16121</v>
      </c>
      <c r="E248" s="1" t="s">
        <v>52</v>
      </c>
      <c r="F248" s="1" t="s">
        <v>9</v>
      </c>
      <c r="G248" s="1" t="s">
        <v>1439</v>
      </c>
      <c r="H248" s="1" t="s">
        <v>1440</v>
      </c>
      <c r="I248" s="1" t="s">
        <v>2096</v>
      </c>
      <c r="J248" s="3">
        <v>45355</v>
      </c>
      <c r="K248" s="1" t="s">
        <v>2089</v>
      </c>
      <c r="L248" s="4">
        <f t="shared" si="10"/>
        <v>80</v>
      </c>
      <c r="M248" s="4">
        <f t="shared" si="11"/>
        <v>2024</v>
      </c>
    </row>
    <row r="249" spans="1:13" x14ac:dyDescent="0.25">
      <c r="A249" s="1" t="s">
        <v>200</v>
      </c>
      <c r="B249" s="1" t="str">
        <f t="shared" si="9"/>
        <v>ENC-71</v>
      </c>
      <c r="C249" s="1" t="s">
        <v>201</v>
      </c>
      <c r="D249" s="3">
        <v>24082</v>
      </c>
      <c r="E249" s="1" t="s">
        <v>52</v>
      </c>
      <c r="F249" s="1" t="s">
        <v>42</v>
      </c>
      <c r="G249" s="1" t="s">
        <v>1234</v>
      </c>
      <c r="H249" s="1" t="s">
        <v>1235</v>
      </c>
      <c r="I249" s="1" t="s">
        <v>2096</v>
      </c>
      <c r="J249" s="3">
        <v>45352</v>
      </c>
      <c r="K249" s="1" t="s">
        <v>2089</v>
      </c>
      <c r="L249" s="4">
        <f t="shared" si="10"/>
        <v>58</v>
      </c>
      <c r="M249" s="4">
        <f t="shared" si="11"/>
        <v>2024</v>
      </c>
    </row>
    <row r="250" spans="1:13" x14ac:dyDescent="0.25">
      <c r="A250" s="1" t="s">
        <v>618</v>
      </c>
      <c r="B250" s="1" t="str">
        <f t="shared" si="9"/>
        <v>ENC-264</v>
      </c>
      <c r="C250" s="1" t="s">
        <v>33</v>
      </c>
      <c r="D250" s="3">
        <v>17886</v>
      </c>
      <c r="E250" s="1" t="s">
        <v>52</v>
      </c>
      <c r="F250" s="1" t="s">
        <v>28</v>
      </c>
      <c r="G250" s="1" t="s">
        <v>1618</v>
      </c>
      <c r="H250" s="1" t="s">
        <v>1619</v>
      </c>
      <c r="I250" s="1" t="s">
        <v>2096</v>
      </c>
      <c r="J250" s="3">
        <v>45350</v>
      </c>
      <c r="K250" s="1" t="s">
        <v>2093</v>
      </c>
      <c r="L250" s="4">
        <f t="shared" si="10"/>
        <v>75</v>
      </c>
      <c r="M250" s="4">
        <f t="shared" si="11"/>
        <v>2024</v>
      </c>
    </row>
    <row r="251" spans="1:13" x14ac:dyDescent="0.25">
      <c r="A251" s="1" t="s">
        <v>924</v>
      </c>
      <c r="B251" s="1" t="str">
        <f t="shared" si="9"/>
        <v>ENC-416</v>
      </c>
      <c r="C251" s="1" t="s">
        <v>406</v>
      </c>
      <c r="D251" s="3">
        <v>24815</v>
      </c>
      <c r="E251" s="1" t="s">
        <v>8</v>
      </c>
      <c r="F251" s="1" t="s">
        <v>24</v>
      </c>
      <c r="G251" s="1" t="s">
        <v>1920</v>
      </c>
      <c r="H251" s="1" t="s">
        <v>1921</v>
      </c>
      <c r="I251" s="1" t="s">
        <v>2087</v>
      </c>
      <c r="J251" s="3">
        <v>45348</v>
      </c>
      <c r="K251" s="1" t="s">
        <v>2089</v>
      </c>
      <c r="L251" s="4">
        <f t="shared" si="10"/>
        <v>56</v>
      </c>
      <c r="M251" s="4">
        <f t="shared" si="11"/>
        <v>2024</v>
      </c>
    </row>
    <row r="252" spans="1:13" x14ac:dyDescent="0.25">
      <c r="A252" s="1" t="s">
        <v>985</v>
      </c>
      <c r="B252" s="1" t="str">
        <f t="shared" si="9"/>
        <v>ENC-447</v>
      </c>
      <c r="C252" s="1" t="s">
        <v>160</v>
      </c>
      <c r="D252" s="3">
        <v>23159</v>
      </c>
      <c r="E252" s="1" t="s">
        <v>52</v>
      </c>
      <c r="F252" s="1" t="s">
        <v>24</v>
      </c>
      <c r="G252" s="1" t="s">
        <v>1980</v>
      </c>
      <c r="H252" s="1" t="s">
        <v>1981</v>
      </c>
      <c r="I252" s="1" t="s">
        <v>2087</v>
      </c>
      <c r="J252" s="3">
        <v>45345</v>
      </c>
      <c r="K252" s="1" t="s">
        <v>2108</v>
      </c>
      <c r="L252" s="4">
        <f t="shared" si="10"/>
        <v>60</v>
      </c>
      <c r="M252" s="4">
        <f t="shared" si="11"/>
        <v>2024</v>
      </c>
    </row>
    <row r="253" spans="1:13" x14ac:dyDescent="0.25">
      <c r="A253" s="1" t="s">
        <v>1055</v>
      </c>
      <c r="B253" s="1" t="str">
        <f t="shared" si="9"/>
        <v>ENC-482</v>
      </c>
      <c r="C253" s="1" t="s">
        <v>396</v>
      </c>
      <c r="D253" s="3">
        <v>24253</v>
      </c>
      <c r="E253" s="1" t="s">
        <v>8</v>
      </c>
      <c r="F253" s="1" t="s">
        <v>56</v>
      </c>
      <c r="G253" s="1" t="s">
        <v>2045</v>
      </c>
      <c r="H253" s="1" t="s">
        <v>2046</v>
      </c>
      <c r="I253" s="1" t="s">
        <v>2096</v>
      </c>
      <c r="J253" s="3">
        <v>45345</v>
      </c>
      <c r="K253" s="1" t="s">
        <v>2108</v>
      </c>
      <c r="L253" s="4">
        <f t="shared" si="10"/>
        <v>57</v>
      </c>
      <c r="M253" s="4">
        <f t="shared" si="11"/>
        <v>2024</v>
      </c>
    </row>
    <row r="254" spans="1:13" x14ac:dyDescent="0.25">
      <c r="A254" s="1" t="s">
        <v>428</v>
      </c>
      <c r="B254" s="1" t="str">
        <f t="shared" si="9"/>
        <v>ENC-173</v>
      </c>
      <c r="C254" s="1" t="s">
        <v>30</v>
      </c>
      <c r="D254" s="3">
        <v>38714</v>
      </c>
      <c r="E254" s="1" t="s">
        <v>52</v>
      </c>
      <c r="F254" s="1" t="s">
        <v>20</v>
      </c>
      <c r="G254" s="1" t="s">
        <v>1437</v>
      </c>
      <c r="H254" s="1" t="s">
        <v>1438</v>
      </c>
      <c r="I254" s="1" t="s">
        <v>2096</v>
      </c>
      <c r="J254" s="3">
        <v>45344</v>
      </c>
      <c r="K254" s="1" t="s">
        <v>2104</v>
      </c>
      <c r="L254" s="4">
        <f t="shared" si="10"/>
        <v>18</v>
      </c>
      <c r="M254" s="4">
        <f t="shared" si="11"/>
        <v>2024</v>
      </c>
    </row>
    <row r="255" spans="1:13" x14ac:dyDescent="0.25">
      <c r="A255" s="1" t="s">
        <v>203</v>
      </c>
      <c r="B255" s="1" t="str">
        <f t="shared" si="9"/>
        <v>ENC-72</v>
      </c>
      <c r="C255" s="1" t="s">
        <v>81</v>
      </c>
      <c r="D255" s="3">
        <v>35948</v>
      </c>
      <c r="E255" s="1" t="s">
        <v>35</v>
      </c>
      <c r="F255" s="1" t="s">
        <v>16</v>
      </c>
      <c r="G255" s="1" t="s">
        <v>1236</v>
      </c>
      <c r="H255" s="1" t="s">
        <v>1237</v>
      </c>
      <c r="I255" s="1" t="s">
        <v>2096</v>
      </c>
      <c r="J255" s="3">
        <v>45343</v>
      </c>
      <c r="K255" s="1" t="s">
        <v>2093</v>
      </c>
      <c r="L255" s="4">
        <f t="shared" si="10"/>
        <v>25</v>
      </c>
      <c r="M255" s="4">
        <f t="shared" si="11"/>
        <v>2024</v>
      </c>
    </row>
    <row r="256" spans="1:13" x14ac:dyDescent="0.25">
      <c r="A256" s="1" t="s">
        <v>738</v>
      </c>
      <c r="B256" s="1" t="str">
        <f t="shared" si="9"/>
        <v>ENC-324</v>
      </c>
      <c r="C256" s="1" t="s">
        <v>111</v>
      </c>
      <c r="D256" s="3">
        <v>25967</v>
      </c>
      <c r="E256" s="1" t="s">
        <v>52</v>
      </c>
      <c r="F256" s="1" t="s">
        <v>42</v>
      </c>
      <c r="G256" s="1" t="s">
        <v>1738</v>
      </c>
      <c r="H256" s="1" t="s">
        <v>1739</v>
      </c>
      <c r="I256" s="1" t="s">
        <v>2096</v>
      </c>
      <c r="J256" s="3">
        <v>45342</v>
      </c>
      <c r="K256" s="1" t="s">
        <v>2108</v>
      </c>
      <c r="L256" s="4">
        <f t="shared" si="10"/>
        <v>53</v>
      </c>
      <c r="M256" s="4">
        <f t="shared" si="11"/>
        <v>2024</v>
      </c>
    </row>
    <row r="257" spans="1:13" x14ac:dyDescent="0.25">
      <c r="A257" s="1" t="s">
        <v>798</v>
      </c>
      <c r="B257" s="1" t="str">
        <f t="shared" si="9"/>
        <v>ENC-354</v>
      </c>
      <c r="C257" s="1" t="s">
        <v>64</v>
      </c>
      <c r="D257" s="3">
        <v>16861</v>
      </c>
      <c r="E257" s="1" t="s">
        <v>35</v>
      </c>
      <c r="F257" s="1" t="s">
        <v>16</v>
      </c>
      <c r="G257" s="1" t="s">
        <v>1798</v>
      </c>
      <c r="H257" s="1" t="s">
        <v>1799</v>
      </c>
      <c r="I257" s="1" t="s">
        <v>2096</v>
      </c>
      <c r="J257" s="3">
        <v>45342</v>
      </c>
      <c r="K257" s="1" t="s">
        <v>2104</v>
      </c>
      <c r="L257" s="4">
        <f t="shared" si="10"/>
        <v>77</v>
      </c>
      <c r="M257" s="4">
        <f t="shared" si="11"/>
        <v>2024</v>
      </c>
    </row>
    <row r="258" spans="1:13" x14ac:dyDescent="0.25">
      <c r="A258" s="1" t="s">
        <v>676</v>
      </c>
      <c r="B258" s="1" t="str">
        <f t="shared" ref="B258:B321" si="12">"ENC-"&amp;(VALUE(RIGHT(A258,4))-1000)</f>
        <v>ENC-293</v>
      </c>
      <c r="C258" s="1" t="s">
        <v>30</v>
      </c>
      <c r="D258" s="3">
        <v>25567</v>
      </c>
      <c r="E258" s="1" t="s">
        <v>52</v>
      </c>
      <c r="F258" s="1" t="s">
        <v>9</v>
      </c>
      <c r="G258" s="1" t="s">
        <v>1676</v>
      </c>
      <c r="H258" s="1" t="s">
        <v>1677</v>
      </c>
      <c r="I258" s="1" t="s">
        <v>2096</v>
      </c>
      <c r="J258" s="3">
        <v>45341</v>
      </c>
      <c r="K258" s="1" t="s">
        <v>2089</v>
      </c>
      <c r="L258" s="4">
        <f t="shared" ref="L258:L321" si="13">DATEDIF(D258,J258,"Y")</f>
        <v>54</v>
      </c>
      <c r="M258" s="4">
        <f t="shared" ref="M258:M321" si="14">YEAR(J258)</f>
        <v>2024</v>
      </c>
    </row>
    <row r="259" spans="1:13" x14ac:dyDescent="0.25">
      <c r="A259" s="1" t="s">
        <v>539</v>
      </c>
      <c r="B259" s="1" t="str">
        <f t="shared" si="12"/>
        <v>ENC-226</v>
      </c>
      <c r="C259" s="1" t="s">
        <v>149</v>
      </c>
      <c r="D259" s="3">
        <v>14680</v>
      </c>
      <c r="E259" s="1" t="s">
        <v>52</v>
      </c>
      <c r="F259" s="1" t="s">
        <v>9</v>
      </c>
      <c r="G259" s="1" t="s">
        <v>1543</v>
      </c>
      <c r="H259" s="1" t="s">
        <v>1544</v>
      </c>
      <c r="I259" s="1" t="s">
        <v>2087</v>
      </c>
      <c r="J259" s="3">
        <v>45321</v>
      </c>
      <c r="K259" s="1" t="s">
        <v>2108</v>
      </c>
      <c r="L259" s="4">
        <f t="shared" si="13"/>
        <v>83</v>
      </c>
      <c r="M259" s="4">
        <f t="shared" si="14"/>
        <v>2024</v>
      </c>
    </row>
    <row r="260" spans="1:13" x14ac:dyDescent="0.25">
      <c r="A260" s="1" t="s">
        <v>32</v>
      </c>
      <c r="B260" s="1" t="str">
        <f t="shared" si="12"/>
        <v>ENC-8</v>
      </c>
      <c r="C260" s="1" t="s">
        <v>33</v>
      </c>
      <c r="D260" s="3">
        <v>15069</v>
      </c>
      <c r="E260" s="1" t="s">
        <v>35</v>
      </c>
      <c r="F260" s="1" t="s">
        <v>9</v>
      </c>
      <c r="G260" s="1" t="s">
        <v>1109</v>
      </c>
      <c r="H260" s="1" t="s">
        <v>1110</v>
      </c>
      <c r="I260" s="1" t="s">
        <v>2087</v>
      </c>
      <c r="J260" s="3">
        <v>45318</v>
      </c>
      <c r="K260" s="1" t="s">
        <v>2089</v>
      </c>
      <c r="L260" s="4">
        <f t="shared" si="13"/>
        <v>82</v>
      </c>
      <c r="M260" s="4">
        <f t="shared" si="14"/>
        <v>2024</v>
      </c>
    </row>
    <row r="261" spans="1:13" x14ac:dyDescent="0.25">
      <c r="A261" s="1" t="s">
        <v>405</v>
      </c>
      <c r="B261" s="1" t="str">
        <f t="shared" si="12"/>
        <v>ENC-162</v>
      </c>
      <c r="C261" s="1" t="s">
        <v>406</v>
      </c>
      <c r="D261" s="3">
        <v>16829</v>
      </c>
      <c r="E261" s="1" t="s">
        <v>8</v>
      </c>
      <c r="F261" s="1" t="s">
        <v>24</v>
      </c>
      <c r="G261" s="1" t="s">
        <v>1415</v>
      </c>
      <c r="H261" s="1" t="s">
        <v>1416</v>
      </c>
      <c r="I261" s="1" t="s">
        <v>2087</v>
      </c>
      <c r="J261" s="3">
        <v>45316</v>
      </c>
      <c r="K261" s="1" t="s">
        <v>2104</v>
      </c>
      <c r="L261" s="4">
        <f t="shared" si="13"/>
        <v>77</v>
      </c>
      <c r="M261" s="4">
        <f t="shared" si="14"/>
        <v>2024</v>
      </c>
    </row>
    <row r="262" spans="1:13" x14ac:dyDescent="0.25">
      <c r="A262" s="1" t="s">
        <v>83</v>
      </c>
      <c r="B262" s="1" t="str">
        <f t="shared" si="12"/>
        <v>ENC-24</v>
      </c>
      <c r="C262" s="1" t="s">
        <v>84</v>
      </c>
      <c r="D262" s="3">
        <v>32152</v>
      </c>
      <c r="E262" s="1" t="s">
        <v>35</v>
      </c>
      <c r="F262" s="1" t="s">
        <v>20</v>
      </c>
      <c r="G262" s="1" t="s">
        <v>1141</v>
      </c>
      <c r="H262" s="1" t="s">
        <v>1142</v>
      </c>
      <c r="I262" s="1" t="s">
        <v>2087</v>
      </c>
      <c r="J262" s="3">
        <v>45315</v>
      </c>
      <c r="K262" s="1" t="s">
        <v>2108</v>
      </c>
      <c r="L262" s="4">
        <f t="shared" si="13"/>
        <v>36</v>
      </c>
      <c r="M262" s="4">
        <f t="shared" si="14"/>
        <v>2024</v>
      </c>
    </row>
    <row r="263" spans="1:13" x14ac:dyDescent="0.25">
      <c r="A263" s="1" t="s">
        <v>424</v>
      </c>
      <c r="B263" s="1" t="str">
        <f t="shared" si="12"/>
        <v>ENC-171</v>
      </c>
      <c r="C263" s="1" t="s">
        <v>399</v>
      </c>
      <c r="D263" s="3">
        <v>33138</v>
      </c>
      <c r="E263" s="1" t="s">
        <v>8</v>
      </c>
      <c r="F263" s="1" t="s">
        <v>24</v>
      </c>
      <c r="G263" s="1" t="s">
        <v>1433</v>
      </c>
      <c r="H263" s="1" t="s">
        <v>1434</v>
      </c>
      <c r="I263" s="1" t="s">
        <v>2087</v>
      </c>
      <c r="J263" s="3">
        <v>45309</v>
      </c>
      <c r="K263" s="1" t="s">
        <v>2104</v>
      </c>
      <c r="L263" s="4">
        <f t="shared" si="13"/>
        <v>33</v>
      </c>
      <c r="M263" s="4">
        <f t="shared" si="14"/>
        <v>2024</v>
      </c>
    </row>
    <row r="264" spans="1:13" x14ac:dyDescent="0.25">
      <c r="A264" s="1" t="s">
        <v>447</v>
      </c>
      <c r="B264" s="1" t="str">
        <f t="shared" si="12"/>
        <v>ENC-182</v>
      </c>
      <c r="C264" s="1" t="s">
        <v>189</v>
      </c>
      <c r="D264" s="3">
        <v>28730</v>
      </c>
      <c r="E264" s="1" t="s">
        <v>8</v>
      </c>
      <c r="F264" s="1" t="s">
        <v>9</v>
      </c>
      <c r="G264" s="1" t="s">
        <v>1455</v>
      </c>
      <c r="H264" s="1" t="s">
        <v>1456</v>
      </c>
      <c r="I264" s="1" t="s">
        <v>2096</v>
      </c>
      <c r="J264" s="3">
        <v>45308</v>
      </c>
      <c r="K264" s="1" t="s">
        <v>2108</v>
      </c>
      <c r="L264" s="4">
        <f t="shared" si="13"/>
        <v>45</v>
      </c>
      <c r="M264" s="4">
        <f t="shared" si="14"/>
        <v>2024</v>
      </c>
    </row>
    <row r="265" spans="1:13" x14ac:dyDescent="0.25">
      <c r="A265" s="1" t="s">
        <v>380</v>
      </c>
      <c r="B265" s="1" t="str">
        <f t="shared" si="12"/>
        <v>ENC-151</v>
      </c>
      <c r="C265" s="1" t="s">
        <v>81</v>
      </c>
      <c r="D265" s="3">
        <v>19528</v>
      </c>
      <c r="E265" s="1" t="s">
        <v>52</v>
      </c>
      <c r="F265" s="1" t="s">
        <v>42</v>
      </c>
      <c r="G265" s="1" t="s">
        <v>1393</v>
      </c>
      <c r="H265" s="1" t="s">
        <v>1394</v>
      </c>
      <c r="I265" s="1" t="s">
        <v>2087</v>
      </c>
      <c r="J265" s="3">
        <v>45305</v>
      </c>
      <c r="K265" s="1" t="s">
        <v>2089</v>
      </c>
      <c r="L265" s="4">
        <f t="shared" si="13"/>
        <v>70</v>
      </c>
      <c r="M265" s="4">
        <f t="shared" si="14"/>
        <v>2024</v>
      </c>
    </row>
    <row r="266" spans="1:13" x14ac:dyDescent="0.25">
      <c r="A266" s="1" t="s">
        <v>46</v>
      </c>
      <c r="B266" s="1" t="str">
        <f t="shared" si="12"/>
        <v>ENC-12</v>
      </c>
      <c r="C266" s="1" t="s">
        <v>47</v>
      </c>
      <c r="D266" s="3">
        <v>35491</v>
      </c>
      <c r="E266" s="1" t="s">
        <v>8</v>
      </c>
      <c r="F266" s="1" t="s">
        <v>24</v>
      </c>
      <c r="G266" s="1" t="s">
        <v>1117</v>
      </c>
      <c r="H266" s="1" t="s">
        <v>1118</v>
      </c>
      <c r="I266" s="1" t="s">
        <v>2096</v>
      </c>
      <c r="J266" s="3">
        <v>45302</v>
      </c>
      <c r="K266" s="1" t="s">
        <v>2093</v>
      </c>
      <c r="L266" s="4">
        <f t="shared" si="13"/>
        <v>26</v>
      </c>
      <c r="M266" s="4">
        <f t="shared" si="14"/>
        <v>2024</v>
      </c>
    </row>
    <row r="267" spans="1:13" x14ac:dyDescent="0.25">
      <c r="A267" s="1" t="s">
        <v>374</v>
      </c>
      <c r="B267" s="1" t="str">
        <f t="shared" si="12"/>
        <v>ENC-148</v>
      </c>
      <c r="C267" s="1" t="s">
        <v>61</v>
      </c>
      <c r="D267" s="3">
        <v>25918</v>
      </c>
      <c r="E267" s="1" t="s">
        <v>8</v>
      </c>
      <c r="F267" s="1" t="s">
        <v>20</v>
      </c>
      <c r="G267" s="1" t="s">
        <v>1387</v>
      </c>
      <c r="H267" s="1" t="s">
        <v>1388</v>
      </c>
      <c r="I267" s="1" t="s">
        <v>2096</v>
      </c>
      <c r="J267" s="3">
        <v>45300</v>
      </c>
      <c r="K267" s="1" t="s">
        <v>2093</v>
      </c>
      <c r="L267" s="4">
        <f t="shared" si="13"/>
        <v>53</v>
      </c>
      <c r="M267" s="4">
        <f t="shared" si="14"/>
        <v>2024</v>
      </c>
    </row>
    <row r="268" spans="1:13" x14ac:dyDescent="0.25">
      <c r="A268" s="1" t="s">
        <v>802</v>
      </c>
      <c r="B268" s="1" t="str">
        <f t="shared" si="12"/>
        <v>ENC-356</v>
      </c>
      <c r="C268" s="1" t="s">
        <v>396</v>
      </c>
      <c r="D268" s="3">
        <v>36487</v>
      </c>
      <c r="E268" s="1" t="s">
        <v>52</v>
      </c>
      <c r="F268" s="1" t="s">
        <v>56</v>
      </c>
      <c r="G268" s="1" t="s">
        <v>1802</v>
      </c>
      <c r="H268" s="1" t="s">
        <v>1803</v>
      </c>
      <c r="I268" s="1" t="s">
        <v>2087</v>
      </c>
      <c r="J268" s="3">
        <v>45297</v>
      </c>
      <c r="K268" s="1" t="s">
        <v>2104</v>
      </c>
      <c r="L268" s="4">
        <f t="shared" si="13"/>
        <v>24</v>
      </c>
      <c r="M268" s="4">
        <f t="shared" si="14"/>
        <v>2024</v>
      </c>
    </row>
    <row r="269" spans="1:13" x14ac:dyDescent="0.25">
      <c r="A269" s="1" t="s">
        <v>268</v>
      </c>
      <c r="B269" s="1" t="str">
        <f t="shared" si="12"/>
        <v>ENC-99</v>
      </c>
      <c r="C269" s="1" t="s">
        <v>263</v>
      </c>
      <c r="D269" s="3">
        <v>23880</v>
      </c>
      <c r="E269" s="1" t="s">
        <v>35</v>
      </c>
      <c r="F269" s="1" t="s">
        <v>9</v>
      </c>
      <c r="G269" s="1" t="s">
        <v>1289</v>
      </c>
      <c r="H269" s="1" t="s">
        <v>1290</v>
      </c>
      <c r="I269" s="1" t="s">
        <v>2096</v>
      </c>
      <c r="J269" s="3">
        <v>45295</v>
      </c>
      <c r="K269" s="1" t="s">
        <v>2089</v>
      </c>
      <c r="L269" s="4">
        <f t="shared" si="13"/>
        <v>58</v>
      </c>
      <c r="M269" s="4">
        <f t="shared" si="14"/>
        <v>2024</v>
      </c>
    </row>
    <row r="270" spans="1:13" x14ac:dyDescent="0.25">
      <c r="A270" s="1" t="s">
        <v>382</v>
      </c>
      <c r="B270" s="1" t="str">
        <f t="shared" si="12"/>
        <v>ENC-152</v>
      </c>
      <c r="C270" s="1" t="s">
        <v>266</v>
      </c>
      <c r="D270" s="3">
        <v>37856</v>
      </c>
      <c r="E270" s="1" t="s">
        <v>52</v>
      </c>
      <c r="F270" s="1" t="s">
        <v>24</v>
      </c>
      <c r="G270" s="1" t="s">
        <v>1395</v>
      </c>
      <c r="H270" s="1" t="s">
        <v>1396</v>
      </c>
      <c r="I270" s="1" t="s">
        <v>2096</v>
      </c>
      <c r="J270" s="3">
        <v>45293</v>
      </c>
      <c r="K270" s="1" t="s">
        <v>2093</v>
      </c>
      <c r="L270" s="4">
        <f t="shared" si="13"/>
        <v>20</v>
      </c>
      <c r="M270" s="4">
        <f t="shared" si="14"/>
        <v>2024</v>
      </c>
    </row>
    <row r="271" spans="1:13" x14ac:dyDescent="0.25">
      <c r="A271" s="1" t="s">
        <v>885</v>
      </c>
      <c r="B271" s="1" t="str">
        <f t="shared" si="12"/>
        <v>ENC-397</v>
      </c>
      <c r="C271" s="1" t="s">
        <v>144</v>
      </c>
      <c r="D271" s="3">
        <v>26179</v>
      </c>
      <c r="E271" s="1" t="s">
        <v>35</v>
      </c>
      <c r="F271" s="1" t="s">
        <v>28</v>
      </c>
      <c r="G271" s="1" t="s">
        <v>1305</v>
      </c>
      <c r="H271" s="1" t="s">
        <v>1883</v>
      </c>
      <c r="I271" s="1" t="s">
        <v>2087</v>
      </c>
      <c r="J271" s="3">
        <v>45291</v>
      </c>
      <c r="K271" s="1" t="s">
        <v>2089</v>
      </c>
      <c r="L271" s="4">
        <f t="shared" si="13"/>
        <v>52</v>
      </c>
      <c r="M271" s="4">
        <f t="shared" si="14"/>
        <v>2023</v>
      </c>
    </row>
    <row r="272" spans="1:13" x14ac:dyDescent="0.25">
      <c r="A272" s="1" t="s">
        <v>966</v>
      </c>
      <c r="B272" s="1" t="str">
        <f t="shared" si="12"/>
        <v>ENC-437</v>
      </c>
      <c r="C272" s="1" t="s">
        <v>129</v>
      </c>
      <c r="D272" s="3">
        <v>30619</v>
      </c>
      <c r="E272" s="1" t="s">
        <v>8</v>
      </c>
      <c r="F272" s="1" t="s">
        <v>28</v>
      </c>
      <c r="G272" s="1" t="s">
        <v>1960</v>
      </c>
      <c r="H272" s="1" t="s">
        <v>1961</v>
      </c>
      <c r="I272" s="1" t="s">
        <v>2087</v>
      </c>
      <c r="J272" s="3">
        <v>45291</v>
      </c>
      <c r="K272" s="1" t="s">
        <v>2108</v>
      </c>
      <c r="L272" s="4">
        <f t="shared" si="13"/>
        <v>40</v>
      </c>
      <c r="M272" s="4">
        <f t="shared" si="14"/>
        <v>2023</v>
      </c>
    </row>
    <row r="273" spans="1:13" x14ac:dyDescent="0.25">
      <c r="A273" s="1" t="s">
        <v>349</v>
      </c>
      <c r="B273" s="1" t="str">
        <f t="shared" si="12"/>
        <v>ENC-137</v>
      </c>
      <c r="C273" s="1" t="s">
        <v>170</v>
      </c>
      <c r="D273" s="3">
        <v>17970</v>
      </c>
      <c r="E273" s="1" t="s">
        <v>35</v>
      </c>
      <c r="F273" s="1" t="s">
        <v>24</v>
      </c>
      <c r="G273" s="1" t="s">
        <v>1365</v>
      </c>
      <c r="H273" s="1" t="s">
        <v>1366</v>
      </c>
      <c r="I273" s="1" t="s">
        <v>2087</v>
      </c>
      <c r="J273" s="3">
        <v>45285</v>
      </c>
      <c r="K273" s="1" t="s">
        <v>2108</v>
      </c>
      <c r="L273" s="4">
        <f t="shared" si="13"/>
        <v>74</v>
      </c>
      <c r="M273" s="4">
        <f t="shared" si="14"/>
        <v>2023</v>
      </c>
    </row>
    <row r="274" spans="1:13" x14ac:dyDescent="0.25">
      <c r="A274" s="1" t="s">
        <v>730</v>
      </c>
      <c r="B274" s="1" t="str">
        <f t="shared" si="12"/>
        <v>ENC-320</v>
      </c>
      <c r="C274" s="1" t="s">
        <v>87</v>
      </c>
      <c r="D274" s="3">
        <v>24458</v>
      </c>
      <c r="E274" s="1" t="s">
        <v>52</v>
      </c>
      <c r="F274" s="1" t="s">
        <v>28</v>
      </c>
      <c r="G274" s="1" t="s">
        <v>1730</v>
      </c>
      <c r="H274" s="1" t="s">
        <v>1731</v>
      </c>
      <c r="I274" s="1" t="s">
        <v>2087</v>
      </c>
      <c r="J274" s="3">
        <v>45284</v>
      </c>
      <c r="K274" s="1" t="s">
        <v>2108</v>
      </c>
      <c r="L274" s="4">
        <f t="shared" si="13"/>
        <v>57</v>
      </c>
      <c r="M274" s="4">
        <f t="shared" si="14"/>
        <v>2023</v>
      </c>
    </row>
    <row r="275" spans="1:13" x14ac:dyDescent="0.25">
      <c r="A275" s="1" t="s">
        <v>1069</v>
      </c>
      <c r="B275" s="1" t="str">
        <f t="shared" si="12"/>
        <v>ENC-489</v>
      </c>
      <c r="C275" s="1" t="s">
        <v>22</v>
      </c>
      <c r="D275" s="3">
        <v>15586</v>
      </c>
      <c r="E275" s="1" t="s">
        <v>35</v>
      </c>
      <c r="F275" s="1" t="s">
        <v>28</v>
      </c>
      <c r="G275" s="1" t="s">
        <v>2059</v>
      </c>
      <c r="H275" s="1" t="s">
        <v>2060</v>
      </c>
      <c r="I275" s="1" t="s">
        <v>2096</v>
      </c>
      <c r="J275" s="3">
        <v>45282</v>
      </c>
      <c r="K275" s="1" t="s">
        <v>2108</v>
      </c>
      <c r="L275" s="4">
        <f t="shared" si="13"/>
        <v>81</v>
      </c>
      <c r="M275" s="4">
        <f t="shared" si="14"/>
        <v>2023</v>
      </c>
    </row>
    <row r="276" spans="1:13" x14ac:dyDescent="0.25">
      <c r="A276" s="1" t="s">
        <v>829</v>
      </c>
      <c r="B276" s="1" t="str">
        <f t="shared" si="12"/>
        <v>ENC-369</v>
      </c>
      <c r="C276" s="1" t="s">
        <v>124</v>
      </c>
      <c r="D276" s="3">
        <v>31320</v>
      </c>
      <c r="E276" s="1" t="s">
        <v>8</v>
      </c>
      <c r="F276" s="1" t="s">
        <v>28</v>
      </c>
      <c r="G276" s="1" t="s">
        <v>1827</v>
      </c>
      <c r="H276" s="1" t="s">
        <v>1828</v>
      </c>
      <c r="I276" s="1" t="s">
        <v>2087</v>
      </c>
      <c r="J276" s="3">
        <v>45279</v>
      </c>
      <c r="K276" s="1" t="s">
        <v>2108</v>
      </c>
      <c r="L276" s="4">
        <f t="shared" si="13"/>
        <v>38</v>
      </c>
      <c r="M276" s="4">
        <f t="shared" si="14"/>
        <v>2023</v>
      </c>
    </row>
    <row r="277" spans="1:13" x14ac:dyDescent="0.25">
      <c r="A277" s="1" t="s">
        <v>494</v>
      </c>
      <c r="B277" s="1" t="str">
        <f t="shared" si="12"/>
        <v>ENC-205</v>
      </c>
      <c r="C277" s="1" t="s">
        <v>246</v>
      </c>
      <c r="D277" s="3">
        <v>17741</v>
      </c>
      <c r="E277" s="1" t="s">
        <v>52</v>
      </c>
      <c r="F277" s="1" t="s">
        <v>13</v>
      </c>
      <c r="G277" s="1" t="s">
        <v>1501</v>
      </c>
      <c r="H277" s="1" t="s">
        <v>1502</v>
      </c>
      <c r="I277" s="1" t="s">
        <v>2096</v>
      </c>
      <c r="J277" s="3">
        <v>45278</v>
      </c>
      <c r="K277" s="1" t="s">
        <v>2093</v>
      </c>
      <c r="L277" s="4">
        <f t="shared" si="13"/>
        <v>75</v>
      </c>
      <c r="M277" s="4">
        <f t="shared" si="14"/>
        <v>2023</v>
      </c>
    </row>
    <row r="278" spans="1:13" x14ac:dyDescent="0.25">
      <c r="A278" s="1" t="s">
        <v>296</v>
      </c>
      <c r="B278" s="1" t="str">
        <f t="shared" si="12"/>
        <v>ENC-112</v>
      </c>
      <c r="C278" s="1" t="s">
        <v>297</v>
      </c>
      <c r="D278" s="3">
        <v>38046</v>
      </c>
      <c r="E278" s="1" t="s">
        <v>8</v>
      </c>
      <c r="F278" s="1" t="s">
        <v>20</v>
      </c>
      <c r="G278" s="1" t="s">
        <v>1315</v>
      </c>
      <c r="H278" s="1" t="s">
        <v>1316</v>
      </c>
      <c r="I278" s="1" t="s">
        <v>2096</v>
      </c>
      <c r="J278" s="3">
        <v>45277</v>
      </c>
      <c r="K278" s="1" t="s">
        <v>2104</v>
      </c>
      <c r="L278" s="4">
        <f t="shared" si="13"/>
        <v>19</v>
      </c>
      <c r="M278" s="4">
        <f t="shared" si="14"/>
        <v>2023</v>
      </c>
    </row>
    <row r="279" spans="1:13" x14ac:dyDescent="0.25">
      <c r="A279" s="1" t="s">
        <v>108</v>
      </c>
      <c r="B279" s="1" t="str">
        <f t="shared" si="12"/>
        <v>ENC-34</v>
      </c>
      <c r="C279" s="1" t="s">
        <v>73</v>
      </c>
      <c r="D279" s="3">
        <v>25990</v>
      </c>
      <c r="E279" s="1" t="s">
        <v>52</v>
      </c>
      <c r="F279" s="1" t="s">
        <v>28</v>
      </c>
      <c r="G279" s="1" t="s">
        <v>1160</v>
      </c>
      <c r="H279" s="1" t="s">
        <v>1161</v>
      </c>
      <c r="I279" s="1" t="s">
        <v>2096</v>
      </c>
      <c r="J279" s="3">
        <v>45276</v>
      </c>
      <c r="K279" s="1" t="s">
        <v>2108</v>
      </c>
      <c r="L279" s="4">
        <f t="shared" si="13"/>
        <v>52</v>
      </c>
      <c r="M279" s="4">
        <f t="shared" si="14"/>
        <v>2023</v>
      </c>
    </row>
    <row r="280" spans="1:13" x14ac:dyDescent="0.25">
      <c r="A280" s="1" t="s">
        <v>1087</v>
      </c>
      <c r="B280" s="1" t="str">
        <f t="shared" si="12"/>
        <v>ENC-498</v>
      </c>
      <c r="C280" s="1" t="s">
        <v>297</v>
      </c>
      <c r="D280" s="3">
        <v>28594</v>
      </c>
      <c r="E280" s="1" t="s">
        <v>52</v>
      </c>
      <c r="F280" s="1" t="s">
        <v>16</v>
      </c>
      <c r="G280" s="1" t="s">
        <v>2074</v>
      </c>
      <c r="H280" s="1" t="s">
        <v>2075</v>
      </c>
      <c r="I280" s="1" t="s">
        <v>2096</v>
      </c>
      <c r="J280" s="3">
        <v>45271</v>
      </c>
      <c r="K280" s="1" t="s">
        <v>2108</v>
      </c>
      <c r="L280" s="4">
        <f t="shared" si="13"/>
        <v>45</v>
      </c>
      <c r="M280" s="4">
        <f t="shared" si="14"/>
        <v>2023</v>
      </c>
    </row>
    <row r="281" spans="1:13" x14ac:dyDescent="0.25">
      <c r="A281" s="1" t="s">
        <v>443</v>
      </c>
      <c r="B281" s="1" t="str">
        <f t="shared" si="12"/>
        <v>ENC-180</v>
      </c>
      <c r="C281" s="1" t="s">
        <v>129</v>
      </c>
      <c r="D281" s="3">
        <v>36094</v>
      </c>
      <c r="E281" s="1" t="s">
        <v>52</v>
      </c>
      <c r="F281" s="1" t="s">
        <v>20</v>
      </c>
      <c r="G281" s="1" t="s">
        <v>1451</v>
      </c>
      <c r="H281" s="1" t="s">
        <v>1452</v>
      </c>
      <c r="I281" s="1" t="s">
        <v>2096</v>
      </c>
      <c r="J281" s="3">
        <v>45268</v>
      </c>
      <c r="K281" s="1" t="s">
        <v>2108</v>
      </c>
      <c r="L281" s="4">
        <f t="shared" si="13"/>
        <v>25</v>
      </c>
      <c r="M281" s="4">
        <f t="shared" si="14"/>
        <v>2023</v>
      </c>
    </row>
    <row r="282" spans="1:13" x14ac:dyDescent="0.25">
      <c r="A282" s="1" t="s">
        <v>195</v>
      </c>
      <c r="B282" s="1" t="str">
        <f t="shared" si="12"/>
        <v>ENC-69</v>
      </c>
      <c r="C282" s="1" t="s">
        <v>119</v>
      </c>
      <c r="D282" s="3">
        <v>38914</v>
      </c>
      <c r="E282" s="1" t="s">
        <v>8</v>
      </c>
      <c r="F282" s="1" t="s">
        <v>20</v>
      </c>
      <c r="G282" s="1" t="s">
        <v>1230</v>
      </c>
      <c r="H282" s="1" t="s">
        <v>1231</v>
      </c>
      <c r="I282" s="1" t="s">
        <v>2096</v>
      </c>
      <c r="J282" s="3">
        <v>45265</v>
      </c>
      <c r="K282" s="1" t="s">
        <v>2089</v>
      </c>
      <c r="L282" s="4">
        <f t="shared" si="13"/>
        <v>17</v>
      </c>
      <c r="M282" s="4">
        <f t="shared" si="14"/>
        <v>2023</v>
      </c>
    </row>
    <row r="283" spans="1:13" x14ac:dyDescent="0.25">
      <c r="A283" s="1" t="s">
        <v>488</v>
      </c>
      <c r="B283" s="1" t="str">
        <f t="shared" si="12"/>
        <v>ENC-202</v>
      </c>
      <c r="C283" s="1" t="s">
        <v>239</v>
      </c>
      <c r="D283" s="3">
        <v>28451</v>
      </c>
      <c r="E283" s="1" t="s">
        <v>52</v>
      </c>
      <c r="F283" s="1" t="s">
        <v>42</v>
      </c>
      <c r="G283" s="1" t="s">
        <v>1495</v>
      </c>
      <c r="H283" s="1" t="s">
        <v>1496</v>
      </c>
      <c r="I283" s="1" t="s">
        <v>2096</v>
      </c>
      <c r="J283" s="3">
        <v>45263</v>
      </c>
      <c r="K283" s="1" t="s">
        <v>2089</v>
      </c>
      <c r="L283" s="4">
        <f t="shared" si="13"/>
        <v>46</v>
      </c>
      <c r="M283" s="4">
        <f t="shared" si="14"/>
        <v>2023</v>
      </c>
    </row>
    <row r="284" spans="1:13" x14ac:dyDescent="0.25">
      <c r="A284" s="1" t="s">
        <v>10</v>
      </c>
      <c r="B284" s="1" t="str">
        <f t="shared" si="12"/>
        <v>ENC-2</v>
      </c>
      <c r="C284" s="1" t="s">
        <v>11</v>
      </c>
      <c r="D284" s="3">
        <v>34947</v>
      </c>
      <c r="E284" s="1" t="s">
        <v>8</v>
      </c>
      <c r="F284" s="1" t="s">
        <v>13</v>
      </c>
      <c r="G284" s="1" t="s">
        <v>1097</v>
      </c>
      <c r="H284" s="1" t="s">
        <v>1098</v>
      </c>
      <c r="I284" s="1" t="s">
        <v>2087</v>
      </c>
      <c r="J284" s="3">
        <v>45260</v>
      </c>
      <c r="K284" s="1" t="s">
        <v>2093</v>
      </c>
      <c r="L284" s="4">
        <f t="shared" si="13"/>
        <v>28</v>
      </c>
      <c r="M284" s="4">
        <f t="shared" si="14"/>
        <v>2023</v>
      </c>
    </row>
    <row r="285" spans="1:13" x14ac:dyDescent="0.25">
      <c r="A285" s="1" t="s">
        <v>710</v>
      </c>
      <c r="B285" s="1" t="str">
        <f t="shared" si="12"/>
        <v>ENC-310</v>
      </c>
      <c r="C285" s="1" t="s">
        <v>18</v>
      </c>
      <c r="D285" s="3">
        <v>23271</v>
      </c>
      <c r="E285" s="1" t="s">
        <v>52</v>
      </c>
      <c r="F285" s="1" t="s">
        <v>13</v>
      </c>
      <c r="G285" s="1" t="s">
        <v>1710</v>
      </c>
      <c r="H285" s="1" t="s">
        <v>1711</v>
      </c>
      <c r="I285" s="1" t="s">
        <v>2087</v>
      </c>
      <c r="J285" s="3">
        <v>45259</v>
      </c>
      <c r="K285" s="1" t="s">
        <v>2093</v>
      </c>
      <c r="L285" s="4">
        <f t="shared" si="13"/>
        <v>60</v>
      </c>
      <c r="M285" s="4">
        <f t="shared" si="14"/>
        <v>2023</v>
      </c>
    </row>
    <row r="286" spans="1:13" x14ac:dyDescent="0.25">
      <c r="A286" s="1" t="s">
        <v>909</v>
      </c>
      <c r="B286" s="1" t="str">
        <f t="shared" si="12"/>
        <v>ENC-409</v>
      </c>
      <c r="C286" s="1" t="s">
        <v>406</v>
      </c>
      <c r="D286" s="3">
        <v>35447</v>
      </c>
      <c r="E286" s="1" t="s">
        <v>35</v>
      </c>
      <c r="F286" s="1" t="s">
        <v>16</v>
      </c>
      <c r="G286" s="1" t="s">
        <v>1906</v>
      </c>
      <c r="H286" s="1" t="s">
        <v>1907</v>
      </c>
      <c r="I286" s="1" t="s">
        <v>2096</v>
      </c>
      <c r="J286" s="3">
        <v>45259</v>
      </c>
      <c r="K286" s="1" t="s">
        <v>2104</v>
      </c>
      <c r="L286" s="4">
        <f t="shared" si="13"/>
        <v>26</v>
      </c>
      <c r="M286" s="4">
        <f t="shared" si="14"/>
        <v>2023</v>
      </c>
    </row>
    <row r="287" spans="1:13" x14ac:dyDescent="0.25">
      <c r="A287" s="1" t="s">
        <v>92</v>
      </c>
      <c r="B287" s="1" t="str">
        <f t="shared" si="12"/>
        <v>ENC-27</v>
      </c>
      <c r="C287" s="1" t="s">
        <v>93</v>
      </c>
      <c r="D287" s="3">
        <v>35152</v>
      </c>
      <c r="E287" s="1" t="s">
        <v>52</v>
      </c>
      <c r="F287" s="1" t="s">
        <v>56</v>
      </c>
      <c r="G287" s="1" t="s">
        <v>1147</v>
      </c>
      <c r="H287" s="1" t="s">
        <v>1148</v>
      </c>
      <c r="I287" s="1" t="s">
        <v>2096</v>
      </c>
      <c r="J287" s="3">
        <v>45253</v>
      </c>
      <c r="K287" s="1" t="s">
        <v>2108</v>
      </c>
      <c r="L287" s="4">
        <f t="shared" si="13"/>
        <v>27</v>
      </c>
      <c r="M287" s="4">
        <f t="shared" si="14"/>
        <v>2023</v>
      </c>
    </row>
    <row r="288" spans="1:13" x14ac:dyDescent="0.25">
      <c r="A288" s="1" t="s">
        <v>744</v>
      </c>
      <c r="B288" s="1" t="str">
        <f t="shared" si="12"/>
        <v>ENC-327</v>
      </c>
      <c r="C288" s="1" t="s">
        <v>412</v>
      </c>
      <c r="D288" s="3">
        <v>18448</v>
      </c>
      <c r="E288" s="1" t="s">
        <v>35</v>
      </c>
      <c r="F288" s="1" t="s">
        <v>9</v>
      </c>
      <c r="G288" s="1" t="s">
        <v>1744</v>
      </c>
      <c r="H288" s="1" t="s">
        <v>1745</v>
      </c>
      <c r="I288" s="1" t="s">
        <v>2087</v>
      </c>
      <c r="J288" s="3">
        <v>45253</v>
      </c>
      <c r="K288" s="1" t="s">
        <v>2108</v>
      </c>
      <c r="L288" s="4">
        <f t="shared" si="13"/>
        <v>73</v>
      </c>
      <c r="M288" s="4">
        <f t="shared" si="14"/>
        <v>2023</v>
      </c>
    </row>
    <row r="289" spans="1:13" x14ac:dyDescent="0.25">
      <c r="A289" s="1" t="s">
        <v>692</v>
      </c>
      <c r="B289" s="1" t="str">
        <f t="shared" si="12"/>
        <v>ENC-301</v>
      </c>
      <c r="C289" s="1" t="s">
        <v>256</v>
      </c>
      <c r="D289" s="3">
        <v>22105</v>
      </c>
      <c r="E289" s="1" t="s">
        <v>52</v>
      </c>
      <c r="F289" s="1" t="s">
        <v>9</v>
      </c>
      <c r="G289" s="1" t="s">
        <v>1692</v>
      </c>
      <c r="H289" s="1" t="s">
        <v>1693</v>
      </c>
      <c r="I289" s="1" t="s">
        <v>2087</v>
      </c>
      <c r="J289" s="3">
        <v>45250</v>
      </c>
      <c r="K289" s="1" t="s">
        <v>2108</v>
      </c>
      <c r="L289" s="4">
        <f t="shared" si="13"/>
        <v>63</v>
      </c>
      <c r="M289" s="4">
        <f t="shared" si="14"/>
        <v>2023</v>
      </c>
    </row>
    <row r="290" spans="1:13" x14ac:dyDescent="0.25">
      <c r="A290" s="1" t="s">
        <v>143</v>
      </c>
      <c r="B290" s="1" t="str">
        <f t="shared" si="12"/>
        <v>ENC-48</v>
      </c>
      <c r="C290" s="1" t="s">
        <v>144</v>
      </c>
      <c r="D290" s="3">
        <v>19847</v>
      </c>
      <c r="E290" s="1" t="s">
        <v>52</v>
      </c>
      <c r="F290" s="1" t="s">
        <v>28</v>
      </c>
      <c r="G290" s="1" t="s">
        <v>1188</v>
      </c>
      <c r="H290" s="1" t="s">
        <v>1189</v>
      </c>
      <c r="I290" s="1" t="s">
        <v>2087</v>
      </c>
      <c r="J290" s="3">
        <v>45248</v>
      </c>
      <c r="K290" s="1" t="s">
        <v>2108</v>
      </c>
      <c r="L290" s="4">
        <f t="shared" si="13"/>
        <v>69</v>
      </c>
      <c r="M290" s="4">
        <f t="shared" si="14"/>
        <v>2023</v>
      </c>
    </row>
    <row r="291" spans="1:13" x14ac:dyDescent="0.25">
      <c r="A291" s="1" t="s">
        <v>338</v>
      </c>
      <c r="B291" s="1" t="str">
        <f t="shared" si="12"/>
        <v>ENC-132</v>
      </c>
      <c r="C291" s="1" t="s">
        <v>50</v>
      </c>
      <c r="D291" s="3">
        <v>25541</v>
      </c>
      <c r="E291" s="1" t="s">
        <v>52</v>
      </c>
      <c r="F291" s="1" t="s">
        <v>56</v>
      </c>
      <c r="G291" s="1" t="s">
        <v>1355</v>
      </c>
      <c r="H291" s="1" t="s">
        <v>1356</v>
      </c>
      <c r="I291" s="1" t="s">
        <v>2087</v>
      </c>
      <c r="J291" s="3">
        <v>45243</v>
      </c>
      <c r="K291" s="1" t="s">
        <v>2093</v>
      </c>
      <c r="L291" s="4">
        <f t="shared" si="13"/>
        <v>53</v>
      </c>
      <c r="M291" s="4">
        <f t="shared" si="14"/>
        <v>2023</v>
      </c>
    </row>
    <row r="292" spans="1:13" x14ac:dyDescent="0.25">
      <c r="A292" s="1" t="s">
        <v>445</v>
      </c>
      <c r="B292" s="1" t="str">
        <f t="shared" si="12"/>
        <v>ENC-181</v>
      </c>
      <c r="C292" s="1" t="s">
        <v>246</v>
      </c>
      <c r="D292" s="3">
        <v>31391</v>
      </c>
      <c r="E292" s="1" t="s">
        <v>52</v>
      </c>
      <c r="F292" s="1" t="s">
        <v>24</v>
      </c>
      <c r="G292" s="1" t="s">
        <v>1453</v>
      </c>
      <c r="H292" s="1" t="s">
        <v>1454</v>
      </c>
      <c r="I292" s="1" t="s">
        <v>2087</v>
      </c>
      <c r="J292" s="3">
        <v>45239</v>
      </c>
      <c r="K292" s="1" t="s">
        <v>2104</v>
      </c>
      <c r="L292" s="4">
        <f t="shared" si="13"/>
        <v>37</v>
      </c>
      <c r="M292" s="4">
        <f t="shared" si="14"/>
        <v>2023</v>
      </c>
    </row>
    <row r="293" spans="1:13" x14ac:dyDescent="0.25">
      <c r="A293" s="1" t="s">
        <v>843</v>
      </c>
      <c r="B293" s="1" t="str">
        <f t="shared" si="12"/>
        <v>ENC-376</v>
      </c>
      <c r="C293" s="1" t="s">
        <v>201</v>
      </c>
      <c r="D293" s="3">
        <v>27946</v>
      </c>
      <c r="E293" s="1" t="s">
        <v>35</v>
      </c>
      <c r="F293" s="1" t="s">
        <v>28</v>
      </c>
      <c r="G293" s="1" t="s">
        <v>1841</v>
      </c>
      <c r="H293" s="1" t="s">
        <v>1842</v>
      </c>
      <c r="I293" s="1" t="s">
        <v>2087</v>
      </c>
      <c r="J293" s="3">
        <v>45239</v>
      </c>
      <c r="K293" s="1" t="s">
        <v>2108</v>
      </c>
      <c r="L293" s="4">
        <f t="shared" si="13"/>
        <v>47</v>
      </c>
      <c r="M293" s="4">
        <f t="shared" si="14"/>
        <v>2023</v>
      </c>
    </row>
    <row r="294" spans="1:13" x14ac:dyDescent="0.25">
      <c r="A294" s="1" t="s">
        <v>221</v>
      </c>
      <c r="B294" s="1" t="str">
        <f t="shared" si="12"/>
        <v>ENC-80</v>
      </c>
      <c r="C294" s="1" t="s">
        <v>186</v>
      </c>
      <c r="D294" s="3">
        <v>31029</v>
      </c>
      <c r="E294" s="1" t="s">
        <v>52</v>
      </c>
      <c r="F294" s="1" t="s">
        <v>9</v>
      </c>
      <c r="G294" s="1" t="s">
        <v>1252</v>
      </c>
      <c r="H294" s="1" t="s">
        <v>1253</v>
      </c>
      <c r="I294" s="1" t="s">
        <v>2087</v>
      </c>
      <c r="J294" s="3">
        <v>45238</v>
      </c>
      <c r="K294" s="1" t="s">
        <v>2093</v>
      </c>
      <c r="L294" s="4">
        <f t="shared" si="13"/>
        <v>38</v>
      </c>
      <c r="M294" s="4">
        <f t="shared" si="14"/>
        <v>2023</v>
      </c>
    </row>
    <row r="295" spans="1:13" x14ac:dyDescent="0.25">
      <c r="A295" s="1" t="s">
        <v>871</v>
      </c>
      <c r="B295" s="1" t="str">
        <f t="shared" si="12"/>
        <v>ENC-390</v>
      </c>
      <c r="C295" s="1" t="s">
        <v>129</v>
      </c>
      <c r="D295" s="3">
        <v>21006</v>
      </c>
      <c r="E295" s="1" t="s">
        <v>35</v>
      </c>
      <c r="F295" s="1" t="s">
        <v>24</v>
      </c>
      <c r="G295" s="1" t="s">
        <v>1869</v>
      </c>
      <c r="H295" s="1" t="s">
        <v>1870</v>
      </c>
      <c r="I295" s="1" t="s">
        <v>2096</v>
      </c>
      <c r="J295" s="3">
        <v>45238</v>
      </c>
      <c r="K295" s="1" t="s">
        <v>2108</v>
      </c>
      <c r="L295" s="4">
        <f t="shared" si="13"/>
        <v>66</v>
      </c>
      <c r="M295" s="4">
        <f t="shared" si="14"/>
        <v>2023</v>
      </c>
    </row>
    <row r="296" spans="1:13" x14ac:dyDescent="0.25">
      <c r="A296" s="1" t="s">
        <v>634</v>
      </c>
      <c r="B296" s="1" t="str">
        <f t="shared" si="12"/>
        <v>ENC-272</v>
      </c>
      <c r="C296" s="1" t="s">
        <v>608</v>
      </c>
      <c r="D296" s="3">
        <v>16213</v>
      </c>
      <c r="E296" s="1" t="s">
        <v>35</v>
      </c>
      <c r="F296" s="1" t="s">
        <v>16</v>
      </c>
      <c r="G296" s="1" t="s">
        <v>1634</v>
      </c>
      <c r="H296" s="1" t="s">
        <v>1635</v>
      </c>
      <c r="I296" s="1" t="s">
        <v>2087</v>
      </c>
      <c r="J296" s="3">
        <v>45234</v>
      </c>
      <c r="K296" s="1" t="s">
        <v>2104</v>
      </c>
      <c r="L296" s="4">
        <f t="shared" si="13"/>
        <v>79</v>
      </c>
      <c r="M296" s="4">
        <f t="shared" si="14"/>
        <v>2023</v>
      </c>
    </row>
    <row r="297" spans="1:13" x14ac:dyDescent="0.25">
      <c r="A297" s="1" t="s">
        <v>531</v>
      </c>
      <c r="B297" s="1" t="str">
        <f t="shared" si="12"/>
        <v>ENC-222</v>
      </c>
      <c r="C297" s="1" t="s">
        <v>37</v>
      </c>
      <c r="D297" s="3">
        <v>38285</v>
      </c>
      <c r="E297" s="1" t="s">
        <v>52</v>
      </c>
      <c r="F297" s="1" t="s">
        <v>16</v>
      </c>
      <c r="G297" s="1" t="s">
        <v>1535</v>
      </c>
      <c r="H297" s="1" t="s">
        <v>1536</v>
      </c>
      <c r="I297" s="1" t="s">
        <v>2096</v>
      </c>
      <c r="J297" s="3">
        <v>45231</v>
      </c>
      <c r="K297" s="1" t="s">
        <v>2108</v>
      </c>
      <c r="L297" s="4">
        <f t="shared" si="13"/>
        <v>19</v>
      </c>
      <c r="M297" s="4">
        <f t="shared" si="14"/>
        <v>2023</v>
      </c>
    </row>
    <row r="298" spans="1:13" x14ac:dyDescent="0.25">
      <c r="A298" s="1" t="s">
        <v>978</v>
      </c>
      <c r="B298" s="1" t="str">
        <f t="shared" si="12"/>
        <v>ENC-443</v>
      </c>
      <c r="C298" s="1" t="s">
        <v>54</v>
      </c>
      <c r="D298" s="3">
        <v>29242</v>
      </c>
      <c r="E298" s="1" t="s">
        <v>52</v>
      </c>
      <c r="F298" s="1" t="s">
        <v>42</v>
      </c>
      <c r="G298" s="1" t="s">
        <v>1972</v>
      </c>
      <c r="H298" s="1" t="s">
        <v>1973</v>
      </c>
      <c r="I298" s="1" t="s">
        <v>2096</v>
      </c>
      <c r="J298" s="3">
        <v>45229</v>
      </c>
      <c r="K298" s="1" t="s">
        <v>2093</v>
      </c>
      <c r="L298" s="4">
        <f t="shared" si="13"/>
        <v>43</v>
      </c>
      <c r="M298" s="4">
        <f t="shared" si="14"/>
        <v>2023</v>
      </c>
    </row>
    <row r="299" spans="1:13" x14ac:dyDescent="0.25">
      <c r="A299" s="1" t="s">
        <v>1071</v>
      </c>
      <c r="B299" s="1" t="str">
        <f t="shared" si="12"/>
        <v>ENC-490</v>
      </c>
      <c r="C299" s="1" t="s">
        <v>58</v>
      </c>
      <c r="D299" s="3">
        <v>31529</v>
      </c>
      <c r="E299" s="1" t="s">
        <v>8</v>
      </c>
      <c r="F299" s="1" t="s">
        <v>24</v>
      </c>
      <c r="G299" s="1" t="s">
        <v>2061</v>
      </c>
      <c r="H299" s="1" t="s">
        <v>2062</v>
      </c>
      <c r="I299" s="1" t="s">
        <v>2096</v>
      </c>
      <c r="J299" s="3">
        <v>45228</v>
      </c>
      <c r="K299" s="1" t="s">
        <v>2104</v>
      </c>
      <c r="L299" s="4">
        <f t="shared" si="13"/>
        <v>37</v>
      </c>
      <c r="M299" s="4">
        <f t="shared" si="14"/>
        <v>2023</v>
      </c>
    </row>
    <row r="300" spans="1:13" x14ac:dyDescent="0.25">
      <c r="A300" s="1" t="s">
        <v>432</v>
      </c>
      <c r="B300" s="1" t="str">
        <f t="shared" si="12"/>
        <v>ENC-175</v>
      </c>
      <c r="C300" s="1" t="s">
        <v>170</v>
      </c>
      <c r="D300" s="3">
        <v>33820</v>
      </c>
      <c r="E300" s="1" t="s">
        <v>52</v>
      </c>
      <c r="F300" s="1" t="s">
        <v>20</v>
      </c>
      <c r="G300" s="1" t="s">
        <v>1441</v>
      </c>
      <c r="H300" s="1" t="s">
        <v>1442</v>
      </c>
      <c r="I300" s="1" t="s">
        <v>2096</v>
      </c>
      <c r="J300" s="3">
        <v>45226</v>
      </c>
      <c r="K300" s="1" t="s">
        <v>2108</v>
      </c>
      <c r="L300" s="4">
        <f t="shared" si="13"/>
        <v>31</v>
      </c>
      <c r="M300" s="4">
        <f t="shared" si="14"/>
        <v>2023</v>
      </c>
    </row>
    <row r="301" spans="1:13" x14ac:dyDescent="0.25">
      <c r="A301" s="1" t="s">
        <v>662</v>
      </c>
      <c r="B301" s="1" t="str">
        <f t="shared" si="12"/>
        <v>ENC-286</v>
      </c>
      <c r="C301" s="1" t="s">
        <v>40</v>
      </c>
      <c r="D301" s="3">
        <v>27779</v>
      </c>
      <c r="E301" s="1" t="s">
        <v>35</v>
      </c>
      <c r="F301" s="1" t="s">
        <v>28</v>
      </c>
      <c r="G301" s="1" t="s">
        <v>1662</v>
      </c>
      <c r="H301" s="1" t="s">
        <v>1663</v>
      </c>
      <c r="I301" s="1" t="s">
        <v>2087</v>
      </c>
      <c r="J301" s="3">
        <v>45222</v>
      </c>
      <c r="K301" s="1" t="s">
        <v>2104</v>
      </c>
      <c r="L301" s="4">
        <f t="shared" si="13"/>
        <v>47</v>
      </c>
      <c r="M301" s="4">
        <f t="shared" si="14"/>
        <v>2023</v>
      </c>
    </row>
    <row r="302" spans="1:13" x14ac:dyDescent="0.25">
      <c r="A302" s="1" t="s">
        <v>790</v>
      </c>
      <c r="B302" s="1" t="str">
        <f t="shared" si="12"/>
        <v>ENC-350</v>
      </c>
      <c r="C302" s="1" t="s">
        <v>37</v>
      </c>
      <c r="D302" s="3">
        <v>37804</v>
      </c>
      <c r="E302" s="1" t="s">
        <v>35</v>
      </c>
      <c r="F302" s="1" t="s">
        <v>9</v>
      </c>
      <c r="G302" s="1" t="s">
        <v>1790</v>
      </c>
      <c r="H302" s="1" t="s">
        <v>1791</v>
      </c>
      <c r="I302" s="1" t="s">
        <v>2087</v>
      </c>
      <c r="J302" s="3">
        <v>45222</v>
      </c>
      <c r="K302" s="1" t="s">
        <v>2093</v>
      </c>
      <c r="L302" s="4">
        <f t="shared" si="13"/>
        <v>20</v>
      </c>
      <c r="M302" s="4">
        <f t="shared" si="14"/>
        <v>2023</v>
      </c>
    </row>
    <row r="303" spans="1:13" x14ac:dyDescent="0.25">
      <c r="A303" s="1" t="s">
        <v>307</v>
      </c>
      <c r="B303" s="1" t="str">
        <f t="shared" si="12"/>
        <v>ENC-117</v>
      </c>
      <c r="C303" s="1" t="s">
        <v>160</v>
      </c>
      <c r="D303" s="3">
        <v>33519</v>
      </c>
      <c r="E303" s="1" t="s">
        <v>52</v>
      </c>
      <c r="F303" s="1" t="s">
        <v>42</v>
      </c>
      <c r="G303" s="1" t="s">
        <v>1325</v>
      </c>
      <c r="H303" s="1" t="s">
        <v>1326</v>
      </c>
      <c r="I303" s="1" t="s">
        <v>2096</v>
      </c>
      <c r="J303" s="3">
        <v>45206</v>
      </c>
      <c r="K303" s="1" t="s">
        <v>2104</v>
      </c>
      <c r="L303" s="4">
        <f t="shared" si="13"/>
        <v>31</v>
      </c>
      <c r="M303" s="4">
        <f t="shared" si="14"/>
        <v>2023</v>
      </c>
    </row>
    <row r="304" spans="1:13" x14ac:dyDescent="0.25">
      <c r="A304" s="1" t="s">
        <v>584</v>
      </c>
      <c r="B304" s="1" t="str">
        <f t="shared" si="12"/>
        <v>ENC-248</v>
      </c>
      <c r="C304" s="1" t="s">
        <v>11</v>
      </c>
      <c r="D304" s="3">
        <v>25202</v>
      </c>
      <c r="E304" s="1" t="s">
        <v>35</v>
      </c>
      <c r="F304" s="1" t="s">
        <v>16</v>
      </c>
      <c r="G304" s="1" t="s">
        <v>1586</v>
      </c>
      <c r="H304" s="1" t="s">
        <v>1587</v>
      </c>
      <c r="I304" s="1" t="s">
        <v>2087</v>
      </c>
      <c r="J304" s="3">
        <v>45203</v>
      </c>
      <c r="K304" s="1" t="s">
        <v>2089</v>
      </c>
      <c r="L304" s="4">
        <f t="shared" si="13"/>
        <v>54</v>
      </c>
      <c r="M304" s="4">
        <f t="shared" si="14"/>
        <v>2023</v>
      </c>
    </row>
    <row r="305" spans="1:13" x14ac:dyDescent="0.25">
      <c r="A305" s="1" t="s">
        <v>736</v>
      </c>
      <c r="B305" s="1" t="str">
        <f t="shared" si="12"/>
        <v>ENC-323</v>
      </c>
      <c r="C305" s="1" t="s">
        <v>155</v>
      </c>
      <c r="D305" s="3">
        <v>17202</v>
      </c>
      <c r="E305" s="1" t="s">
        <v>35</v>
      </c>
      <c r="F305" s="1" t="s">
        <v>9</v>
      </c>
      <c r="G305" s="1" t="s">
        <v>1736</v>
      </c>
      <c r="H305" s="1" t="s">
        <v>1737</v>
      </c>
      <c r="I305" s="1" t="s">
        <v>2087</v>
      </c>
      <c r="J305" s="3">
        <v>45200</v>
      </c>
      <c r="K305" s="1" t="s">
        <v>2104</v>
      </c>
      <c r="L305" s="4">
        <f t="shared" si="13"/>
        <v>76</v>
      </c>
      <c r="M305" s="4">
        <f t="shared" si="14"/>
        <v>2023</v>
      </c>
    </row>
    <row r="306" spans="1:13" x14ac:dyDescent="0.25">
      <c r="A306" s="1" t="s">
        <v>169</v>
      </c>
      <c r="B306" s="1" t="str">
        <f t="shared" si="12"/>
        <v>ENC-58</v>
      </c>
      <c r="C306" s="1" t="s">
        <v>170</v>
      </c>
      <c r="D306" s="3">
        <v>37053</v>
      </c>
      <c r="E306" s="1" t="s">
        <v>35</v>
      </c>
      <c r="F306" s="1" t="s">
        <v>16</v>
      </c>
      <c r="G306" s="1" t="s">
        <v>1208</v>
      </c>
      <c r="H306" s="1" t="s">
        <v>1209</v>
      </c>
      <c r="I306" s="1" t="s">
        <v>2096</v>
      </c>
      <c r="J306" s="3">
        <v>45199</v>
      </c>
      <c r="K306" s="1" t="s">
        <v>2104</v>
      </c>
      <c r="L306" s="4">
        <f t="shared" si="13"/>
        <v>22</v>
      </c>
      <c r="M306" s="4">
        <f t="shared" si="14"/>
        <v>2023</v>
      </c>
    </row>
    <row r="307" spans="1:13" x14ac:dyDescent="0.25">
      <c r="A307" s="1" t="s">
        <v>928</v>
      </c>
      <c r="B307" s="1" t="str">
        <f t="shared" si="12"/>
        <v>ENC-418</v>
      </c>
      <c r="C307" s="1" t="s">
        <v>246</v>
      </c>
      <c r="D307" s="3">
        <v>24734</v>
      </c>
      <c r="E307" s="1" t="s">
        <v>8</v>
      </c>
      <c r="F307" s="1" t="s">
        <v>16</v>
      </c>
      <c r="G307" s="1" t="s">
        <v>1924</v>
      </c>
      <c r="H307" s="1" t="s">
        <v>1925</v>
      </c>
      <c r="I307" s="1" t="s">
        <v>2096</v>
      </c>
      <c r="J307" s="3">
        <v>45192</v>
      </c>
      <c r="K307" s="1" t="s">
        <v>2108</v>
      </c>
      <c r="L307" s="4">
        <f t="shared" si="13"/>
        <v>56</v>
      </c>
      <c r="M307" s="4">
        <f t="shared" si="14"/>
        <v>2023</v>
      </c>
    </row>
    <row r="308" spans="1:13" x14ac:dyDescent="0.25">
      <c r="A308" s="1" t="s">
        <v>626</v>
      </c>
      <c r="B308" s="1" t="str">
        <f t="shared" si="12"/>
        <v>ENC-268</v>
      </c>
      <c r="C308" s="1" t="s">
        <v>275</v>
      </c>
      <c r="D308" s="3">
        <v>19646</v>
      </c>
      <c r="E308" s="1" t="s">
        <v>35</v>
      </c>
      <c r="F308" s="1" t="s">
        <v>9</v>
      </c>
      <c r="G308" s="1" t="s">
        <v>1626</v>
      </c>
      <c r="H308" s="1" t="s">
        <v>1627</v>
      </c>
      <c r="I308" s="1" t="s">
        <v>2096</v>
      </c>
      <c r="J308" s="3">
        <v>45188</v>
      </c>
      <c r="K308" s="1" t="s">
        <v>2093</v>
      </c>
      <c r="L308" s="4">
        <f t="shared" si="13"/>
        <v>69</v>
      </c>
      <c r="M308" s="4">
        <f t="shared" si="14"/>
        <v>2023</v>
      </c>
    </row>
    <row r="309" spans="1:13" x14ac:dyDescent="0.25">
      <c r="A309" s="1" t="s">
        <v>80</v>
      </c>
      <c r="B309" s="1" t="str">
        <f t="shared" si="12"/>
        <v>ENC-23</v>
      </c>
      <c r="C309" s="1" t="s">
        <v>81</v>
      </c>
      <c r="D309" s="3">
        <v>39034</v>
      </c>
      <c r="E309" s="1" t="s">
        <v>8</v>
      </c>
      <c r="F309" s="1" t="s">
        <v>24</v>
      </c>
      <c r="G309" s="1" t="s">
        <v>1139</v>
      </c>
      <c r="H309" s="1" t="s">
        <v>1140</v>
      </c>
      <c r="I309" s="1" t="s">
        <v>2087</v>
      </c>
      <c r="J309" s="3">
        <v>45185</v>
      </c>
      <c r="K309" s="1" t="s">
        <v>2093</v>
      </c>
      <c r="L309" s="4">
        <f t="shared" si="13"/>
        <v>16</v>
      </c>
      <c r="M309" s="4">
        <f t="shared" si="14"/>
        <v>2023</v>
      </c>
    </row>
    <row r="310" spans="1:13" x14ac:dyDescent="0.25">
      <c r="A310" s="1" t="s">
        <v>557</v>
      </c>
      <c r="B310" s="1" t="str">
        <f t="shared" si="12"/>
        <v>ENC-235</v>
      </c>
      <c r="C310" s="1" t="s">
        <v>412</v>
      </c>
      <c r="D310" s="3">
        <v>24040</v>
      </c>
      <c r="E310" s="1" t="s">
        <v>52</v>
      </c>
      <c r="F310" s="1" t="s">
        <v>13</v>
      </c>
      <c r="G310" s="1" t="s">
        <v>1561</v>
      </c>
      <c r="H310" s="1" t="s">
        <v>1562</v>
      </c>
      <c r="I310" s="1" t="s">
        <v>2087</v>
      </c>
      <c r="J310" s="3">
        <v>45182</v>
      </c>
      <c r="K310" s="1" t="s">
        <v>2108</v>
      </c>
      <c r="L310" s="4">
        <f t="shared" si="13"/>
        <v>57</v>
      </c>
      <c r="M310" s="4">
        <f t="shared" si="14"/>
        <v>2023</v>
      </c>
    </row>
    <row r="311" spans="1:13" x14ac:dyDescent="0.25">
      <c r="A311" s="1" t="s">
        <v>684</v>
      </c>
      <c r="B311" s="1" t="str">
        <f t="shared" si="12"/>
        <v>ENC-297</v>
      </c>
      <c r="C311" s="1" t="s">
        <v>387</v>
      </c>
      <c r="D311" s="3">
        <v>37761</v>
      </c>
      <c r="E311" s="1" t="s">
        <v>8</v>
      </c>
      <c r="F311" s="1" t="s">
        <v>13</v>
      </c>
      <c r="G311" s="1" t="s">
        <v>1684</v>
      </c>
      <c r="H311" s="1" t="s">
        <v>1685</v>
      </c>
      <c r="I311" s="1" t="s">
        <v>2096</v>
      </c>
      <c r="J311" s="3">
        <v>45182</v>
      </c>
      <c r="K311" s="1" t="s">
        <v>2108</v>
      </c>
      <c r="L311" s="4">
        <f t="shared" si="13"/>
        <v>20</v>
      </c>
      <c r="M311" s="4">
        <f t="shared" si="14"/>
        <v>2023</v>
      </c>
    </row>
    <row r="312" spans="1:13" x14ac:dyDescent="0.25">
      <c r="A312" s="1" t="s">
        <v>728</v>
      </c>
      <c r="B312" s="1" t="str">
        <f t="shared" si="12"/>
        <v>ENC-319</v>
      </c>
      <c r="C312" s="1" t="s">
        <v>40</v>
      </c>
      <c r="D312" s="3">
        <v>18299</v>
      </c>
      <c r="E312" s="1" t="s">
        <v>8</v>
      </c>
      <c r="F312" s="1" t="s">
        <v>28</v>
      </c>
      <c r="G312" s="1" t="s">
        <v>1728</v>
      </c>
      <c r="H312" s="1" t="s">
        <v>1729</v>
      </c>
      <c r="I312" s="1" t="s">
        <v>2096</v>
      </c>
      <c r="J312" s="3">
        <v>45169</v>
      </c>
      <c r="K312" s="1" t="s">
        <v>2104</v>
      </c>
      <c r="L312" s="4">
        <f t="shared" si="13"/>
        <v>73</v>
      </c>
      <c r="M312" s="4">
        <f t="shared" si="14"/>
        <v>2023</v>
      </c>
    </row>
    <row r="313" spans="1:13" x14ac:dyDescent="0.25">
      <c r="A313" s="1" t="s">
        <v>766</v>
      </c>
      <c r="B313" s="1" t="str">
        <f t="shared" si="12"/>
        <v>ENC-338</v>
      </c>
      <c r="C313" s="1" t="s">
        <v>597</v>
      </c>
      <c r="D313" s="3">
        <v>17027</v>
      </c>
      <c r="E313" s="1" t="s">
        <v>52</v>
      </c>
      <c r="F313" s="1" t="s">
        <v>16</v>
      </c>
      <c r="G313" s="1" t="s">
        <v>1766</v>
      </c>
      <c r="H313" s="1" t="s">
        <v>1767</v>
      </c>
      <c r="I313" s="1" t="s">
        <v>2087</v>
      </c>
      <c r="J313" s="3">
        <v>45168</v>
      </c>
      <c r="K313" s="1" t="s">
        <v>2104</v>
      </c>
      <c r="L313" s="4">
        <f t="shared" si="13"/>
        <v>77</v>
      </c>
      <c r="M313" s="4">
        <f t="shared" si="14"/>
        <v>2023</v>
      </c>
    </row>
    <row r="314" spans="1:13" x14ac:dyDescent="0.25">
      <c r="A314" s="1" t="s">
        <v>248</v>
      </c>
      <c r="B314" s="1" t="str">
        <f t="shared" si="12"/>
        <v>ENC-91</v>
      </c>
      <c r="C314" s="1" t="s">
        <v>149</v>
      </c>
      <c r="D314" s="3">
        <v>20228</v>
      </c>
      <c r="E314" s="1" t="s">
        <v>52</v>
      </c>
      <c r="F314" s="1" t="s">
        <v>9</v>
      </c>
      <c r="G314" s="1" t="s">
        <v>1274</v>
      </c>
      <c r="H314" s="1" t="s">
        <v>1275</v>
      </c>
      <c r="I314" s="1" t="s">
        <v>2096</v>
      </c>
      <c r="J314" s="3">
        <v>45162</v>
      </c>
      <c r="K314" s="1" t="s">
        <v>2108</v>
      </c>
      <c r="L314" s="4">
        <f t="shared" si="13"/>
        <v>68</v>
      </c>
      <c r="M314" s="4">
        <f t="shared" si="14"/>
        <v>2023</v>
      </c>
    </row>
    <row r="315" spans="1:13" x14ac:dyDescent="0.25">
      <c r="A315" s="1" t="s">
        <v>620</v>
      </c>
      <c r="B315" s="1" t="str">
        <f t="shared" si="12"/>
        <v>ENC-265</v>
      </c>
      <c r="C315" s="1" t="s">
        <v>64</v>
      </c>
      <c r="D315" s="3">
        <v>19264</v>
      </c>
      <c r="E315" s="1" t="s">
        <v>8</v>
      </c>
      <c r="F315" s="1" t="s">
        <v>24</v>
      </c>
      <c r="G315" s="1" t="s">
        <v>1620</v>
      </c>
      <c r="H315" s="1" t="s">
        <v>1621</v>
      </c>
      <c r="I315" s="1" t="s">
        <v>2087</v>
      </c>
      <c r="J315" s="3">
        <v>45159</v>
      </c>
      <c r="K315" s="1" t="s">
        <v>2108</v>
      </c>
      <c r="L315" s="4">
        <f t="shared" si="13"/>
        <v>70</v>
      </c>
      <c r="M315" s="4">
        <f t="shared" si="14"/>
        <v>2023</v>
      </c>
    </row>
    <row r="316" spans="1:13" x14ac:dyDescent="0.25">
      <c r="A316" s="1" t="s">
        <v>811</v>
      </c>
      <c r="B316" s="1" t="str">
        <f t="shared" si="12"/>
        <v>ENC-360</v>
      </c>
      <c r="C316" s="1" t="s">
        <v>523</v>
      </c>
      <c r="D316" s="3">
        <v>18310</v>
      </c>
      <c r="E316" s="1" t="s">
        <v>52</v>
      </c>
      <c r="F316" s="1" t="s">
        <v>24</v>
      </c>
      <c r="G316" s="1" t="s">
        <v>1810</v>
      </c>
      <c r="H316" s="1" t="s">
        <v>1811</v>
      </c>
      <c r="I316" s="1" t="s">
        <v>2087</v>
      </c>
      <c r="J316" s="3">
        <v>45159</v>
      </c>
      <c r="K316" s="1" t="s">
        <v>2104</v>
      </c>
      <c r="L316" s="4">
        <f t="shared" si="13"/>
        <v>73</v>
      </c>
      <c r="M316" s="4">
        <f t="shared" si="14"/>
        <v>2023</v>
      </c>
    </row>
    <row r="317" spans="1:13" x14ac:dyDescent="0.25">
      <c r="A317" s="1" t="s">
        <v>301</v>
      </c>
      <c r="B317" s="1" t="str">
        <f t="shared" si="12"/>
        <v>ENC-114</v>
      </c>
      <c r="C317" s="1" t="s">
        <v>26</v>
      </c>
      <c r="D317" s="3">
        <v>21615</v>
      </c>
      <c r="E317" s="1" t="s">
        <v>35</v>
      </c>
      <c r="F317" s="1" t="s">
        <v>9</v>
      </c>
      <c r="G317" s="1" t="s">
        <v>1319</v>
      </c>
      <c r="H317" s="1" t="s">
        <v>1320</v>
      </c>
      <c r="I317" s="1" t="s">
        <v>2087</v>
      </c>
      <c r="J317" s="3">
        <v>45156</v>
      </c>
      <c r="K317" s="1" t="s">
        <v>2104</v>
      </c>
      <c r="L317" s="4">
        <f t="shared" si="13"/>
        <v>64</v>
      </c>
      <c r="M317" s="4">
        <f t="shared" si="14"/>
        <v>2023</v>
      </c>
    </row>
    <row r="318" spans="1:13" x14ac:dyDescent="0.25">
      <c r="A318" s="1" t="s">
        <v>21</v>
      </c>
      <c r="B318" s="1" t="str">
        <f t="shared" si="12"/>
        <v>ENC-5</v>
      </c>
      <c r="C318" s="1" t="s">
        <v>22</v>
      </c>
      <c r="D318" s="3">
        <v>32576</v>
      </c>
      <c r="E318" s="1" t="s">
        <v>8</v>
      </c>
      <c r="F318" s="1" t="s">
        <v>24</v>
      </c>
      <c r="G318" s="1" t="s">
        <v>1103</v>
      </c>
      <c r="H318" s="1" t="s">
        <v>1104</v>
      </c>
      <c r="I318" s="1" t="s">
        <v>2087</v>
      </c>
      <c r="J318" s="3">
        <v>45147</v>
      </c>
      <c r="K318" s="1" t="s">
        <v>2104</v>
      </c>
      <c r="L318" s="4">
        <f t="shared" si="13"/>
        <v>34</v>
      </c>
      <c r="M318" s="4">
        <f t="shared" si="14"/>
        <v>2023</v>
      </c>
    </row>
    <row r="319" spans="1:13" x14ac:dyDescent="0.25">
      <c r="A319" s="1" t="s">
        <v>280</v>
      </c>
      <c r="B319" s="1" t="str">
        <f t="shared" si="12"/>
        <v>ENC-104</v>
      </c>
      <c r="C319" s="1" t="s">
        <v>58</v>
      </c>
      <c r="D319" s="3">
        <v>25139</v>
      </c>
      <c r="E319" s="1" t="s">
        <v>35</v>
      </c>
      <c r="F319" s="1" t="s">
        <v>42</v>
      </c>
      <c r="G319" s="1" t="s">
        <v>1299</v>
      </c>
      <c r="H319" s="1" t="s">
        <v>1300</v>
      </c>
      <c r="I319" s="1" t="s">
        <v>2096</v>
      </c>
      <c r="J319" s="3">
        <v>45147</v>
      </c>
      <c r="K319" s="1" t="s">
        <v>2093</v>
      </c>
      <c r="L319" s="4">
        <f t="shared" si="13"/>
        <v>54</v>
      </c>
      <c r="M319" s="4">
        <f t="shared" si="14"/>
        <v>2023</v>
      </c>
    </row>
    <row r="320" spans="1:13" x14ac:dyDescent="0.25">
      <c r="A320" s="1" t="s">
        <v>934</v>
      </c>
      <c r="B320" s="1" t="str">
        <f t="shared" si="12"/>
        <v>ENC-421</v>
      </c>
      <c r="C320" s="1" t="s">
        <v>198</v>
      </c>
      <c r="D320" s="3">
        <v>17028</v>
      </c>
      <c r="E320" s="1" t="s">
        <v>52</v>
      </c>
      <c r="F320" s="1" t="s">
        <v>42</v>
      </c>
      <c r="G320" s="1" t="s">
        <v>1930</v>
      </c>
      <c r="H320" s="1" t="s">
        <v>1931</v>
      </c>
      <c r="I320" s="1" t="s">
        <v>2087</v>
      </c>
      <c r="J320" s="3">
        <v>45139</v>
      </c>
      <c r="K320" s="1" t="s">
        <v>2108</v>
      </c>
      <c r="L320" s="4">
        <f t="shared" si="13"/>
        <v>76</v>
      </c>
      <c r="M320" s="4">
        <f t="shared" si="14"/>
        <v>2023</v>
      </c>
    </row>
    <row r="321" spans="1:13" x14ac:dyDescent="0.25">
      <c r="A321" s="1" t="s">
        <v>642</v>
      </c>
      <c r="B321" s="1" t="str">
        <f t="shared" si="12"/>
        <v>ENC-276</v>
      </c>
      <c r="C321" s="1" t="s">
        <v>173</v>
      </c>
      <c r="D321" s="3">
        <v>29727</v>
      </c>
      <c r="E321" s="1" t="s">
        <v>52</v>
      </c>
      <c r="F321" s="1" t="s">
        <v>56</v>
      </c>
      <c r="G321" s="1" t="s">
        <v>1642</v>
      </c>
      <c r="H321" s="1" t="s">
        <v>1643</v>
      </c>
      <c r="I321" s="1" t="s">
        <v>2096</v>
      </c>
      <c r="J321" s="3">
        <v>45136</v>
      </c>
      <c r="K321" s="1" t="s">
        <v>2089</v>
      </c>
      <c r="L321" s="4">
        <f t="shared" si="13"/>
        <v>42</v>
      </c>
      <c r="M321" s="4">
        <f t="shared" si="14"/>
        <v>2023</v>
      </c>
    </row>
    <row r="322" spans="1:13" x14ac:dyDescent="0.25">
      <c r="A322" s="1" t="s">
        <v>817</v>
      </c>
      <c r="B322" s="1" t="str">
        <f t="shared" ref="B322:B385" si="15">"ENC-"&amp;(VALUE(RIGHT(A322,4))-1000)</f>
        <v>ENC-363</v>
      </c>
      <c r="C322" s="1" t="s">
        <v>227</v>
      </c>
      <c r="D322" s="3">
        <v>31284</v>
      </c>
      <c r="E322" s="1" t="s">
        <v>52</v>
      </c>
      <c r="F322" s="1" t="s">
        <v>13</v>
      </c>
      <c r="G322" s="1" t="s">
        <v>1816</v>
      </c>
      <c r="H322" s="1" t="s">
        <v>1817</v>
      </c>
      <c r="I322" s="1" t="s">
        <v>2087</v>
      </c>
      <c r="J322" s="3">
        <v>45134</v>
      </c>
      <c r="K322" s="1" t="s">
        <v>2104</v>
      </c>
      <c r="L322" s="4">
        <f t="shared" ref="L322:L385" si="16">DATEDIF(D322,J322,"Y")</f>
        <v>37</v>
      </c>
      <c r="M322" s="4">
        <f t="shared" ref="M322:M385" si="17">YEAR(J322)</f>
        <v>2023</v>
      </c>
    </row>
    <row r="323" spans="1:13" x14ac:dyDescent="0.25">
      <c r="A323" s="1" t="s">
        <v>1047</v>
      </c>
      <c r="B323" s="1" t="str">
        <f t="shared" si="15"/>
        <v>ENC-478</v>
      </c>
      <c r="C323" s="1" t="s">
        <v>111</v>
      </c>
      <c r="D323" s="3">
        <v>36310</v>
      </c>
      <c r="E323" s="1" t="s">
        <v>8</v>
      </c>
      <c r="F323" s="1" t="s">
        <v>42</v>
      </c>
      <c r="G323" s="1" t="s">
        <v>2037</v>
      </c>
      <c r="H323" s="1" t="s">
        <v>2038</v>
      </c>
      <c r="I323" s="1" t="s">
        <v>2096</v>
      </c>
      <c r="J323" s="3">
        <v>45134</v>
      </c>
      <c r="K323" s="1" t="s">
        <v>2093</v>
      </c>
      <c r="L323" s="4">
        <f t="shared" si="16"/>
        <v>24</v>
      </c>
      <c r="M323" s="4">
        <f t="shared" si="17"/>
        <v>2023</v>
      </c>
    </row>
    <row r="324" spans="1:13" x14ac:dyDescent="0.25">
      <c r="A324" s="1" t="s">
        <v>470</v>
      </c>
      <c r="B324" s="1" t="str">
        <f t="shared" si="15"/>
        <v>ENC-193</v>
      </c>
      <c r="C324" s="1" t="s">
        <v>152</v>
      </c>
      <c r="D324" s="3">
        <v>25179</v>
      </c>
      <c r="E324" s="1" t="s">
        <v>35</v>
      </c>
      <c r="F324" s="1" t="s">
        <v>16</v>
      </c>
      <c r="G324" s="1" t="s">
        <v>1477</v>
      </c>
      <c r="H324" s="1" t="s">
        <v>1478</v>
      </c>
      <c r="I324" s="1" t="s">
        <v>2087</v>
      </c>
      <c r="J324" s="3">
        <v>45125</v>
      </c>
      <c r="K324" s="1" t="s">
        <v>2104</v>
      </c>
      <c r="L324" s="4">
        <f t="shared" si="16"/>
        <v>54</v>
      </c>
      <c r="M324" s="4">
        <f t="shared" si="17"/>
        <v>2023</v>
      </c>
    </row>
    <row r="325" spans="1:13" x14ac:dyDescent="0.25">
      <c r="A325" s="1" t="s">
        <v>460</v>
      </c>
      <c r="B325" s="1" t="str">
        <f t="shared" si="15"/>
        <v>ENC-188</v>
      </c>
      <c r="C325" s="1" t="s">
        <v>124</v>
      </c>
      <c r="D325" s="3">
        <v>32952</v>
      </c>
      <c r="E325" s="1" t="s">
        <v>35</v>
      </c>
      <c r="F325" s="1" t="s">
        <v>16</v>
      </c>
      <c r="G325" s="1" t="s">
        <v>1467</v>
      </c>
      <c r="H325" s="1" t="s">
        <v>1468</v>
      </c>
      <c r="I325" s="1" t="s">
        <v>2096</v>
      </c>
      <c r="J325" s="3">
        <v>45114</v>
      </c>
      <c r="K325" s="1" t="s">
        <v>2104</v>
      </c>
      <c r="L325" s="4">
        <f t="shared" si="16"/>
        <v>33</v>
      </c>
      <c r="M325" s="4">
        <f t="shared" si="17"/>
        <v>2023</v>
      </c>
    </row>
    <row r="326" spans="1:13" x14ac:dyDescent="0.25">
      <c r="A326" s="1" t="s">
        <v>857</v>
      </c>
      <c r="B326" s="1" t="str">
        <f t="shared" si="15"/>
        <v>ENC-383</v>
      </c>
      <c r="C326" s="1" t="s">
        <v>137</v>
      </c>
      <c r="D326" s="3">
        <v>15751</v>
      </c>
      <c r="E326" s="1" t="s">
        <v>8</v>
      </c>
      <c r="F326" s="1" t="s">
        <v>24</v>
      </c>
      <c r="G326" s="1" t="s">
        <v>1855</v>
      </c>
      <c r="H326" s="1" t="s">
        <v>1856</v>
      </c>
      <c r="I326" s="1" t="s">
        <v>2096</v>
      </c>
      <c r="J326" s="3">
        <v>45113</v>
      </c>
      <c r="K326" s="1" t="s">
        <v>2093</v>
      </c>
      <c r="L326" s="4">
        <f t="shared" si="16"/>
        <v>80</v>
      </c>
      <c r="M326" s="4">
        <f t="shared" si="17"/>
        <v>2023</v>
      </c>
    </row>
    <row r="327" spans="1:13" x14ac:dyDescent="0.25">
      <c r="A327" s="1" t="s">
        <v>1037</v>
      </c>
      <c r="B327" s="1" t="str">
        <f t="shared" si="15"/>
        <v>ENC-473</v>
      </c>
      <c r="C327" s="1" t="s">
        <v>54</v>
      </c>
      <c r="D327" s="3">
        <v>30430</v>
      </c>
      <c r="E327" s="1" t="s">
        <v>8</v>
      </c>
      <c r="F327" s="1" t="s">
        <v>20</v>
      </c>
      <c r="G327" s="1" t="s">
        <v>2027</v>
      </c>
      <c r="H327" s="1" t="s">
        <v>2028</v>
      </c>
      <c r="I327" s="1" t="s">
        <v>2087</v>
      </c>
      <c r="J327" s="3">
        <v>45104</v>
      </c>
      <c r="K327" s="1" t="s">
        <v>2108</v>
      </c>
      <c r="L327" s="4">
        <f t="shared" si="16"/>
        <v>40</v>
      </c>
      <c r="M327" s="4">
        <f t="shared" si="17"/>
        <v>2023</v>
      </c>
    </row>
    <row r="328" spans="1:13" x14ac:dyDescent="0.25">
      <c r="A328" s="1" t="s">
        <v>157</v>
      </c>
      <c r="B328" s="1" t="str">
        <f t="shared" si="15"/>
        <v>ENC-53</v>
      </c>
      <c r="C328" s="1" t="s">
        <v>50</v>
      </c>
      <c r="D328" s="3">
        <v>32311</v>
      </c>
      <c r="E328" s="1" t="s">
        <v>35</v>
      </c>
      <c r="F328" s="1" t="s">
        <v>42</v>
      </c>
      <c r="G328" s="1" t="s">
        <v>1198</v>
      </c>
      <c r="H328" s="1" t="s">
        <v>1199</v>
      </c>
      <c r="I328" s="1" t="s">
        <v>2096</v>
      </c>
      <c r="J328" s="3">
        <v>45100</v>
      </c>
      <c r="K328" s="1" t="s">
        <v>2089</v>
      </c>
      <c r="L328" s="4">
        <f t="shared" si="16"/>
        <v>35</v>
      </c>
      <c r="M328" s="4">
        <f t="shared" si="17"/>
        <v>2023</v>
      </c>
    </row>
    <row r="329" spans="1:13" x14ac:dyDescent="0.25">
      <c r="A329" s="1" t="s">
        <v>368</v>
      </c>
      <c r="B329" s="1" t="str">
        <f t="shared" si="15"/>
        <v>ENC-145</v>
      </c>
      <c r="C329" s="1" t="s">
        <v>359</v>
      </c>
      <c r="D329" s="3">
        <v>38000</v>
      </c>
      <c r="E329" s="1" t="s">
        <v>52</v>
      </c>
      <c r="F329" s="1" t="s">
        <v>28</v>
      </c>
      <c r="G329" s="1" t="s">
        <v>1381</v>
      </c>
      <c r="H329" s="1" t="s">
        <v>1382</v>
      </c>
      <c r="I329" s="1" t="s">
        <v>2096</v>
      </c>
      <c r="J329" s="3">
        <v>45100</v>
      </c>
      <c r="K329" s="1" t="s">
        <v>2093</v>
      </c>
      <c r="L329" s="4">
        <f t="shared" si="16"/>
        <v>19</v>
      </c>
      <c r="M329" s="4">
        <f t="shared" si="17"/>
        <v>2023</v>
      </c>
    </row>
    <row r="330" spans="1:13" x14ac:dyDescent="0.25">
      <c r="A330" s="1" t="s">
        <v>235</v>
      </c>
      <c r="B330" s="1" t="str">
        <f t="shared" si="15"/>
        <v>ENC-86</v>
      </c>
      <c r="C330" s="1" t="s">
        <v>236</v>
      </c>
      <c r="D330" s="3">
        <v>19213</v>
      </c>
      <c r="E330" s="1" t="s">
        <v>35</v>
      </c>
      <c r="F330" s="1" t="s">
        <v>24</v>
      </c>
      <c r="G330" s="1" t="s">
        <v>1264</v>
      </c>
      <c r="H330" s="1" t="s">
        <v>1265</v>
      </c>
      <c r="I330" s="1" t="s">
        <v>2087</v>
      </c>
      <c r="J330" s="3">
        <v>45097</v>
      </c>
      <c r="K330" s="1" t="s">
        <v>2104</v>
      </c>
      <c r="L330" s="4">
        <f t="shared" si="16"/>
        <v>70</v>
      </c>
      <c r="M330" s="4">
        <f t="shared" si="17"/>
        <v>2023</v>
      </c>
    </row>
    <row r="331" spans="1:13" x14ac:dyDescent="0.25">
      <c r="A331" s="1" t="s">
        <v>411</v>
      </c>
      <c r="B331" s="1" t="str">
        <f t="shared" si="15"/>
        <v>ENC-165</v>
      </c>
      <c r="C331" s="1" t="s">
        <v>412</v>
      </c>
      <c r="D331" s="3">
        <v>29810</v>
      </c>
      <c r="E331" s="1" t="s">
        <v>35</v>
      </c>
      <c r="F331" s="1" t="s">
        <v>24</v>
      </c>
      <c r="G331" s="1" t="s">
        <v>1421</v>
      </c>
      <c r="H331" s="1" t="s">
        <v>1422</v>
      </c>
      <c r="I331" s="1" t="s">
        <v>2087</v>
      </c>
      <c r="J331" s="3">
        <v>45093</v>
      </c>
      <c r="K331" s="1" t="s">
        <v>2093</v>
      </c>
      <c r="L331" s="4">
        <f t="shared" si="16"/>
        <v>41</v>
      </c>
      <c r="M331" s="4">
        <f t="shared" si="17"/>
        <v>2023</v>
      </c>
    </row>
    <row r="332" spans="1:13" x14ac:dyDescent="0.25">
      <c r="A332" s="1" t="s">
        <v>901</v>
      </c>
      <c r="B332" s="1" t="str">
        <f t="shared" si="15"/>
        <v>ENC-405</v>
      </c>
      <c r="C332" s="1" t="s">
        <v>597</v>
      </c>
      <c r="D332" s="3">
        <v>39668</v>
      </c>
      <c r="E332" s="1" t="s">
        <v>35</v>
      </c>
      <c r="F332" s="1" t="s">
        <v>9</v>
      </c>
      <c r="G332" s="1" t="s">
        <v>1898</v>
      </c>
      <c r="H332" s="1" t="s">
        <v>1899</v>
      </c>
      <c r="I332" s="1" t="s">
        <v>2087</v>
      </c>
      <c r="J332" s="3">
        <v>45092</v>
      </c>
      <c r="K332" s="1" t="s">
        <v>2104</v>
      </c>
      <c r="L332" s="4">
        <f t="shared" si="16"/>
        <v>14</v>
      </c>
      <c r="M332" s="4">
        <f t="shared" si="17"/>
        <v>2023</v>
      </c>
    </row>
    <row r="333" spans="1:13" x14ac:dyDescent="0.25">
      <c r="A333" s="1" t="s">
        <v>154</v>
      </c>
      <c r="B333" s="1" t="str">
        <f t="shared" si="15"/>
        <v>ENC-52</v>
      </c>
      <c r="C333" s="1" t="s">
        <v>155</v>
      </c>
      <c r="D333" s="3">
        <v>19492</v>
      </c>
      <c r="E333" s="1" t="s">
        <v>35</v>
      </c>
      <c r="F333" s="1" t="s">
        <v>9</v>
      </c>
      <c r="G333" s="1" t="s">
        <v>1196</v>
      </c>
      <c r="H333" s="1" t="s">
        <v>1197</v>
      </c>
      <c r="I333" s="1" t="s">
        <v>2096</v>
      </c>
      <c r="J333" s="3">
        <v>45091</v>
      </c>
      <c r="K333" s="1" t="s">
        <v>2104</v>
      </c>
      <c r="L333" s="4">
        <f t="shared" si="16"/>
        <v>70</v>
      </c>
      <c r="M333" s="4">
        <f t="shared" si="17"/>
        <v>2023</v>
      </c>
    </row>
    <row r="334" spans="1:13" x14ac:dyDescent="0.25">
      <c r="A334" s="1" t="s">
        <v>458</v>
      </c>
      <c r="B334" s="1" t="str">
        <f t="shared" si="15"/>
        <v>ENC-187</v>
      </c>
      <c r="C334" s="1" t="s">
        <v>134</v>
      </c>
      <c r="D334" s="3">
        <v>16388</v>
      </c>
      <c r="E334" s="1" t="s">
        <v>8</v>
      </c>
      <c r="F334" s="1" t="s">
        <v>24</v>
      </c>
      <c r="G334" s="1" t="s">
        <v>1465</v>
      </c>
      <c r="H334" s="1" t="s">
        <v>1466</v>
      </c>
      <c r="I334" s="1" t="s">
        <v>2096</v>
      </c>
      <c r="J334" s="3">
        <v>45091</v>
      </c>
      <c r="K334" s="1" t="s">
        <v>2104</v>
      </c>
      <c r="L334" s="4">
        <f t="shared" si="16"/>
        <v>78</v>
      </c>
      <c r="M334" s="4">
        <f t="shared" si="17"/>
        <v>2023</v>
      </c>
    </row>
    <row r="335" spans="1:13" x14ac:dyDescent="0.25">
      <c r="A335" s="1" t="s">
        <v>183</v>
      </c>
      <c r="B335" s="1" t="str">
        <f t="shared" si="15"/>
        <v>ENC-64</v>
      </c>
      <c r="C335" s="1" t="s">
        <v>58</v>
      </c>
      <c r="D335" s="3">
        <v>18793</v>
      </c>
      <c r="E335" s="1" t="s">
        <v>35</v>
      </c>
      <c r="F335" s="1" t="s">
        <v>16</v>
      </c>
      <c r="G335" s="1" t="s">
        <v>1220</v>
      </c>
      <c r="H335" s="1" t="s">
        <v>1221</v>
      </c>
      <c r="I335" s="1" t="s">
        <v>2096</v>
      </c>
      <c r="J335" s="3">
        <v>45085</v>
      </c>
      <c r="K335" s="1" t="s">
        <v>2089</v>
      </c>
      <c r="L335" s="4">
        <f t="shared" si="16"/>
        <v>71</v>
      </c>
      <c r="M335" s="4">
        <f t="shared" si="17"/>
        <v>2023</v>
      </c>
    </row>
    <row r="336" spans="1:13" x14ac:dyDescent="0.25">
      <c r="A336" s="1" t="s">
        <v>567</v>
      </c>
      <c r="B336" s="1" t="str">
        <f t="shared" si="15"/>
        <v>ENC-240</v>
      </c>
      <c r="C336" s="1" t="s">
        <v>452</v>
      </c>
      <c r="D336" s="3">
        <v>15440</v>
      </c>
      <c r="E336" s="1" t="s">
        <v>52</v>
      </c>
      <c r="F336" s="1" t="s">
        <v>56</v>
      </c>
      <c r="G336" s="1" t="s">
        <v>1570</v>
      </c>
      <c r="H336" s="1" t="s">
        <v>1571</v>
      </c>
      <c r="I336" s="1" t="s">
        <v>2087</v>
      </c>
      <c r="J336" s="3">
        <v>45085</v>
      </c>
      <c r="K336" s="1" t="s">
        <v>2104</v>
      </c>
      <c r="L336" s="4">
        <f t="shared" si="16"/>
        <v>81</v>
      </c>
      <c r="M336" s="4">
        <f t="shared" si="17"/>
        <v>2023</v>
      </c>
    </row>
    <row r="337" spans="1:13" x14ac:dyDescent="0.25">
      <c r="A337" s="1" t="s">
        <v>1015</v>
      </c>
      <c r="B337" s="1" t="str">
        <f t="shared" si="15"/>
        <v>ENC-462</v>
      </c>
      <c r="C337" s="1" t="s">
        <v>144</v>
      </c>
      <c r="D337" s="3">
        <v>24011</v>
      </c>
      <c r="E337" s="1" t="s">
        <v>52</v>
      </c>
      <c r="F337" s="1" t="s">
        <v>28</v>
      </c>
      <c r="G337" s="1" t="s">
        <v>2008</v>
      </c>
      <c r="H337" s="1" t="s">
        <v>2009</v>
      </c>
      <c r="I337" s="1" t="s">
        <v>2087</v>
      </c>
      <c r="J337" s="3">
        <v>45083</v>
      </c>
      <c r="K337" s="1" t="s">
        <v>2104</v>
      </c>
      <c r="L337" s="4">
        <f t="shared" si="16"/>
        <v>57</v>
      </c>
      <c r="M337" s="4">
        <f t="shared" si="17"/>
        <v>2023</v>
      </c>
    </row>
    <row r="338" spans="1:13" x14ac:dyDescent="0.25">
      <c r="A338" s="1" t="s">
        <v>708</v>
      </c>
      <c r="B338" s="1" t="str">
        <f t="shared" si="15"/>
        <v>ENC-309</v>
      </c>
      <c r="C338" s="1" t="s">
        <v>40</v>
      </c>
      <c r="D338" s="3">
        <v>19454</v>
      </c>
      <c r="E338" s="1" t="s">
        <v>35</v>
      </c>
      <c r="F338" s="1" t="s">
        <v>28</v>
      </c>
      <c r="G338" s="1" t="s">
        <v>1708</v>
      </c>
      <c r="H338" s="1" t="s">
        <v>1709</v>
      </c>
      <c r="I338" s="1" t="s">
        <v>2087</v>
      </c>
      <c r="J338" s="3">
        <v>45076</v>
      </c>
      <c r="K338" s="1" t="s">
        <v>2089</v>
      </c>
      <c r="L338" s="4">
        <f t="shared" si="16"/>
        <v>70</v>
      </c>
      <c r="M338" s="4">
        <f t="shared" si="17"/>
        <v>2023</v>
      </c>
    </row>
    <row r="339" spans="1:13" x14ac:dyDescent="0.25">
      <c r="A339" s="1" t="s">
        <v>724</v>
      </c>
      <c r="B339" s="1" t="str">
        <f t="shared" si="15"/>
        <v>ENC-317</v>
      </c>
      <c r="C339" s="1" t="s">
        <v>189</v>
      </c>
      <c r="D339" s="3">
        <v>23032</v>
      </c>
      <c r="E339" s="1" t="s">
        <v>52</v>
      </c>
      <c r="F339" s="1" t="s">
        <v>24</v>
      </c>
      <c r="G339" s="1" t="s">
        <v>1724</v>
      </c>
      <c r="H339" s="1" t="s">
        <v>1725</v>
      </c>
      <c r="I339" s="1" t="s">
        <v>2087</v>
      </c>
      <c r="J339" s="3">
        <v>45074</v>
      </c>
      <c r="K339" s="1" t="s">
        <v>2089</v>
      </c>
      <c r="L339" s="4">
        <f t="shared" si="16"/>
        <v>60</v>
      </c>
      <c r="M339" s="4">
        <f t="shared" si="17"/>
        <v>2023</v>
      </c>
    </row>
    <row r="340" spans="1:13" x14ac:dyDescent="0.25">
      <c r="A340" s="1" t="s">
        <v>328</v>
      </c>
      <c r="B340" s="1" t="str">
        <f t="shared" si="15"/>
        <v>ENC-127</v>
      </c>
      <c r="C340" s="1" t="s">
        <v>216</v>
      </c>
      <c r="D340" s="3">
        <v>15603</v>
      </c>
      <c r="E340" s="1" t="s">
        <v>8</v>
      </c>
      <c r="F340" s="1" t="s">
        <v>42</v>
      </c>
      <c r="G340" s="1" t="s">
        <v>1345</v>
      </c>
      <c r="H340" s="1" t="s">
        <v>1346</v>
      </c>
      <c r="I340" s="1" t="s">
        <v>2087</v>
      </c>
      <c r="J340" s="3">
        <v>45071</v>
      </c>
      <c r="K340" s="1" t="s">
        <v>2104</v>
      </c>
      <c r="L340" s="4">
        <f t="shared" si="16"/>
        <v>80</v>
      </c>
      <c r="M340" s="4">
        <f t="shared" si="17"/>
        <v>2023</v>
      </c>
    </row>
    <row r="341" spans="1:13" x14ac:dyDescent="0.25">
      <c r="A341" s="1" t="s">
        <v>555</v>
      </c>
      <c r="B341" s="1" t="str">
        <f t="shared" si="15"/>
        <v>ENC-234</v>
      </c>
      <c r="C341" s="1" t="s">
        <v>186</v>
      </c>
      <c r="D341" s="3">
        <v>35045</v>
      </c>
      <c r="E341" s="1" t="s">
        <v>52</v>
      </c>
      <c r="F341" s="1" t="s">
        <v>24</v>
      </c>
      <c r="G341" s="1" t="s">
        <v>1559</v>
      </c>
      <c r="H341" s="1" t="s">
        <v>1560</v>
      </c>
      <c r="I341" s="1" t="s">
        <v>2096</v>
      </c>
      <c r="J341" s="3">
        <v>45070</v>
      </c>
      <c r="K341" s="1" t="s">
        <v>2093</v>
      </c>
      <c r="L341" s="4">
        <f t="shared" si="16"/>
        <v>27</v>
      </c>
      <c r="M341" s="4">
        <f t="shared" si="17"/>
        <v>2023</v>
      </c>
    </row>
    <row r="342" spans="1:13" x14ac:dyDescent="0.25">
      <c r="A342" s="1" t="s">
        <v>1091</v>
      </c>
      <c r="B342" s="1" t="str">
        <f t="shared" si="15"/>
        <v>ENC-500</v>
      </c>
      <c r="C342" s="1" t="s">
        <v>64</v>
      </c>
      <c r="D342" s="3">
        <v>30620</v>
      </c>
      <c r="E342" s="1" t="s">
        <v>35</v>
      </c>
      <c r="F342" s="1" t="s">
        <v>20</v>
      </c>
      <c r="G342" s="1" t="s">
        <v>2078</v>
      </c>
      <c r="H342" s="1" t="s">
        <v>2079</v>
      </c>
      <c r="I342" s="1" t="s">
        <v>2087</v>
      </c>
      <c r="J342" s="3">
        <v>45064</v>
      </c>
      <c r="K342" s="1" t="s">
        <v>2089</v>
      </c>
      <c r="L342" s="4">
        <f t="shared" si="16"/>
        <v>39</v>
      </c>
      <c r="M342" s="4">
        <f t="shared" si="17"/>
        <v>2023</v>
      </c>
    </row>
    <row r="343" spans="1:13" x14ac:dyDescent="0.25">
      <c r="A343" s="1" t="s">
        <v>416</v>
      </c>
      <c r="B343" s="1" t="str">
        <f t="shared" si="15"/>
        <v>ENC-167</v>
      </c>
      <c r="C343" s="1" t="s">
        <v>266</v>
      </c>
      <c r="D343" s="3">
        <v>25807</v>
      </c>
      <c r="E343" s="1" t="s">
        <v>52</v>
      </c>
      <c r="F343" s="1" t="s">
        <v>42</v>
      </c>
      <c r="G343" s="1" t="s">
        <v>1425</v>
      </c>
      <c r="H343" s="1" t="s">
        <v>1426</v>
      </c>
      <c r="I343" s="1" t="s">
        <v>2096</v>
      </c>
      <c r="J343" s="3">
        <v>45063</v>
      </c>
      <c r="K343" s="1" t="s">
        <v>2104</v>
      </c>
      <c r="L343" s="4">
        <f t="shared" si="16"/>
        <v>52</v>
      </c>
      <c r="M343" s="4">
        <f t="shared" si="17"/>
        <v>2023</v>
      </c>
    </row>
    <row r="344" spans="1:13" x14ac:dyDescent="0.25">
      <c r="A344" s="1" t="s">
        <v>995</v>
      </c>
      <c r="B344" s="1" t="str">
        <f t="shared" si="15"/>
        <v>ENC-452</v>
      </c>
      <c r="C344" s="1" t="s">
        <v>149</v>
      </c>
      <c r="D344" s="3">
        <v>19522</v>
      </c>
      <c r="E344" s="1" t="s">
        <v>52</v>
      </c>
      <c r="F344" s="1" t="s">
        <v>28</v>
      </c>
      <c r="G344" s="1" t="s">
        <v>1990</v>
      </c>
      <c r="H344" s="1" t="s">
        <v>1991</v>
      </c>
      <c r="I344" s="1" t="s">
        <v>2087</v>
      </c>
      <c r="J344" s="3">
        <v>45045</v>
      </c>
      <c r="K344" s="1" t="s">
        <v>2089</v>
      </c>
      <c r="L344" s="4">
        <f t="shared" si="16"/>
        <v>69</v>
      </c>
      <c r="M344" s="4">
        <f t="shared" si="17"/>
        <v>2023</v>
      </c>
    </row>
    <row r="345" spans="1:13" x14ac:dyDescent="0.25">
      <c r="A345" s="1" t="s">
        <v>750</v>
      </c>
      <c r="B345" s="1" t="str">
        <f t="shared" si="15"/>
        <v>ENC-330</v>
      </c>
      <c r="C345" s="1" t="s">
        <v>189</v>
      </c>
      <c r="D345" s="3">
        <v>25033</v>
      </c>
      <c r="E345" s="1" t="s">
        <v>8</v>
      </c>
      <c r="F345" s="1" t="s">
        <v>16</v>
      </c>
      <c r="G345" s="1" t="s">
        <v>1750</v>
      </c>
      <c r="H345" s="1" t="s">
        <v>1751</v>
      </c>
      <c r="I345" s="1" t="s">
        <v>2087</v>
      </c>
      <c r="J345" s="3">
        <v>45042</v>
      </c>
      <c r="K345" s="1" t="s">
        <v>2089</v>
      </c>
      <c r="L345" s="4">
        <f t="shared" si="16"/>
        <v>54</v>
      </c>
      <c r="M345" s="4">
        <f t="shared" si="17"/>
        <v>2023</v>
      </c>
    </row>
    <row r="346" spans="1:13" x14ac:dyDescent="0.25">
      <c r="A346" s="1" t="s">
        <v>97</v>
      </c>
      <c r="B346" s="1" t="str">
        <f t="shared" si="15"/>
        <v>ENC-29</v>
      </c>
      <c r="C346" s="1" t="s">
        <v>76</v>
      </c>
      <c r="D346" s="3">
        <v>30879</v>
      </c>
      <c r="E346" s="1" t="s">
        <v>35</v>
      </c>
      <c r="F346" s="1" t="s">
        <v>13</v>
      </c>
      <c r="G346" s="1" t="s">
        <v>1151</v>
      </c>
      <c r="H346" s="1" t="s">
        <v>1152</v>
      </c>
      <c r="I346" s="1" t="s">
        <v>2087</v>
      </c>
      <c r="J346" s="3">
        <v>45037</v>
      </c>
      <c r="K346" s="1" t="s">
        <v>2093</v>
      </c>
      <c r="L346" s="4">
        <f t="shared" si="16"/>
        <v>38</v>
      </c>
      <c r="M346" s="4">
        <f t="shared" si="17"/>
        <v>2023</v>
      </c>
    </row>
    <row r="347" spans="1:13" x14ac:dyDescent="0.25">
      <c r="A347" s="1" t="s">
        <v>944</v>
      </c>
      <c r="B347" s="1" t="str">
        <f t="shared" si="15"/>
        <v>ENC-426</v>
      </c>
      <c r="C347" s="1" t="s">
        <v>111</v>
      </c>
      <c r="D347" s="3">
        <v>27209</v>
      </c>
      <c r="E347" s="1" t="s">
        <v>8</v>
      </c>
      <c r="F347" s="1" t="s">
        <v>16</v>
      </c>
      <c r="G347" s="1" t="s">
        <v>1939</v>
      </c>
      <c r="H347" s="1" t="s">
        <v>1940</v>
      </c>
      <c r="I347" s="1" t="s">
        <v>2087</v>
      </c>
      <c r="J347" s="3">
        <v>45034</v>
      </c>
      <c r="K347" s="1" t="s">
        <v>2093</v>
      </c>
      <c r="L347" s="4">
        <f t="shared" si="16"/>
        <v>48</v>
      </c>
      <c r="M347" s="4">
        <f t="shared" si="17"/>
        <v>2023</v>
      </c>
    </row>
    <row r="348" spans="1:13" x14ac:dyDescent="0.25">
      <c r="A348" s="1" t="s">
        <v>418</v>
      </c>
      <c r="B348" s="1" t="str">
        <f t="shared" si="15"/>
        <v>ENC-168</v>
      </c>
      <c r="C348" s="1" t="s">
        <v>18</v>
      </c>
      <c r="D348" s="3">
        <v>30255</v>
      </c>
      <c r="E348" s="1" t="s">
        <v>35</v>
      </c>
      <c r="F348" s="1" t="s">
        <v>28</v>
      </c>
      <c r="G348" s="1" t="s">
        <v>1427</v>
      </c>
      <c r="H348" s="1" t="s">
        <v>1428</v>
      </c>
      <c r="I348" s="1" t="s">
        <v>2087</v>
      </c>
      <c r="J348" s="3">
        <v>45031</v>
      </c>
      <c r="K348" s="1" t="s">
        <v>2093</v>
      </c>
      <c r="L348" s="4">
        <f t="shared" si="16"/>
        <v>40</v>
      </c>
      <c r="M348" s="4">
        <f t="shared" si="17"/>
        <v>2023</v>
      </c>
    </row>
    <row r="349" spans="1:13" x14ac:dyDescent="0.25">
      <c r="A349" s="1" t="s">
        <v>991</v>
      </c>
      <c r="B349" s="1" t="str">
        <f t="shared" si="15"/>
        <v>ENC-450</v>
      </c>
      <c r="C349" s="1" t="s">
        <v>33</v>
      </c>
      <c r="D349" s="3">
        <v>17177</v>
      </c>
      <c r="E349" s="1" t="s">
        <v>35</v>
      </c>
      <c r="F349" s="1" t="s">
        <v>20</v>
      </c>
      <c r="G349" s="1" t="s">
        <v>1986</v>
      </c>
      <c r="H349" s="1" t="s">
        <v>1987</v>
      </c>
      <c r="I349" s="1" t="s">
        <v>2087</v>
      </c>
      <c r="J349" s="3">
        <v>45031</v>
      </c>
      <c r="K349" s="1" t="s">
        <v>2093</v>
      </c>
      <c r="L349" s="4">
        <f t="shared" si="16"/>
        <v>76</v>
      </c>
      <c r="M349" s="4">
        <f t="shared" si="17"/>
        <v>2023</v>
      </c>
    </row>
    <row r="350" spans="1:13" x14ac:dyDescent="0.25">
      <c r="A350" s="1" t="s">
        <v>501</v>
      </c>
      <c r="B350" s="1" t="str">
        <f t="shared" si="15"/>
        <v>ENC-208</v>
      </c>
      <c r="C350" s="1" t="s">
        <v>452</v>
      </c>
      <c r="D350" s="3">
        <v>32851</v>
      </c>
      <c r="E350" s="1" t="s">
        <v>52</v>
      </c>
      <c r="F350" s="1" t="s">
        <v>42</v>
      </c>
      <c r="G350" s="1" t="s">
        <v>1507</v>
      </c>
      <c r="H350" s="1" t="s">
        <v>1508</v>
      </c>
      <c r="I350" s="1" t="s">
        <v>2096</v>
      </c>
      <c r="J350" s="3">
        <v>45029</v>
      </c>
      <c r="K350" s="1" t="s">
        <v>2104</v>
      </c>
      <c r="L350" s="4">
        <f t="shared" si="16"/>
        <v>33</v>
      </c>
      <c r="M350" s="4">
        <f t="shared" si="17"/>
        <v>2023</v>
      </c>
    </row>
    <row r="351" spans="1:13" x14ac:dyDescent="0.25">
      <c r="A351" s="1" t="s">
        <v>845</v>
      </c>
      <c r="B351" s="1" t="str">
        <f t="shared" si="15"/>
        <v>ENC-377</v>
      </c>
      <c r="C351" s="1" t="s">
        <v>64</v>
      </c>
      <c r="D351" s="3">
        <v>17355</v>
      </c>
      <c r="E351" s="1" t="s">
        <v>35</v>
      </c>
      <c r="F351" s="1" t="s">
        <v>20</v>
      </c>
      <c r="G351" s="1" t="s">
        <v>1843</v>
      </c>
      <c r="H351" s="1" t="s">
        <v>1844</v>
      </c>
      <c r="I351" s="1" t="s">
        <v>2096</v>
      </c>
      <c r="J351" s="3">
        <v>45026</v>
      </c>
      <c r="K351" s="1" t="s">
        <v>2104</v>
      </c>
      <c r="L351" s="4">
        <f t="shared" si="16"/>
        <v>75</v>
      </c>
      <c r="M351" s="4">
        <f t="shared" si="17"/>
        <v>2023</v>
      </c>
    </row>
    <row r="352" spans="1:13" x14ac:dyDescent="0.25">
      <c r="A352" s="1" t="s">
        <v>505</v>
      </c>
      <c r="B352" s="1" t="str">
        <f t="shared" si="15"/>
        <v>ENC-210</v>
      </c>
      <c r="C352" s="1" t="s">
        <v>297</v>
      </c>
      <c r="D352" s="3">
        <v>29300</v>
      </c>
      <c r="E352" s="1" t="s">
        <v>8</v>
      </c>
      <c r="F352" s="1" t="s">
        <v>56</v>
      </c>
      <c r="G352" s="1" t="s">
        <v>1511</v>
      </c>
      <c r="H352" s="1" t="s">
        <v>1512</v>
      </c>
      <c r="I352" s="1" t="s">
        <v>2096</v>
      </c>
      <c r="J352" s="3">
        <v>45025</v>
      </c>
      <c r="K352" s="1" t="s">
        <v>2104</v>
      </c>
      <c r="L352" s="4">
        <f t="shared" si="16"/>
        <v>43</v>
      </c>
      <c r="M352" s="4">
        <f t="shared" si="17"/>
        <v>2023</v>
      </c>
    </row>
    <row r="353" spans="1:13" x14ac:dyDescent="0.25">
      <c r="A353" s="1" t="s">
        <v>976</v>
      </c>
      <c r="B353" s="1" t="str">
        <f t="shared" si="15"/>
        <v>ENC-442</v>
      </c>
      <c r="C353" s="1" t="s">
        <v>406</v>
      </c>
      <c r="D353" s="3">
        <v>26745</v>
      </c>
      <c r="E353" s="1" t="s">
        <v>35</v>
      </c>
      <c r="F353" s="1" t="s">
        <v>20</v>
      </c>
      <c r="G353" s="1" t="s">
        <v>1970</v>
      </c>
      <c r="H353" s="1" t="s">
        <v>1971</v>
      </c>
      <c r="I353" s="1" t="s">
        <v>2087</v>
      </c>
      <c r="J353" s="3">
        <v>45022</v>
      </c>
      <c r="K353" s="1" t="s">
        <v>2104</v>
      </c>
      <c r="L353" s="4">
        <f t="shared" si="16"/>
        <v>50</v>
      </c>
      <c r="M353" s="4">
        <f t="shared" si="17"/>
        <v>2023</v>
      </c>
    </row>
    <row r="354" spans="1:13" x14ac:dyDescent="0.25">
      <c r="A354" s="1" t="s">
        <v>393</v>
      </c>
      <c r="B354" s="1" t="str">
        <f t="shared" si="15"/>
        <v>ENC-157</v>
      </c>
      <c r="C354" s="1" t="s">
        <v>111</v>
      </c>
      <c r="D354" s="3">
        <v>23024</v>
      </c>
      <c r="E354" s="1" t="s">
        <v>52</v>
      </c>
      <c r="F354" s="1" t="s">
        <v>28</v>
      </c>
      <c r="G354" s="1" t="s">
        <v>1405</v>
      </c>
      <c r="H354" s="1" t="s">
        <v>1406</v>
      </c>
      <c r="I354" s="1" t="s">
        <v>2087</v>
      </c>
      <c r="J354" s="3">
        <v>45012</v>
      </c>
      <c r="K354" s="1" t="s">
        <v>2108</v>
      </c>
      <c r="L354" s="4">
        <f t="shared" si="16"/>
        <v>60</v>
      </c>
      <c r="M354" s="4">
        <f t="shared" si="17"/>
        <v>2023</v>
      </c>
    </row>
    <row r="355" spans="1:13" x14ac:dyDescent="0.25">
      <c r="A355" s="1" t="s">
        <v>480</v>
      </c>
      <c r="B355" s="1" t="str">
        <f t="shared" si="15"/>
        <v>ENC-198</v>
      </c>
      <c r="C355" s="1" t="s">
        <v>322</v>
      </c>
      <c r="D355" s="3">
        <v>23727</v>
      </c>
      <c r="E355" s="1" t="s">
        <v>35</v>
      </c>
      <c r="F355" s="1" t="s">
        <v>28</v>
      </c>
      <c r="G355" s="1" t="s">
        <v>1487</v>
      </c>
      <c r="H355" s="1" t="s">
        <v>1488</v>
      </c>
      <c r="I355" s="1" t="s">
        <v>2087</v>
      </c>
      <c r="J355" s="3">
        <v>45012</v>
      </c>
      <c r="K355" s="1" t="s">
        <v>2108</v>
      </c>
      <c r="L355" s="4">
        <f t="shared" si="16"/>
        <v>58</v>
      </c>
      <c r="M355" s="4">
        <f t="shared" si="17"/>
        <v>2023</v>
      </c>
    </row>
    <row r="356" spans="1:13" x14ac:dyDescent="0.25">
      <c r="A356" s="1" t="s">
        <v>250</v>
      </c>
      <c r="B356" s="1" t="str">
        <f t="shared" si="15"/>
        <v>ENC-92</v>
      </c>
      <c r="C356" s="1" t="s">
        <v>251</v>
      </c>
      <c r="D356" s="3">
        <v>16807</v>
      </c>
      <c r="E356" s="1" t="s">
        <v>8</v>
      </c>
      <c r="F356" s="1" t="s">
        <v>16</v>
      </c>
      <c r="G356" s="1" t="s">
        <v>1276</v>
      </c>
      <c r="H356" s="1" t="s">
        <v>1277</v>
      </c>
      <c r="I356" s="1" t="s">
        <v>2096</v>
      </c>
      <c r="J356" s="3">
        <v>45009</v>
      </c>
      <c r="K356" s="1" t="s">
        <v>2108</v>
      </c>
      <c r="L356" s="4">
        <f t="shared" si="16"/>
        <v>77</v>
      </c>
      <c r="M356" s="4">
        <f t="shared" si="17"/>
        <v>2023</v>
      </c>
    </row>
    <row r="357" spans="1:13" x14ac:dyDescent="0.25">
      <c r="A357" s="1" t="s">
        <v>545</v>
      </c>
      <c r="B357" s="1" t="str">
        <f t="shared" si="15"/>
        <v>ENC-229</v>
      </c>
      <c r="C357" s="1" t="s">
        <v>452</v>
      </c>
      <c r="D357" s="3">
        <v>29242</v>
      </c>
      <c r="E357" s="1" t="s">
        <v>35</v>
      </c>
      <c r="F357" s="1" t="s">
        <v>9</v>
      </c>
      <c r="G357" s="1" t="s">
        <v>1549</v>
      </c>
      <c r="H357" s="1" t="s">
        <v>1550</v>
      </c>
      <c r="I357" s="1" t="s">
        <v>2087</v>
      </c>
      <c r="J357" s="3">
        <v>45007</v>
      </c>
      <c r="K357" s="1" t="s">
        <v>2104</v>
      </c>
      <c r="L357" s="4">
        <f t="shared" si="16"/>
        <v>43</v>
      </c>
      <c r="M357" s="4">
        <f t="shared" si="17"/>
        <v>2023</v>
      </c>
    </row>
    <row r="358" spans="1:13" x14ac:dyDescent="0.25">
      <c r="A358" s="1" t="s">
        <v>970</v>
      </c>
      <c r="B358" s="1" t="str">
        <f t="shared" si="15"/>
        <v>ENC-439</v>
      </c>
      <c r="C358" s="1" t="s">
        <v>81</v>
      </c>
      <c r="D358" s="3">
        <v>22544</v>
      </c>
      <c r="E358" s="1" t="s">
        <v>52</v>
      </c>
      <c r="F358" s="1" t="s">
        <v>56</v>
      </c>
      <c r="G358" s="1" t="s">
        <v>1964</v>
      </c>
      <c r="H358" s="1" t="s">
        <v>1965</v>
      </c>
      <c r="I358" s="1" t="s">
        <v>2087</v>
      </c>
      <c r="J358" s="3">
        <v>45007</v>
      </c>
      <c r="K358" s="1" t="s">
        <v>2093</v>
      </c>
      <c r="L358" s="4">
        <f t="shared" si="16"/>
        <v>61</v>
      </c>
      <c r="M358" s="4">
        <f t="shared" si="17"/>
        <v>2023</v>
      </c>
    </row>
    <row r="359" spans="1:13" x14ac:dyDescent="0.25">
      <c r="A359" s="1" t="s">
        <v>384</v>
      </c>
      <c r="B359" s="1" t="str">
        <f t="shared" si="15"/>
        <v>ENC-153</v>
      </c>
      <c r="C359" s="1" t="s">
        <v>87</v>
      </c>
      <c r="D359" s="3">
        <v>18148</v>
      </c>
      <c r="E359" s="1" t="s">
        <v>52</v>
      </c>
      <c r="F359" s="1" t="s">
        <v>28</v>
      </c>
      <c r="G359" s="1" t="s">
        <v>1397</v>
      </c>
      <c r="H359" s="1" t="s">
        <v>1398</v>
      </c>
      <c r="I359" s="1" t="s">
        <v>2096</v>
      </c>
      <c r="J359" s="3">
        <v>45002</v>
      </c>
      <c r="K359" s="1" t="s">
        <v>2093</v>
      </c>
      <c r="L359" s="4">
        <f t="shared" si="16"/>
        <v>73</v>
      </c>
      <c r="M359" s="4">
        <f t="shared" si="17"/>
        <v>2023</v>
      </c>
    </row>
    <row r="360" spans="1:13" x14ac:dyDescent="0.25">
      <c r="A360" s="1" t="s">
        <v>420</v>
      </c>
      <c r="B360" s="1" t="str">
        <f t="shared" si="15"/>
        <v>ENC-169</v>
      </c>
      <c r="C360" s="1" t="s">
        <v>84</v>
      </c>
      <c r="D360" s="3">
        <v>30573</v>
      </c>
      <c r="E360" s="1" t="s">
        <v>52</v>
      </c>
      <c r="F360" s="1" t="s">
        <v>13</v>
      </c>
      <c r="G360" s="1" t="s">
        <v>1429</v>
      </c>
      <c r="H360" s="1" t="s">
        <v>1430</v>
      </c>
      <c r="I360" s="1" t="s">
        <v>2087</v>
      </c>
      <c r="J360" s="3">
        <v>44984</v>
      </c>
      <c r="K360" s="1" t="s">
        <v>2108</v>
      </c>
      <c r="L360" s="4">
        <f t="shared" si="16"/>
        <v>39</v>
      </c>
      <c r="M360" s="4">
        <f t="shared" si="17"/>
        <v>2023</v>
      </c>
    </row>
    <row r="361" spans="1:13" x14ac:dyDescent="0.25">
      <c r="A361" s="1" t="s">
        <v>60</v>
      </c>
      <c r="B361" s="1" t="str">
        <f t="shared" si="15"/>
        <v>ENC-16</v>
      </c>
      <c r="C361" s="1" t="s">
        <v>61</v>
      </c>
      <c r="D361" s="3">
        <v>21188</v>
      </c>
      <c r="E361" s="1" t="s">
        <v>35</v>
      </c>
      <c r="F361" s="1" t="s">
        <v>20</v>
      </c>
      <c r="G361" s="1" t="s">
        <v>1125</v>
      </c>
      <c r="H361" s="1" t="s">
        <v>1126</v>
      </c>
      <c r="I361" s="1" t="s">
        <v>2096</v>
      </c>
      <c r="J361" s="3">
        <v>44982</v>
      </c>
      <c r="K361" s="1" t="s">
        <v>2104</v>
      </c>
      <c r="L361" s="4">
        <f t="shared" si="16"/>
        <v>65</v>
      </c>
      <c r="M361" s="4">
        <f t="shared" si="17"/>
        <v>2023</v>
      </c>
    </row>
    <row r="362" spans="1:13" x14ac:dyDescent="0.25">
      <c r="A362" s="1" t="s">
        <v>622</v>
      </c>
      <c r="B362" s="1" t="str">
        <f t="shared" si="15"/>
        <v>ENC-266</v>
      </c>
      <c r="C362" s="1" t="s">
        <v>93</v>
      </c>
      <c r="D362" s="3">
        <v>30495</v>
      </c>
      <c r="E362" s="1" t="s">
        <v>35</v>
      </c>
      <c r="F362" s="1" t="s">
        <v>56</v>
      </c>
      <c r="G362" s="1" t="s">
        <v>1622</v>
      </c>
      <c r="H362" s="1" t="s">
        <v>1623</v>
      </c>
      <c r="I362" s="1" t="s">
        <v>2096</v>
      </c>
      <c r="J362" s="3">
        <v>44981</v>
      </c>
      <c r="K362" s="1" t="s">
        <v>2108</v>
      </c>
      <c r="L362" s="4">
        <f t="shared" si="16"/>
        <v>39</v>
      </c>
      <c r="M362" s="4">
        <f t="shared" si="17"/>
        <v>2023</v>
      </c>
    </row>
    <row r="363" spans="1:13" x14ac:dyDescent="0.25">
      <c r="A363" s="1" t="s">
        <v>116</v>
      </c>
      <c r="B363" s="1" t="str">
        <f t="shared" si="15"/>
        <v>ENC-37</v>
      </c>
      <c r="C363" s="1" t="s">
        <v>54</v>
      </c>
      <c r="D363" s="3">
        <v>20343</v>
      </c>
      <c r="E363" s="1" t="s">
        <v>35</v>
      </c>
      <c r="F363" s="1" t="s">
        <v>42</v>
      </c>
      <c r="G363" s="1" t="s">
        <v>1166</v>
      </c>
      <c r="H363" s="1" t="s">
        <v>1167</v>
      </c>
      <c r="I363" s="1" t="s">
        <v>2096</v>
      </c>
      <c r="J363" s="3">
        <v>44980</v>
      </c>
      <c r="K363" s="1" t="s">
        <v>2089</v>
      </c>
      <c r="L363" s="4">
        <f t="shared" si="16"/>
        <v>67</v>
      </c>
      <c r="M363" s="4">
        <f t="shared" si="17"/>
        <v>2023</v>
      </c>
    </row>
    <row r="364" spans="1:13" x14ac:dyDescent="0.25">
      <c r="A364" s="1" t="s">
        <v>658</v>
      </c>
      <c r="B364" s="1" t="str">
        <f t="shared" si="15"/>
        <v>ENC-284</v>
      </c>
      <c r="C364" s="1" t="s">
        <v>90</v>
      </c>
      <c r="D364" s="3">
        <v>23787</v>
      </c>
      <c r="E364" s="1" t="s">
        <v>8</v>
      </c>
      <c r="F364" s="1" t="s">
        <v>42</v>
      </c>
      <c r="G364" s="1" t="s">
        <v>1658</v>
      </c>
      <c r="H364" s="1" t="s">
        <v>1659</v>
      </c>
      <c r="I364" s="1" t="s">
        <v>2096</v>
      </c>
      <c r="J364" s="3">
        <v>44979</v>
      </c>
      <c r="K364" s="1" t="s">
        <v>2093</v>
      </c>
      <c r="L364" s="4">
        <f t="shared" si="16"/>
        <v>58</v>
      </c>
      <c r="M364" s="4">
        <f t="shared" si="17"/>
        <v>2023</v>
      </c>
    </row>
    <row r="365" spans="1:13" x14ac:dyDescent="0.25">
      <c r="A365" s="1" t="s">
        <v>614</v>
      </c>
      <c r="B365" s="1" t="str">
        <f t="shared" si="15"/>
        <v>ENC-262</v>
      </c>
      <c r="C365" s="1" t="s">
        <v>155</v>
      </c>
      <c r="D365" s="3">
        <v>23027</v>
      </c>
      <c r="E365" s="1" t="s">
        <v>35</v>
      </c>
      <c r="F365" s="1" t="s">
        <v>42</v>
      </c>
      <c r="G365" s="1" t="s">
        <v>1614</v>
      </c>
      <c r="H365" s="1" t="s">
        <v>1615</v>
      </c>
      <c r="I365" s="1" t="s">
        <v>2087</v>
      </c>
      <c r="J365" s="3">
        <v>44976</v>
      </c>
      <c r="K365" s="1" t="s">
        <v>2093</v>
      </c>
      <c r="L365" s="4">
        <f t="shared" si="16"/>
        <v>60</v>
      </c>
      <c r="M365" s="4">
        <f t="shared" si="17"/>
        <v>2023</v>
      </c>
    </row>
    <row r="366" spans="1:13" x14ac:dyDescent="0.25">
      <c r="A366" s="1" t="s">
        <v>954</v>
      </c>
      <c r="B366" s="1" t="str">
        <f t="shared" si="15"/>
        <v>ENC-431</v>
      </c>
      <c r="C366" s="1" t="s">
        <v>523</v>
      </c>
      <c r="D366" s="3">
        <v>17649</v>
      </c>
      <c r="E366" s="1" t="s">
        <v>35</v>
      </c>
      <c r="F366" s="1" t="s">
        <v>56</v>
      </c>
      <c r="G366" s="1" t="s">
        <v>1949</v>
      </c>
      <c r="H366" s="1" t="s">
        <v>1950</v>
      </c>
      <c r="I366" s="1" t="s">
        <v>2087</v>
      </c>
      <c r="J366" s="3">
        <v>44974</v>
      </c>
      <c r="K366" s="1" t="s">
        <v>2093</v>
      </c>
      <c r="L366" s="4">
        <f t="shared" si="16"/>
        <v>74</v>
      </c>
      <c r="M366" s="4">
        <f t="shared" si="17"/>
        <v>2023</v>
      </c>
    </row>
    <row r="367" spans="1:13" x14ac:dyDescent="0.25">
      <c r="A367" s="1" t="s">
        <v>99</v>
      </c>
      <c r="B367" s="1" t="str">
        <f t="shared" si="15"/>
        <v>ENC-30</v>
      </c>
      <c r="C367" s="1" t="s">
        <v>18</v>
      </c>
      <c r="D367" s="3">
        <v>27532</v>
      </c>
      <c r="E367" s="1" t="s">
        <v>52</v>
      </c>
      <c r="F367" s="1" t="s">
        <v>24</v>
      </c>
      <c r="G367" s="1" t="s">
        <v>1153</v>
      </c>
      <c r="H367" s="1" t="s">
        <v>1154</v>
      </c>
      <c r="I367" s="1" t="s">
        <v>2087</v>
      </c>
      <c r="J367" s="3">
        <v>44970</v>
      </c>
      <c r="K367" s="1" t="s">
        <v>2104</v>
      </c>
      <c r="L367" s="4">
        <f t="shared" si="16"/>
        <v>47</v>
      </c>
      <c r="M367" s="4">
        <f t="shared" si="17"/>
        <v>2023</v>
      </c>
    </row>
    <row r="368" spans="1:13" x14ac:dyDescent="0.25">
      <c r="A368" s="1" t="s">
        <v>784</v>
      </c>
      <c r="B368" s="1" t="str">
        <f t="shared" si="15"/>
        <v>ENC-347</v>
      </c>
      <c r="C368" s="1" t="s">
        <v>251</v>
      </c>
      <c r="D368" s="3">
        <v>29083</v>
      </c>
      <c r="E368" s="1" t="s">
        <v>52</v>
      </c>
      <c r="F368" s="1" t="s">
        <v>28</v>
      </c>
      <c r="G368" s="1" t="s">
        <v>1784</v>
      </c>
      <c r="H368" s="1" t="s">
        <v>1785</v>
      </c>
      <c r="I368" s="1" t="s">
        <v>2096</v>
      </c>
      <c r="J368" s="3">
        <v>44964</v>
      </c>
      <c r="K368" s="1" t="s">
        <v>2108</v>
      </c>
      <c r="L368" s="4">
        <f t="shared" si="16"/>
        <v>43</v>
      </c>
      <c r="M368" s="4">
        <f t="shared" si="17"/>
        <v>2023</v>
      </c>
    </row>
    <row r="369" spans="1:13" x14ac:dyDescent="0.25">
      <c r="A369" s="1" t="s">
        <v>601</v>
      </c>
      <c r="B369" s="1" t="str">
        <f t="shared" si="15"/>
        <v>ENC-256</v>
      </c>
      <c r="C369" s="1" t="s">
        <v>102</v>
      </c>
      <c r="D369" s="3">
        <v>27977</v>
      </c>
      <c r="E369" s="1" t="s">
        <v>52</v>
      </c>
      <c r="F369" s="1" t="s">
        <v>28</v>
      </c>
      <c r="G369" s="1" t="s">
        <v>1602</v>
      </c>
      <c r="H369" s="1" t="s">
        <v>1603</v>
      </c>
      <c r="I369" s="1" t="s">
        <v>2096</v>
      </c>
      <c r="J369" s="3">
        <v>44963</v>
      </c>
      <c r="K369" s="1" t="s">
        <v>2108</v>
      </c>
      <c r="L369" s="4">
        <f t="shared" si="16"/>
        <v>46</v>
      </c>
      <c r="M369" s="4">
        <f t="shared" si="17"/>
        <v>2023</v>
      </c>
    </row>
    <row r="370" spans="1:13" x14ac:dyDescent="0.25">
      <c r="A370" s="1" t="s">
        <v>1079</v>
      </c>
      <c r="B370" s="1" t="str">
        <f t="shared" si="15"/>
        <v>ENC-494</v>
      </c>
      <c r="C370" s="1" t="s">
        <v>90</v>
      </c>
      <c r="D370" s="3">
        <v>37172</v>
      </c>
      <c r="E370" s="1" t="s">
        <v>35</v>
      </c>
      <c r="F370" s="1" t="s">
        <v>56</v>
      </c>
      <c r="G370" s="1" t="s">
        <v>2068</v>
      </c>
      <c r="H370" s="1" t="s">
        <v>2069</v>
      </c>
      <c r="I370" s="1" t="s">
        <v>2087</v>
      </c>
      <c r="J370" s="3">
        <v>44959</v>
      </c>
      <c r="K370" s="1" t="s">
        <v>2108</v>
      </c>
      <c r="L370" s="4">
        <f t="shared" si="16"/>
        <v>21</v>
      </c>
      <c r="M370" s="4">
        <f t="shared" si="17"/>
        <v>2023</v>
      </c>
    </row>
    <row r="371" spans="1:13" x14ac:dyDescent="0.25">
      <c r="A371" s="1" t="s">
        <v>277</v>
      </c>
      <c r="B371" s="1" t="str">
        <f t="shared" si="15"/>
        <v>ENC-103</v>
      </c>
      <c r="C371" s="1" t="s">
        <v>278</v>
      </c>
      <c r="D371" s="3">
        <v>33519</v>
      </c>
      <c r="E371" s="1" t="s">
        <v>8</v>
      </c>
      <c r="F371" s="1" t="s">
        <v>24</v>
      </c>
      <c r="G371" s="1" t="s">
        <v>1297</v>
      </c>
      <c r="H371" s="1" t="s">
        <v>1298</v>
      </c>
      <c r="I371" s="1" t="s">
        <v>2087</v>
      </c>
      <c r="J371" s="3">
        <v>44957</v>
      </c>
      <c r="K371" s="1" t="s">
        <v>2093</v>
      </c>
      <c r="L371" s="4">
        <f t="shared" si="16"/>
        <v>31</v>
      </c>
      <c r="M371" s="4">
        <f t="shared" si="17"/>
        <v>2023</v>
      </c>
    </row>
    <row r="372" spans="1:13" x14ac:dyDescent="0.25">
      <c r="A372" s="1" t="s">
        <v>869</v>
      </c>
      <c r="B372" s="1" t="str">
        <f t="shared" si="15"/>
        <v>ENC-389</v>
      </c>
      <c r="C372" s="1" t="s">
        <v>144</v>
      </c>
      <c r="D372" s="3">
        <v>17409</v>
      </c>
      <c r="E372" s="1" t="s">
        <v>35</v>
      </c>
      <c r="F372" s="1" t="s">
        <v>20</v>
      </c>
      <c r="G372" s="1" t="s">
        <v>1867</v>
      </c>
      <c r="H372" s="1" t="s">
        <v>1868</v>
      </c>
      <c r="I372" s="1" t="s">
        <v>2087</v>
      </c>
      <c r="J372" s="3">
        <v>44949</v>
      </c>
      <c r="K372" s="1" t="s">
        <v>2093</v>
      </c>
      <c r="L372" s="4">
        <f t="shared" si="16"/>
        <v>75</v>
      </c>
      <c r="M372" s="4">
        <f t="shared" si="17"/>
        <v>2023</v>
      </c>
    </row>
    <row r="373" spans="1:13" x14ac:dyDescent="0.25">
      <c r="A373" s="1" t="s">
        <v>110</v>
      </c>
      <c r="B373" s="1" t="str">
        <f t="shared" si="15"/>
        <v>ENC-35</v>
      </c>
      <c r="C373" s="1" t="s">
        <v>111</v>
      </c>
      <c r="D373" s="3">
        <v>16310</v>
      </c>
      <c r="E373" s="1" t="s">
        <v>35</v>
      </c>
      <c r="F373" s="1" t="s">
        <v>42</v>
      </c>
      <c r="G373" s="1" t="s">
        <v>1162</v>
      </c>
      <c r="H373" s="1" t="s">
        <v>1163</v>
      </c>
      <c r="I373" s="1" t="s">
        <v>2096</v>
      </c>
      <c r="J373" s="3">
        <v>44948</v>
      </c>
      <c r="K373" s="1" t="s">
        <v>2089</v>
      </c>
      <c r="L373" s="4">
        <f t="shared" si="16"/>
        <v>78</v>
      </c>
      <c r="M373" s="4">
        <f t="shared" si="17"/>
        <v>2023</v>
      </c>
    </row>
    <row r="374" spans="1:13" x14ac:dyDescent="0.25">
      <c r="A374" s="1" t="s">
        <v>983</v>
      </c>
      <c r="B374" s="1" t="str">
        <f t="shared" si="15"/>
        <v>ENC-446</v>
      </c>
      <c r="C374" s="1" t="s">
        <v>30</v>
      </c>
      <c r="D374" s="3">
        <v>25916</v>
      </c>
      <c r="E374" s="1" t="s">
        <v>52</v>
      </c>
      <c r="F374" s="1" t="s">
        <v>56</v>
      </c>
      <c r="G374" s="1" t="s">
        <v>1978</v>
      </c>
      <c r="H374" s="1" t="s">
        <v>1979</v>
      </c>
      <c r="I374" s="1" t="s">
        <v>2087</v>
      </c>
      <c r="J374" s="3">
        <v>44946</v>
      </c>
      <c r="K374" s="1" t="s">
        <v>2093</v>
      </c>
      <c r="L374" s="4">
        <f t="shared" si="16"/>
        <v>52</v>
      </c>
      <c r="M374" s="4">
        <f t="shared" si="17"/>
        <v>2023</v>
      </c>
    </row>
    <row r="375" spans="1:13" x14ac:dyDescent="0.25">
      <c r="A375" s="1" t="s">
        <v>292</v>
      </c>
      <c r="B375" s="1" t="str">
        <f t="shared" si="15"/>
        <v>ENC-110</v>
      </c>
      <c r="C375" s="1" t="s">
        <v>67</v>
      </c>
      <c r="D375" s="3">
        <v>19845</v>
      </c>
      <c r="E375" s="1" t="s">
        <v>35</v>
      </c>
      <c r="F375" s="1" t="s">
        <v>42</v>
      </c>
      <c r="G375" s="1" t="s">
        <v>1311</v>
      </c>
      <c r="H375" s="1" t="s">
        <v>1312</v>
      </c>
      <c r="I375" s="1" t="s">
        <v>2096</v>
      </c>
      <c r="J375" s="3">
        <v>44945</v>
      </c>
      <c r="K375" s="1" t="s">
        <v>2104</v>
      </c>
      <c r="L375" s="4">
        <f t="shared" si="16"/>
        <v>68</v>
      </c>
      <c r="M375" s="4">
        <f t="shared" si="17"/>
        <v>2023</v>
      </c>
    </row>
    <row r="376" spans="1:13" x14ac:dyDescent="0.25">
      <c r="A376" s="1" t="s">
        <v>919</v>
      </c>
      <c r="B376" s="1" t="str">
        <f t="shared" si="15"/>
        <v>ENC-414</v>
      </c>
      <c r="C376" s="1" t="s">
        <v>64</v>
      </c>
      <c r="D376" s="3">
        <v>37712</v>
      </c>
      <c r="E376" s="1" t="s">
        <v>8</v>
      </c>
      <c r="F376" s="1" t="s">
        <v>16</v>
      </c>
      <c r="G376" s="1" t="s">
        <v>1916</v>
      </c>
      <c r="H376" s="1" t="s">
        <v>1917</v>
      </c>
      <c r="I376" s="1" t="s">
        <v>2087</v>
      </c>
      <c r="J376" s="3">
        <v>44944</v>
      </c>
      <c r="K376" s="1" t="s">
        <v>2108</v>
      </c>
      <c r="L376" s="4">
        <f t="shared" si="16"/>
        <v>19</v>
      </c>
      <c r="M376" s="4">
        <f t="shared" si="17"/>
        <v>2023</v>
      </c>
    </row>
    <row r="377" spans="1:13" x14ac:dyDescent="0.25">
      <c r="A377" s="1" t="s">
        <v>628</v>
      </c>
      <c r="B377" s="1" t="str">
        <f t="shared" si="15"/>
        <v>ENC-269</v>
      </c>
      <c r="C377" s="1" t="s">
        <v>18</v>
      </c>
      <c r="D377" s="3">
        <v>39053</v>
      </c>
      <c r="E377" s="1" t="s">
        <v>52</v>
      </c>
      <c r="F377" s="1" t="s">
        <v>20</v>
      </c>
      <c r="G377" s="1" t="s">
        <v>1628</v>
      </c>
      <c r="H377" s="1" t="s">
        <v>1629</v>
      </c>
      <c r="I377" s="1" t="s">
        <v>2096</v>
      </c>
      <c r="J377" s="3">
        <v>44937</v>
      </c>
      <c r="K377" s="1" t="s">
        <v>2093</v>
      </c>
      <c r="L377" s="4">
        <f t="shared" si="16"/>
        <v>16</v>
      </c>
      <c r="M377" s="4">
        <f t="shared" si="17"/>
        <v>2023</v>
      </c>
    </row>
    <row r="378" spans="1:13" x14ac:dyDescent="0.25">
      <c r="A378" s="1" t="s">
        <v>351</v>
      </c>
      <c r="B378" s="1" t="str">
        <f t="shared" si="15"/>
        <v>ENC-138</v>
      </c>
      <c r="C378" s="1" t="s">
        <v>26</v>
      </c>
      <c r="D378" s="3">
        <v>39576</v>
      </c>
      <c r="E378" s="1" t="s">
        <v>35</v>
      </c>
      <c r="F378" s="1" t="s">
        <v>13</v>
      </c>
      <c r="G378" s="1" t="s">
        <v>1367</v>
      </c>
      <c r="H378" s="1" t="s">
        <v>1368</v>
      </c>
      <c r="I378" s="1" t="s">
        <v>2087</v>
      </c>
      <c r="J378" s="3">
        <v>44936</v>
      </c>
      <c r="K378" s="1" t="s">
        <v>2093</v>
      </c>
      <c r="L378" s="4">
        <f t="shared" si="16"/>
        <v>14</v>
      </c>
      <c r="M378" s="4">
        <f t="shared" si="17"/>
        <v>2023</v>
      </c>
    </row>
    <row r="379" spans="1:13" x14ac:dyDescent="0.25">
      <c r="A379" s="1" t="s">
        <v>806</v>
      </c>
      <c r="B379" s="1" t="str">
        <f t="shared" si="15"/>
        <v>ENC-358</v>
      </c>
      <c r="C379" s="1" t="s">
        <v>608</v>
      </c>
      <c r="D379" s="3">
        <v>17599</v>
      </c>
      <c r="E379" s="1" t="s">
        <v>8</v>
      </c>
      <c r="F379" s="1" t="s">
        <v>24</v>
      </c>
      <c r="G379" s="1" t="s">
        <v>1806</v>
      </c>
      <c r="H379" s="1" t="s">
        <v>1807</v>
      </c>
      <c r="I379" s="1" t="s">
        <v>2087</v>
      </c>
      <c r="J379" s="3">
        <v>44933</v>
      </c>
      <c r="K379" s="1" t="s">
        <v>2108</v>
      </c>
      <c r="L379" s="4">
        <f t="shared" si="16"/>
        <v>74</v>
      </c>
      <c r="M379" s="4">
        <f t="shared" si="17"/>
        <v>2023</v>
      </c>
    </row>
    <row r="380" spans="1:13" x14ac:dyDescent="0.25">
      <c r="A380" s="1" t="s">
        <v>1001</v>
      </c>
      <c r="B380" s="1" t="str">
        <f t="shared" si="15"/>
        <v>ENC-455</v>
      </c>
      <c r="C380" s="1" t="s">
        <v>236</v>
      </c>
      <c r="D380" s="3">
        <v>24531</v>
      </c>
      <c r="E380" s="1" t="s">
        <v>8</v>
      </c>
      <c r="F380" s="1" t="s">
        <v>9</v>
      </c>
      <c r="G380" s="1" t="s">
        <v>1996</v>
      </c>
      <c r="H380" s="1" t="s">
        <v>1997</v>
      </c>
      <c r="I380" s="1" t="s">
        <v>2087</v>
      </c>
      <c r="J380" s="3">
        <v>44931</v>
      </c>
      <c r="K380" s="1" t="s">
        <v>2104</v>
      </c>
      <c r="L380" s="4">
        <f t="shared" si="16"/>
        <v>55</v>
      </c>
      <c r="M380" s="4">
        <f t="shared" si="17"/>
        <v>2023</v>
      </c>
    </row>
    <row r="381" spans="1:13" x14ac:dyDescent="0.25">
      <c r="A381" s="1" t="s">
        <v>670</v>
      </c>
      <c r="B381" s="1" t="str">
        <f t="shared" si="15"/>
        <v>ENC-290</v>
      </c>
      <c r="C381" s="1" t="s">
        <v>67</v>
      </c>
      <c r="D381" s="3">
        <v>35612</v>
      </c>
      <c r="E381" s="1" t="s">
        <v>35</v>
      </c>
      <c r="F381" s="1" t="s">
        <v>56</v>
      </c>
      <c r="G381" s="1" t="s">
        <v>1670</v>
      </c>
      <c r="H381" s="1" t="s">
        <v>1671</v>
      </c>
      <c r="I381" s="1" t="s">
        <v>2096</v>
      </c>
      <c r="J381" s="3">
        <v>44921</v>
      </c>
      <c r="K381" s="1" t="s">
        <v>2104</v>
      </c>
      <c r="L381" s="4">
        <f t="shared" si="16"/>
        <v>25</v>
      </c>
      <c r="M381" s="4">
        <f t="shared" si="17"/>
        <v>2022</v>
      </c>
    </row>
    <row r="382" spans="1:13" x14ac:dyDescent="0.25">
      <c r="A382" s="1" t="s">
        <v>165</v>
      </c>
      <c r="B382" s="1" t="str">
        <f t="shared" si="15"/>
        <v>ENC-56</v>
      </c>
      <c r="C382" s="1" t="s">
        <v>155</v>
      </c>
      <c r="D382" s="3">
        <v>27851</v>
      </c>
      <c r="E382" s="1" t="s">
        <v>35</v>
      </c>
      <c r="F382" s="1" t="s">
        <v>56</v>
      </c>
      <c r="G382" s="1" t="s">
        <v>1204</v>
      </c>
      <c r="H382" s="1" t="s">
        <v>1205</v>
      </c>
      <c r="I382" s="1" t="s">
        <v>2096</v>
      </c>
      <c r="J382" s="3">
        <v>44920</v>
      </c>
      <c r="K382" s="1" t="s">
        <v>2089</v>
      </c>
      <c r="L382" s="4">
        <f t="shared" si="16"/>
        <v>46</v>
      </c>
      <c r="M382" s="4">
        <f t="shared" si="17"/>
        <v>2022</v>
      </c>
    </row>
    <row r="383" spans="1:13" x14ac:dyDescent="0.25">
      <c r="A383" s="1" t="s">
        <v>551</v>
      </c>
      <c r="B383" s="1" t="str">
        <f t="shared" si="15"/>
        <v>ENC-232</v>
      </c>
      <c r="C383" s="1" t="s">
        <v>76</v>
      </c>
      <c r="D383" s="3">
        <v>20194</v>
      </c>
      <c r="E383" s="1" t="s">
        <v>8</v>
      </c>
      <c r="F383" s="1" t="s">
        <v>20</v>
      </c>
      <c r="G383" s="1" t="s">
        <v>1555</v>
      </c>
      <c r="H383" s="1" t="s">
        <v>1556</v>
      </c>
      <c r="I383" s="1" t="s">
        <v>2087</v>
      </c>
      <c r="J383" s="3">
        <v>44918</v>
      </c>
      <c r="K383" s="1" t="s">
        <v>2108</v>
      </c>
      <c r="L383" s="4">
        <f t="shared" si="16"/>
        <v>67</v>
      </c>
      <c r="M383" s="4">
        <f t="shared" si="17"/>
        <v>2022</v>
      </c>
    </row>
    <row r="384" spans="1:13" x14ac:dyDescent="0.25">
      <c r="A384" s="1" t="s">
        <v>861</v>
      </c>
      <c r="B384" s="1" t="str">
        <f t="shared" si="15"/>
        <v>ENC-385</v>
      </c>
      <c r="C384" s="1" t="s">
        <v>435</v>
      </c>
      <c r="D384" s="3">
        <v>15396</v>
      </c>
      <c r="E384" s="1" t="s">
        <v>8</v>
      </c>
      <c r="F384" s="1" t="s">
        <v>56</v>
      </c>
      <c r="G384" s="1" t="s">
        <v>1859</v>
      </c>
      <c r="H384" s="1" t="s">
        <v>1860</v>
      </c>
      <c r="I384" s="1" t="s">
        <v>2096</v>
      </c>
      <c r="J384" s="3">
        <v>44917</v>
      </c>
      <c r="K384" s="1" t="s">
        <v>2104</v>
      </c>
      <c r="L384" s="4">
        <f t="shared" si="16"/>
        <v>80</v>
      </c>
      <c r="M384" s="4">
        <f t="shared" si="17"/>
        <v>2022</v>
      </c>
    </row>
    <row r="385" spans="1:13" x14ac:dyDescent="0.25">
      <c r="A385" s="1" t="s">
        <v>891</v>
      </c>
      <c r="B385" s="1" t="str">
        <f t="shared" si="15"/>
        <v>ENC-400</v>
      </c>
      <c r="C385" s="1" t="s">
        <v>356</v>
      </c>
      <c r="D385" s="3">
        <v>19833</v>
      </c>
      <c r="E385" s="1" t="s">
        <v>52</v>
      </c>
      <c r="F385" s="1" t="s">
        <v>28</v>
      </c>
      <c r="G385" s="1" t="s">
        <v>1888</v>
      </c>
      <c r="H385" s="1" t="s">
        <v>1889</v>
      </c>
      <c r="I385" s="1" t="s">
        <v>2087</v>
      </c>
      <c r="J385" s="3">
        <v>44915</v>
      </c>
      <c r="K385" s="1" t="s">
        <v>2089</v>
      </c>
      <c r="L385" s="4">
        <f t="shared" si="16"/>
        <v>68</v>
      </c>
      <c r="M385" s="4">
        <f t="shared" si="17"/>
        <v>2022</v>
      </c>
    </row>
    <row r="386" spans="1:13" x14ac:dyDescent="0.25">
      <c r="A386" s="1" t="s">
        <v>408</v>
      </c>
      <c r="B386" s="1" t="str">
        <f t="shared" ref="B386:B449" si="18">"ENC-"&amp;(VALUE(RIGHT(A386,4))-1000)</f>
        <v>ENC-163</v>
      </c>
      <c r="C386" s="1" t="s">
        <v>93</v>
      </c>
      <c r="D386" s="3">
        <v>22695</v>
      </c>
      <c r="E386" s="1" t="s">
        <v>52</v>
      </c>
      <c r="F386" s="1" t="s">
        <v>42</v>
      </c>
      <c r="G386" s="1" t="s">
        <v>1417</v>
      </c>
      <c r="H386" s="1" t="s">
        <v>1418</v>
      </c>
      <c r="I386" s="1" t="s">
        <v>2096</v>
      </c>
      <c r="J386" s="3">
        <v>44913</v>
      </c>
      <c r="K386" s="1" t="s">
        <v>2089</v>
      </c>
      <c r="L386" s="4">
        <f t="shared" ref="L386:L449" si="19">DATEDIF(D386,J386,"Y")</f>
        <v>60</v>
      </c>
      <c r="M386" s="4">
        <f t="shared" ref="M386:M449" si="20">YEAR(J386)</f>
        <v>2022</v>
      </c>
    </row>
    <row r="387" spans="1:13" x14ac:dyDescent="0.25">
      <c r="A387" s="1" t="s">
        <v>468</v>
      </c>
      <c r="B387" s="1" t="str">
        <f t="shared" si="18"/>
        <v>ENC-192</v>
      </c>
      <c r="C387" s="1" t="s">
        <v>152</v>
      </c>
      <c r="D387" s="3">
        <v>36893</v>
      </c>
      <c r="E387" s="1" t="s">
        <v>35</v>
      </c>
      <c r="F387" s="1" t="s">
        <v>28</v>
      </c>
      <c r="G387" s="1" t="s">
        <v>1475</v>
      </c>
      <c r="H387" s="1" t="s">
        <v>1476</v>
      </c>
      <c r="I387" s="1" t="s">
        <v>2096</v>
      </c>
      <c r="J387" s="3">
        <v>44906</v>
      </c>
      <c r="K387" s="1" t="s">
        <v>2104</v>
      </c>
      <c r="L387" s="4">
        <f t="shared" si="19"/>
        <v>21</v>
      </c>
      <c r="M387" s="4">
        <f t="shared" si="20"/>
        <v>2022</v>
      </c>
    </row>
    <row r="388" spans="1:13" x14ac:dyDescent="0.25">
      <c r="A388" s="1" t="s">
        <v>1027</v>
      </c>
      <c r="B388" s="1" t="str">
        <f t="shared" si="18"/>
        <v>ENC-468</v>
      </c>
      <c r="C388" s="1" t="s">
        <v>278</v>
      </c>
      <c r="D388" s="3">
        <v>16336</v>
      </c>
      <c r="E388" s="1" t="s">
        <v>52</v>
      </c>
      <c r="F388" s="1" t="s">
        <v>20</v>
      </c>
      <c r="G388" s="1" t="s">
        <v>2019</v>
      </c>
      <c r="H388" s="1" t="s">
        <v>2020</v>
      </c>
      <c r="I388" s="1" t="s">
        <v>2096</v>
      </c>
      <c r="J388" s="3">
        <v>44903</v>
      </c>
      <c r="K388" s="1" t="s">
        <v>2108</v>
      </c>
      <c r="L388" s="4">
        <f t="shared" si="19"/>
        <v>78</v>
      </c>
      <c r="M388" s="4">
        <f t="shared" si="20"/>
        <v>2022</v>
      </c>
    </row>
    <row r="389" spans="1:13" x14ac:dyDescent="0.25">
      <c r="A389" s="1" t="s">
        <v>226</v>
      </c>
      <c r="B389" s="1" t="str">
        <f t="shared" si="18"/>
        <v>ENC-82</v>
      </c>
      <c r="C389" s="1" t="s">
        <v>227</v>
      </c>
      <c r="D389" s="3">
        <v>29501</v>
      </c>
      <c r="E389" s="1" t="s">
        <v>52</v>
      </c>
      <c r="F389" s="1" t="s">
        <v>24</v>
      </c>
      <c r="G389" s="1" t="s">
        <v>1256</v>
      </c>
      <c r="H389" s="1" t="s">
        <v>1257</v>
      </c>
      <c r="I389" s="1" t="s">
        <v>2096</v>
      </c>
      <c r="J389" s="3">
        <v>44897</v>
      </c>
      <c r="K389" s="1" t="s">
        <v>2104</v>
      </c>
      <c r="L389" s="4">
        <f t="shared" si="19"/>
        <v>42</v>
      </c>
      <c r="M389" s="4">
        <f t="shared" si="20"/>
        <v>2022</v>
      </c>
    </row>
    <row r="390" spans="1:13" x14ac:dyDescent="0.25">
      <c r="A390" s="1" t="s">
        <v>185</v>
      </c>
      <c r="B390" s="1" t="str">
        <f t="shared" si="18"/>
        <v>ENC-65</v>
      </c>
      <c r="C390" s="1" t="s">
        <v>186</v>
      </c>
      <c r="D390" s="3">
        <v>20937</v>
      </c>
      <c r="E390" s="1" t="s">
        <v>8</v>
      </c>
      <c r="F390" s="1" t="s">
        <v>24</v>
      </c>
      <c r="G390" s="1" t="s">
        <v>1222</v>
      </c>
      <c r="H390" s="1" t="s">
        <v>1223</v>
      </c>
      <c r="I390" s="1" t="s">
        <v>2087</v>
      </c>
      <c r="J390" s="3">
        <v>44893</v>
      </c>
      <c r="K390" s="1" t="s">
        <v>2108</v>
      </c>
      <c r="L390" s="4">
        <f t="shared" si="19"/>
        <v>65</v>
      </c>
      <c r="M390" s="4">
        <f t="shared" si="20"/>
        <v>2022</v>
      </c>
    </row>
    <row r="391" spans="1:13" x14ac:dyDescent="0.25">
      <c r="A391" s="1" t="s">
        <v>492</v>
      </c>
      <c r="B391" s="1" t="str">
        <f t="shared" si="18"/>
        <v>ENC-204</v>
      </c>
      <c r="C391" s="1" t="s">
        <v>76</v>
      </c>
      <c r="D391" s="3">
        <v>39828</v>
      </c>
      <c r="E391" s="1" t="s">
        <v>52</v>
      </c>
      <c r="F391" s="1" t="s">
        <v>20</v>
      </c>
      <c r="G391" s="1" t="s">
        <v>1499</v>
      </c>
      <c r="H391" s="1" t="s">
        <v>1500</v>
      </c>
      <c r="I391" s="1" t="s">
        <v>2096</v>
      </c>
      <c r="J391" s="3">
        <v>44891</v>
      </c>
      <c r="K391" s="1" t="s">
        <v>2108</v>
      </c>
      <c r="L391" s="4">
        <f t="shared" si="19"/>
        <v>13</v>
      </c>
      <c r="M391" s="4">
        <f t="shared" si="20"/>
        <v>2022</v>
      </c>
    </row>
    <row r="392" spans="1:13" x14ac:dyDescent="0.25">
      <c r="A392" s="1" t="s">
        <v>946</v>
      </c>
      <c r="B392" s="1" t="str">
        <f t="shared" si="18"/>
        <v>ENC-427</v>
      </c>
      <c r="C392" s="1" t="s">
        <v>129</v>
      </c>
      <c r="D392" s="3">
        <v>30953</v>
      </c>
      <c r="E392" s="1" t="s">
        <v>8</v>
      </c>
      <c r="F392" s="1" t="s">
        <v>42</v>
      </c>
      <c r="G392" s="1" t="s">
        <v>1941</v>
      </c>
      <c r="H392" s="1" t="s">
        <v>1942</v>
      </c>
      <c r="I392" s="1" t="s">
        <v>2087</v>
      </c>
      <c r="J392" s="3">
        <v>44891</v>
      </c>
      <c r="K392" s="1" t="s">
        <v>2089</v>
      </c>
      <c r="L392" s="4">
        <f t="shared" si="19"/>
        <v>38</v>
      </c>
      <c r="M392" s="4">
        <f t="shared" si="20"/>
        <v>2022</v>
      </c>
    </row>
    <row r="393" spans="1:13" x14ac:dyDescent="0.25">
      <c r="A393" s="1" t="s">
        <v>956</v>
      </c>
      <c r="B393" s="1" t="str">
        <f t="shared" si="18"/>
        <v>ENC-432</v>
      </c>
      <c r="C393" s="1" t="s">
        <v>111</v>
      </c>
      <c r="D393" s="3">
        <v>30771</v>
      </c>
      <c r="E393" s="1" t="s">
        <v>35</v>
      </c>
      <c r="F393" s="1" t="s">
        <v>9</v>
      </c>
      <c r="G393" s="1" t="s">
        <v>1700</v>
      </c>
      <c r="H393" s="1" t="s">
        <v>1951</v>
      </c>
      <c r="I393" s="1" t="s">
        <v>2096</v>
      </c>
      <c r="J393" s="3">
        <v>44888</v>
      </c>
      <c r="K393" s="1" t="s">
        <v>2089</v>
      </c>
      <c r="L393" s="4">
        <f t="shared" si="19"/>
        <v>38</v>
      </c>
      <c r="M393" s="4">
        <f t="shared" si="20"/>
        <v>2022</v>
      </c>
    </row>
    <row r="394" spans="1:13" x14ac:dyDescent="0.25">
      <c r="A394" s="1" t="s">
        <v>837</v>
      </c>
      <c r="B394" s="1" t="str">
        <f t="shared" si="18"/>
        <v>ENC-373</v>
      </c>
      <c r="C394" s="1" t="s">
        <v>47</v>
      </c>
      <c r="D394" s="3">
        <v>31410</v>
      </c>
      <c r="E394" s="1" t="s">
        <v>8</v>
      </c>
      <c r="F394" s="1" t="s">
        <v>16</v>
      </c>
      <c r="G394" s="1" t="s">
        <v>1835</v>
      </c>
      <c r="H394" s="1" t="s">
        <v>1836</v>
      </c>
      <c r="I394" s="1" t="s">
        <v>2087</v>
      </c>
      <c r="J394" s="3">
        <v>44880</v>
      </c>
      <c r="K394" s="1" t="s">
        <v>2108</v>
      </c>
      <c r="L394" s="4">
        <f t="shared" si="19"/>
        <v>36</v>
      </c>
      <c r="M394" s="4">
        <f t="shared" si="20"/>
        <v>2022</v>
      </c>
    </row>
    <row r="395" spans="1:13" x14ac:dyDescent="0.25">
      <c r="A395" s="1" t="s">
        <v>172</v>
      </c>
      <c r="B395" s="1" t="str">
        <f t="shared" si="18"/>
        <v>ENC-59</v>
      </c>
      <c r="C395" s="1" t="s">
        <v>173</v>
      </c>
      <c r="D395" s="3">
        <v>17630</v>
      </c>
      <c r="E395" s="1" t="s">
        <v>8</v>
      </c>
      <c r="F395" s="1" t="s">
        <v>24</v>
      </c>
      <c r="G395" s="1" t="s">
        <v>1210</v>
      </c>
      <c r="H395" s="1" t="s">
        <v>1211</v>
      </c>
      <c r="I395" s="1" t="s">
        <v>2087</v>
      </c>
      <c r="J395" s="3">
        <v>44878</v>
      </c>
      <c r="K395" s="1" t="s">
        <v>2089</v>
      </c>
      <c r="L395" s="4">
        <f t="shared" si="19"/>
        <v>74</v>
      </c>
      <c r="M395" s="4">
        <f t="shared" si="20"/>
        <v>2022</v>
      </c>
    </row>
    <row r="396" spans="1:13" x14ac:dyDescent="0.25">
      <c r="A396" s="1" t="s">
        <v>472</v>
      </c>
      <c r="B396" s="1" t="str">
        <f t="shared" si="18"/>
        <v>ENC-194</v>
      </c>
      <c r="C396" s="1" t="s">
        <v>119</v>
      </c>
      <c r="D396" s="3">
        <v>17114</v>
      </c>
      <c r="E396" s="1" t="s">
        <v>8</v>
      </c>
      <c r="F396" s="1" t="s">
        <v>28</v>
      </c>
      <c r="G396" s="1" t="s">
        <v>1479</v>
      </c>
      <c r="H396" s="1" t="s">
        <v>1480</v>
      </c>
      <c r="I396" s="1" t="s">
        <v>2087</v>
      </c>
      <c r="J396" s="3">
        <v>44873</v>
      </c>
      <c r="K396" s="1" t="s">
        <v>2093</v>
      </c>
      <c r="L396" s="4">
        <f t="shared" si="19"/>
        <v>76</v>
      </c>
      <c r="M396" s="4">
        <f t="shared" si="20"/>
        <v>2022</v>
      </c>
    </row>
    <row r="397" spans="1:13" x14ac:dyDescent="0.25">
      <c r="A397" s="1" t="s">
        <v>148</v>
      </c>
      <c r="B397" s="1" t="str">
        <f t="shared" si="18"/>
        <v>ENC-50</v>
      </c>
      <c r="C397" s="1" t="s">
        <v>149</v>
      </c>
      <c r="D397" s="3">
        <v>35230</v>
      </c>
      <c r="E397" s="1" t="s">
        <v>35</v>
      </c>
      <c r="F397" s="1" t="s">
        <v>42</v>
      </c>
      <c r="G397" s="1" t="s">
        <v>1192</v>
      </c>
      <c r="H397" s="1" t="s">
        <v>1193</v>
      </c>
      <c r="I397" s="1" t="s">
        <v>2087</v>
      </c>
      <c r="J397" s="3">
        <v>44868</v>
      </c>
      <c r="K397" s="1" t="s">
        <v>2089</v>
      </c>
      <c r="L397" s="4">
        <f t="shared" si="19"/>
        <v>26</v>
      </c>
      <c r="M397" s="4">
        <f t="shared" si="20"/>
        <v>2022</v>
      </c>
    </row>
    <row r="398" spans="1:13" x14ac:dyDescent="0.25">
      <c r="A398" s="1" t="s">
        <v>151</v>
      </c>
      <c r="B398" s="1" t="str">
        <f t="shared" si="18"/>
        <v>ENC-51</v>
      </c>
      <c r="C398" s="1" t="s">
        <v>152</v>
      </c>
      <c r="D398" s="3">
        <v>33852</v>
      </c>
      <c r="E398" s="1" t="s">
        <v>52</v>
      </c>
      <c r="F398" s="1" t="s">
        <v>20</v>
      </c>
      <c r="G398" s="1" t="s">
        <v>1194</v>
      </c>
      <c r="H398" s="1" t="s">
        <v>1195</v>
      </c>
      <c r="I398" s="1" t="s">
        <v>2096</v>
      </c>
      <c r="J398" s="3">
        <v>44866</v>
      </c>
      <c r="K398" s="1" t="s">
        <v>2104</v>
      </c>
      <c r="L398" s="4">
        <f t="shared" si="19"/>
        <v>30</v>
      </c>
      <c r="M398" s="4">
        <f t="shared" si="20"/>
        <v>2022</v>
      </c>
    </row>
    <row r="399" spans="1:13" x14ac:dyDescent="0.25">
      <c r="A399" s="1" t="s">
        <v>265</v>
      </c>
      <c r="B399" s="1" t="str">
        <f t="shared" si="18"/>
        <v>ENC-98</v>
      </c>
      <c r="C399" s="1" t="s">
        <v>266</v>
      </c>
      <c r="D399" s="3">
        <v>21978</v>
      </c>
      <c r="E399" s="1" t="s">
        <v>52</v>
      </c>
      <c r="F399" s="1" t="s">
        <v>24</v>
      </c>
      <c r="G399" s="1" t="s">
        <v>1234</v>
      </c>
      <c r="H399" s="1" t="s">
        <v>1288</v>
      </c>
      <c r="I399" s="1" t="s">
        <v>2096</v>
      </c>
      <c r="J399" s="3">
        <v>44861</v>
      </c>
      <c r="K399" s="1" t="s">
        <v>2089</v>
      </c>
      <c r="L399" s="4">
        <f t="shared" si="19"/>
        <v>62</v>
      </c>
      <c r="M399" s="4">
        <f t="shared" si="20"/>
        <v>2022</v>
      </c>
    </row>
    <row r="400" spans="1:13" x14ac:dyDescent="0.25">
      <c r="A400" s="1" t="s">
        <v>716</v>
      </c>
      <c r="B400" s="1" t="str">
        <f t="shared" si="18"/>
        <v>ENC-313</v>
      </c>
      <c r="C400" s="1" t="s">
        <v>387</v>
      </c>
      <c r="D400" s="3">
        <v>34568</v>
      </c>
      <c r="E400" s="1" t="s">
        <v>52</v>
      </c>
      <c r="F400" s="1" t="s">
        <v>56</v>
      </c>
      <c r="G400" s="1" t="s">
        <v>1716</v>
      </c>
      <c r="H400" s="1" t="s">
        <v>1717</v>
      </c>
      <c r="I400" s="1" t="s">
        <v>2087</v>
      </c>
      <c r="J400" s="3">
        <v>44858</v>
      </c>
      <c r="K400" s="1" t="s">
        <v>2104</v>
      </c>
      <c r="L400" s="4">
        <f t="shared" si="19"/>
        <v>28</v>
      </c>
      <c r="M400" s="4">
        <f t="shared" si="20"/>
        <v>2022</v>
      </c>
    </row>
    <row r="401" spans="1:13" x14ac:dyDescent="0.25">
      <c r="A401" s="1" t="s">
        <v>353</v>
      </c>
      <c r="B401" s="1" t="str">
        <f t="shared" si="18"/>
        <v>ENC-139</v>
      </c>
      <c r="C401" s="1" t="s">
        <v>58</v>
      </c>
      <c r="D401" s="3">
        <v>29436</v>
      </c>
      <c r="E401" s="1" t="s">
        <v>52</v>
      </c>
      <c r="F401" s="1" t="s">
        <v>9</v>
      </c>
      <c r="G401" s="1" t="s">
        <v>1369</v>
      </c>
      <c r="H401" s="1" t="s">
        <v>1370</v>
      </c>
      <c r="I401" s="1" t="s">
        <v>2087</v>
      </c>
      <c r="J401" s="3">
        <v>44856</v>
      </c>
      <c r="K401" s="1" t="s">
        <v>2108</v>
      </c>
      <c r="L401" s="4">
        <f t="shared" si="19"/>
        <v>42</v>
      </c>
      <c r="M401" s="4">
        <f t="shared" si="20"/>
        <v>2022</v>
      </c>
    </row>
    <row r="402" spans="1:13" x14ac:dyDescent="0.25">
      <c r="A402" s="1" t="s">
        <v>398</v>
      </c>
      <c r="B402" s="1" t="str">
        <f t="shared" si="18"/>
        <v>ENC-159</v>
      </c>
      <c r="C402" s="1" t="s">
        <v>399</v>
      </c>
      <c r="D402" s="3">
        <v>18886</v>
      </c>
      <c r="E402" s="1" t="s">
        <v>8</v>
      </c>
      <c r="F402" s="1" t="s">
        <v>56</v>
      </c>
      <c r="G402" s="1" t="s">
        <v>1409</v>
      </c>
      <c r="H402" s="1" t="s">
        <v>1410</v>
      </c>
      <c r="I402" s="1" t="s">
        <v>2096</v>
      </c>
      <c r="J402" s="3">
        <v>44856</v>
      </c>
      <c r="K402" s="1" t="s">
        <v>2089</v>
      </c>
      <c r="L402" s="4">
        <f t="shared" si="19"/>
        <v>71</v>
      </c>
      <c r="M402" s="4">
        <f t="shared" si="20"/>
        <v>2022</v>
      </c>
    </row>
    <row r="403" spans="1:13" x14ac:dyDescent="0.25">
      <c r="A403" s="1" t="s">
        <v>193</v>
      </c>
      <c r="B403" s="1" t="str">
        <f t="shared" si="18"/>
        <v>ENC-68</v>
      </c>
      <c r="C403" s="1" t="s">
        <v>33</v>
      </c>
      <c r="D403" s="3">
        <v>33336</v>
      </c>
      <c r="E403" s="1" t="s">
        <v>52</v>
      </c>
      <c r="F403" s="1" t="s">
        <v>24</v>
      </c>
      <c r="G403" s="1" t="s">
        <v>1228</v>
      </c>
      <c r="H403" s="1" t="s">
        <v>1229</v>
      </c>
      <c r="I403" s="1" t="s">
        <v>2087</v>
      </c>
      <c r="J403" s="3">
        <v>44855</v>
      </c>
      <c r="K403" s="1" t="s">
        <v>2093</v>
      </c>
      <c r="L403" s="4">
        <f t="shared" si="19"/>
        <v>31</v>
      </c>
      <c r="M403" s="4">
        <f t="shared" si="20"/>
        <v>2022</v>
      </c>
    </row>
    <row r="404" spans="1:13" x14ac:dyDescent="0.25">
      <c r="A404" s="1" t="s">
        <v>911</v>
      </c>
      <c r="B404" s="1" t="str">
        <f t="shared" si="18"/>
        <v>ENC-410</v>
      </c>
      <c r="C404" s="1" t="s">
        <v>114</v>
      </c>
      <c r="D404" s="3">
        <v>19147</v>
      </c>
      <c r="E404" s="1" t="s">
        <v>35</v>
      </c>
      <c r="F404" s="1" t="s">
        <v>16</v>
      </c>
      <c r="G404" s="1" t="s">
        <v>1908</v>
      </c>
      <c r="H404" s="1" t="s">
        <v>1909</v>
      </c>
      <c r="I404" s="1" t="s">
        <v>2096</v>
      </c>
      <c r="J404" s="3">
        <v>44855</v>
      </c>
      <c r="K404" s="1" t="s">
        <v>2108</v>
      </c>
      <c r="L404" s="4">
        <f t="shared" si="19"/>
        <v>70</v>
      </c>
      <c r="M404" s="4">
        <f t="shared" si="20"/>
        <v>2022</v>
      </c>
    </row>
    <row r="405" spans="1:13" x14ac:dyDescent="0.25">
      <c r="A405" s="1" t="s">
        <v>14</v>
      </c>
      <c r="B405" s="1" t="str">
        <f t="shared" si="18"/>
        <v>ENC-3</v>
      </c>
      <c r="C405" s="1" t="s">
        <v>11</v>
      </c>
      <c r="D405" s="3">
        <v>20671</v>
      </c>
      <c r="E405" s="1" t="s">
        <v>8</v>
      </c>
      <c r="F405" s="1" t="s">
        <v>16</v>
      </c>
      <c r="G405" s="1" t="s">
        <v>1099</v>
      </c>
      <c r="H405" s="1" t="s">
        <v>1100</v>
      </c>
      <c r="I405" s="1" t="s">
        <v>2096</v>
      </c>
      <c r="J405" s="3">
        <v>44851</v>
      </c>
      <c r="K405" s="1" t="s">
        <v>2093</v>
      </c>
      <c r="L405" s="4">
        <f t="shared" si="19"/>
        <v>66</v>
      </c>
      <c r="M405" s="4">
        <f t="shared" si="20"/>
        <v>2022</v>
      </c>
    </row>
    <row r="406" spans="1:13" x14ac:dyDescent="0.25">
      <c r="A406" s="1" t="s">
        <v>879</v>
      </c>
      <c r="B406" s="1" t="str">
        <f t="shared" si="18"/>
        <v>ENC-394</v>
      </c>
      <c r="C406" s="1" t="s">
        <v>597</v>
      </c>
      <c r="D406" s="3">
        <v>32588</v>
      </c>
      <c r="E406" s="1" t="s">
        <v>8</v>
      </c>
      <c r="F406" s="1" t="s">
        <v>16</v>
      </c>
      <c r="G406" s="1" t="s">
        <v>1877</v>
      </c>
      <c r="H406" s="1" t="s">
        <v>1878</v>
      </c>
      <c r="I406" s="1" t="s">
        <v>2096</v>
      </c>
      <c r="J406" s="3">
        <v>44850</v>
      </c>
      <c r="K406" s="1" t="s">
        <v>2093</v>
      </c>
      <c r="L406" s="4">
        <f t="shared" si="19"/>
        <v>33</v>
      </c>
      <c r="M406" s="4">
        <f t="shared" si="20"/>
        <v>2022</v>
      </c>
    </row>
    <row r="407" spans="1:13" x14ac:dyDescent="0.25">
      <c r="A407" s="1" t="s">
        <v>760</v>
      </c>
      <c r="B407" s="1" t="str">
        <f t="shared" si="18"/>
        <v>ENC-335</v>
      </c>
      <c r="C407" s="1" t="s">
        <v>155</v>
      </c>
      <c r="D407" s="3">
        <v>35480</v>
      </c>
      <c r="E407" s="1" t="s">
        <v>35</v>
      </c>
      <c r="F407" s="1" t="s">
        <v>42</v>
      </c>
      <c r="G407" s="1" t="s">
        <v>1760</v>
      </c>
      <c r="H407" s="1" t="s">
        <v>1761</v>
      </c>
      <c r="I407" s="1" t="s">
        <v>2096</v>
      </c>
      <c r="J407" s="3">
        <v>44848</v>
      </c>
      <c r="K407" s="1" t="s">
        <v>2108</v>
      </c>
      <c r="L407" s="4">
        <f t="shared" si="19"/>
        <v>25</v>
      </c>
      <c r="M407" s="4">
        <f t="shared" si="20"/>
        <v>2022</v>
      </c>
    </row>
    <row r="408" spans="1:13" x14ac:dyDescent="0.25">
      <c r="A408" s="1" t="s">
        <v>573</v>
      </c>
      <c r="B408" s="1" t="str">
        <f t="shared" si="18"/>
        <v>ENC-243</v>
      </c>
      <c r="C408" s="1" t="s">
        <v>574</v>
      </c>
      <c r="D408" s="3">
        <v>39426</v>
      </c>
      <c r="E408" s="1" t="s">
        <v>35</v>
      </c>
      <c r="F408" s="1" t="s">
        <v>13</v>
      </c>
      <c r="G408" s="1" t="s">
        <v>1576</v>
      </c>
      <c r="H408" s="1" t="s">
        <v>1577</v>
      </c>
      <c r="I408" s="1" t="s">
        <v>2087</v>
      </c>
      <c r="J408" s="3">
        <v>44847</v>
      </c>
      <c r="K408" s="1" t="s">
        <v>2108</v>
      </c>
      <c r="L408" s="4">
        <f t="shared" si="19"/>
        <v>14</v>
      </c>
      <c r="M408" s="4">
        <f t="shared" si="20"/>
        <v>2022</v>
      </c>
    </row>
    <row r="409" spans="1:13" x14ac:dyDescent="0.25">
      <c r="A409" s="1" t="s">
        <v>63</v>
      </c>
      <c r="B409" s="1" t="str">
        <f t="shared" si="18"/>
        <v>ENC-17</v>
      </c>
      <c r="C409" s="1" t="s">
        <v>64</v>
      </c>
      <c r="D409" s="3">
        <v>33827</v>
      </c>
      <c r="E409" s="1" t="s">
        <v>35</v>
      </c>
      <c r="F409" s="1" t="s">
        <v>56</v>
      </c>
      <c r="G409" s="1" t="s">
        <v>1127</v>
      </c>
      <c r="H409" s="1" t="s">
        <v>1128</v>
      </c>
      <c r="I409" s="1" t="s">
        <v>2096</v>
      </c>
      <c r="J409" s="3">
        <v>44837</v>
      </c>
      <c r="K409" s="1" t="s">
        <v>2089</v>
      </c>
      <c r="L409" s="4">
        <f t="shared" si="19"/>
        <v>30</v>
      </c>
      <c r="M409" s="4">
        <f t="shared" si="20"/>
        <v>2022</v>
      </c>
    </row>
    <row r="410" spans="1:13" x14ac:dyDescent="0.25">
      <c r="A410" s="1" t="s">
        <v>1053</v>
      </c>
      <c r="B410" s="1" t="str">
        <f t="shared" si="18"/>
        <v>ENC-481</v>
      </c>
      <c r="C410" s="1" t="s">
        <v>114</v>
      </c>
      <c r="D410" s="3">
        <v>31644</v>
      </c>
      <c r="E410" s="1" t="s">
        <v>8</v>
      </c>
      <c r="F410" s="1" t="s">
        <v>24</v>
      </c>
      <c r="G410" s="1" t="s">
        <v>2043</v>
      </c>
      <c r="H410" s="1" t="s">
        <v>2044</v>
      </c>
      <c r="I410" s="1" t="s">
        <v>2087</v>
      </c>
      <c r="J410" s="3">
        <v>44836</v>
      </c>
      <c r="K410" s="1" t="s">
        <v>2089</v>
      </c>
      <c r="L410" s="4">
        <f t="shared" si="19"/>
        <v>36</v>
      </c>
      <c r="M410" s="4">
        <f t="shared" si="20"/>
        <v>2022</v>
      </c>
    </row>
    <row r="411" spans="1:13" x14ac:dyDescent="0.25">
      <c r="A411" s="1" t="s">
        <v>794</v>
      </c>
      <c r="B411" s="1" t="str">
        <f t="shared" si="18"/>
        <v>ENC-352</v>
      </c>
      <c r="C411" s="1" t="s">
        <v>341</v>
      </c>
      <c r="D411" s="3">
        <v>28610</v>
      </c>
      <c r="E411" s="1" t="s">
        <v>35</v>
      </c>
      <c r="F411" s="1" t="s">
        <v>28</v>
      </c>
      <c r="G411" s="1" t="s">
        <v>1794</v>
      </c>
      <c r="H411" s="1" t="s">
        <v>1795</v>
      </c>
      <c r="I411" s="1" t="s">
        <v>2087</v>
      </c>
      <c r="J411" s="3">
        <v>44832</v>
      </c>
      <c r="K411" s="1" t="s">
        <v>2093</v>
      </c>
      <c r="L411" s="4">
        <f t="shared" si="19"/>
        <v>44</v>
      </c>
      <c r="M411" s="4">
        <f t="shared" si="20"/>
        <v>2022</v>
      </c>
    </row>
    <row r="412" spans="1:13" x14ac:dyDescent="0.25">
      <c r="A412" s="1" t="s">
        <v>205</v>
      </c>
      <c r="B412" s="1" t="str">
        <f t="shared" si="18"/>
        <v>ENC-73</v>
      </c>
      <c r="C412" s="1" t="s">
        <v>33</v>
      </c>
      <c r="D412" s="3">
        <v>22648</v>
      </c>
      <c r="E412" s="1" t="s">
        <v>8</v>
      </c>
      <c r="F412" s="1" t="s">
        <v>24</v>
      </c>
      <c r="G412" s="1" t="s">
        <v>1238</v>
      </c>
      <c r="H412" s="1" t="s">
        <v>1239</v>
      </c>
      <c r="I412" s="1" t="s">
        <v>2096</v>
      </c>
      <c r="J412" s="3">
        <v>44829</v>
      </c>
      <c r="K412" s="1" t="s">
        <v>2108</v>
      </c>
      <c r="L412" s="4">
        <f t="shared" si="19"/>
        <v>60</v>
      </c>
      <c r="M412" s="4">
        <f t="shared" si="20"/>
        <v>2022</v>
      </c>
    </row>
    <row r="413" spans="1:13" x14ac:dyDescent="0.25">
      <c r="A413" s="1" t="s">
        <v>514</v>
      </c>
      <c r="B413" s="1" t="str">
        <f t="shared" si="18"/>
        <v>ENC-214</v>
      </c>
      <c r="C413" s="1" t="s">
        <v>186</v>
      </c>
      <c r="D413" s="3">
        <v>20405</v>
      </c>
      <c r="E413" s="1" t="s">
        <v>52</v>
      </c>
      <c r="F413" s="1" t="s">
        <v>24</v>
      </c>
      <c r="G413" s="1" t="s">
        <v>1519</v>
      </c>
      <c r="H413" s="1" t="s">
        <v>1520</v>
      </c>
      <c r="I413" s="1" t="s">
        <v>2087</v>
      </c>
      <c r="J413" s="3">
        <v>44828</v>
      </c>
      <c r="K413" s="1" t="s">
        <v>2104</v>
      </c>
      <c r="L413" s="4">
        <f t="shared" si="19"/>
        <v>66</v>
      </c>
      <c r="M413" s="4">
        <f t="shared" si="20"/>
        <v>2022</v>
      </c>
    </row>
    <row r="414" spans="1:13" x14ac:dyDescent="0.25">
      <c r="A414" s="1" t="s">
        <v>305</v>
      </c>
      <c r="B414" s="1" t="str">
        <f t="shared" si="18"/>
        <v>ENC-116</v>
      </c>
      <c r="C414" s="1" t="s">
        <v>219</v>
      </c>
      <c r="D414" s="3">
        <v>29435</v>
      </c>
      <c r="E414" s="1" t="s">
        <v>52</v>
      </c>
      <c r="F414" s="1" t="s">
        <v>56</v>
      </c>
      <c r="G414" s="1" t="s">
        <v>1323</v>
      </c>
      <c r="H414" s="1" t="s">
        <v>1324</v>
      </c>
      <c r="I414" s="1" t="s">
        <v>2087</v>
      </c>
      <c r="J414" s="3">
        <v>44824</v>
      </c>
      <c r="K414" s="1" t="s">
        <v>2089</v>
      </c>
      <c r="L414" s="4">
        <f t="shared" si="19"/>
        <v>42</v>
      </c>
      <c r="M414" s="4">
        <f t="shared" si="20"/>
        <v>2022</v>
      </c>
    </row>
    <row r="415" spans="1:13" x14ac:dyDescent="0.25">
      <c r="A415" s="1" t="s">
        <v>847</v>
      </c>
      <c r="B415" s="1" t="str">
        <f t="shared" si="18"/>
        <v>ENC-378</v>
      </c>
      <c r="C415" s="1" t="s">
        <v>114</v>
      </c>
      <c r="D415" s="3">
        <v>33460</v>
      </c>
      <c r="E415" s="1" t="s">
        <v>8</v>
      </c>
      <c r="F415" s="1" t="s">
        <v>20</v>
      </c>
      <c r="G415" s="1" t="s">
        <v>1845</v>
      </c>
      <c r="H415" s="1" t="s">
        <v>1846</v>
      </c>
      <c r="I415" s="1" t="s">
        <v>2096</v>
      </c>
      <c r="J415" s="3">
        <v>44821</v>
      </c>
      <c r="K415" s="1" t="s">
        <v>2104</v>
      </c>
      <c r="L415" s="4">
        <f t="shared" si="19"/>
        <v>31</v>
      </c>
      <c r="M415" s="4">
        <f t="shared" si="20"/>
        <v>2022</v>
      </c>
    </row>
    <row r="416" spans="1:13" x14ac:dyDescent="0.25">
      <c r="A416" s="1" t="s">
        <v>146</v>
      </c>
      <c r="B416" s="1" t="str">
        <f t="shared" si="18"/>
        <v>ENC-49</v>
      </c>
      <c r="C416" s="1" t="s">
        <v>26</v>
      </c>
      <c r="D416" s="3">
        <v>34359</v>
      </c>
      <c r="E416" s="1" t="s">
        <v>35</v>
      </c>
      <c r="F416" s="1" t="s">
        <v>28</v>
      </c>
      <c r="G416" s="1" t="s">
        <v>1190</v>
      </c>
      <c r="H416" s="1" t="s">
        <v>1191</v>
      </c>
      <c r="I416" s="1" t="s">
        <v>2096</v>
      </c>
      <c r="J416" s="3">
        <v>44820</v>
      </c>
      <c r="K416" s="1" t="s">
        <v>2108</v>
      </c>
      <c r="L416" s="4">
        <f t="shared" si="19"/>
        <v>28</v>
      </c>
      <c r="M416" s="4">
        <f t="shared" si="20"/>
        <v>2022</v>
      </c>
    </row>
    <row r="417" spans="1:13" x14ac:dyDescent="0.25">
      <c r="A417" s="1" t="s">
        <v>66</v>
      </c>
      <c r="B417" s="1" t="str">
        <f t="shared" si="18"/>
        <v>ENC-18</v>
      </c>
      <c r="C417" s="1" t="s">
        <v>67</v>
      </c>
      <c r="D417" s="3">
        <v>20468</v>
      </c>
      <c r="E417" s="1" t="s">
        <v>35</v>
      </c>
      <c r="F417" s="1" t="s">
        <v>20</v>
      </c>
      <c r="G417" s="1" t="s">
        <v>1129</v>
      </c>
      <c r="H417" s="1" t="s">
        <v>1130</v>
      </c>
      <c r="I417" s="1" t="s">
        <v>2087</v>
      </c>
      <c r="J417" s="3">
        <v>44819</v>
      </c>
      <c r="K417" s="1" t="s">
        <v>2108</v>
      </c>
      <c r="L417" s="4">
        <f t="shared" si="19"/>
        <v>66</v>
      </c>
      <c r="M417" s="4">
        <f t="shared" si="20"/>
        <v>2022</v>
      </c>
    </row>
    <row r="418" spans="1:13" x14ac:dyDescent="0.25">
      <c r="A418" s="1" t="s">
        <v>786</v>
      </c>
      <c r="B418" s="1" t="str">
        <f t="shared" si="18"/>
        <v>ENC-348</v>
      </c>
      <c r="C418" s="1" t="s">
        <v>322</v>
      </c>
      <c r="D418" s="3">
        <v>28346</v>
      </c>
      <c r="E418" s="1" t="s">
        <v>52</v>
      </c>
      <c r="F418" s="1" t="s">
        <v>28</v>
      </c>
      <c r="G418" s="1" t="s">
        <v>1786</v>
      </c>
      <c r="H418" s="1" t="s">
        <v>1787</v>
      </c>
      <c r="I418" s="1" t="s">
        <v>2096</v>
      </c>
      <c r="J418" s="3">
        <v>44814</v>
      </c>
      <c r="K418" s="1" t="s">
        <v>2108</v>
      </c>
      <c r="L418" s="4">
        <f t="shared" si="19"/>
        <v>45</v>
      </c>
      <c r="M418" s="4">
        <f t="shared" si="20"/>
        <v>2022</v>
      </c>
    </row>
    <row r="419" spans="1:13" x14ac:dyDescent="0.25">
      <c r="A419" s="1" t="s">
        <v>191</v>
      </c>
      <c r="B419" s="1" t="str">
        <f t="shared" si="18"/>
        <v>ENC-67</v>
      </c>
      <c r="C419" s="1" t="s">
        <v>37</v>
      </c>
      <c r="D419" s="3">
        <v>21650</v>
      </c>
      <c r="E419" s="1" t="s">
        <v>8</v>
      </c>
      <c r="F419" s="1" t="s">
        <v>9</v>
      </c>
      <c r="G419" s="1" t="s">
        <v>1226</v>
      </c>
      <c r="H419" s="1" t="s">
        <v>1227</v>
      </c>
      <c r="I419" s="1" t="s">
        <v>2096</v>
      </c>
      <c r="J419" s="3">
        <v>44801</v>
      </c>
      <c r="K419" s="1" t="s">
        <v>2093</v>
      </c>
      <c r="L419" s="4">
        <f t="shared" si="19"/>
        <v>63</v>
      </c>
      <c r="M419" s="4">
        <f t="shared" si="20"/>
        <v>2022</v>
      </c>
    </row>
    <row r="420" spans="1:13" x14ac:dyDescent="0.25">
      <c r="A420" s="1" t="s">
        <v>851</v>
      </c>
      <c r="B420" s="1" t="str">
        <f t="shared" si="18"/>
        <v>ENC-380</v>
      </c>
      <c r="C420" s="1" t="s">
        <v>144</v>
      </c>
      <c r="D420" s="3">
        <v>20921</v>
      </c>
      <c r="E420" s="1" t="s">
        <v>35</v>
      </c>
      <c r="F420" s="1" t="s">
        <v>56</v>
      </c>
      <c r="G420" s="1" t="s">
        <v>1849</v>
      </c>
      <c r="H420" s="1" t="s">
        <v>1850</v>
      </c>
      <c r="I420" s="1" t="s">
        <v>2087</v>
      </c>
      <c r="J420" s="3">
        <v>44801</v>
      </c>
      <c r="K420" s="1" t="s">
        <v>2108</v>
      </c>
      <c r="L420" s="4">
        <f t="shared" si="19"/>
        <v>65</v>
      </c>
      <c r="M420" s="4">
        <f t="shared" si="20"/>
        <v>2022</v>
      </c>
    </row>
    <row r="421" spans="1:13" x14ac:dyDescent="0.25">
      <c r="A421" s="1" t="s">
        <v>964</v>
      </c>
      <c r="B421" s="1" t="str">
        <f t="shared" si="18"/>
        <v>ENC-436</v>
      </c>
      <c r="C421" s="1" t="s">
        <v>227</v>
      </c>
      <c r="D421" s="3">
        <v>34514</v>
      </c>
      <c r="E421" s="1" t="s">
        <v>35</v>
      </c>
      <c r="F421" s="1" t="s">
        <v>56</v>
      </c>
      <c r="G421" s="1" t="s">
        <v>1958</v>
      </c>
      <c r="H421" s="1" t="s">
        <v>1959</v>
      </c>
      <c r="I421" s="1" t="s">
        <v>2096</v>
      </c>
      <c r="J421" s="3">
        <v>44801</v>
      </c>
      <c r="K421" s="1" t="s">
        <v>2108</v>
      </c>
      <c r="L421" s="4">
        <f t="shared" si="19"/>
        <v>28</v>
      </c>
      <c r="M421" s="4">
        <f t="shared" si="20"/>
        <v>2022</v>
      </c>
    </row>
    <row r="422" spans="1:13" x14ac:dyDescent="0.25">
      <c r="A422" s="1" t="s">
        <v>636</v>
      </c>
      <c r="B422" s="1" t="str">
        <f t="shared" si="18"/>
        <v>ENC-273</v>
      </c>
      <c r="C422" s="1" t="s">
        <v>224</v>
      </c>
      <c r="D422" s="3">
        <v>39575</v>
      </c>
      <c r="E422" s="1" t="s">
        <v>52</v>
      </c>
      <c r="F422" s="1" t="s">
        <v>56</v>
      </c>
      <c r="G422" s="1" t="s">
        <v>1636</v>
      </c>
      <c r="H422" s="1" t="s">
        <v>1637</v>
      </c>
      <c r="I422" s="1" t="s">
        <v>2096</v>
      </c>
      <c r="J422" s="3">
        <v>44790</v>
      </c>
      <c r="K422" s="1" t="s">
        <v>2104</v>
      </c>
      <c r="L422" s="4">
        <f t="shared" si="19"/>
        <v>14</v>
      </c>
      <c r="M422" s="4">
        <f t="shared" si="20"/>
        <v>2022</v>
      </c>
    </row>
    <row r="423" spans="1:13" x14ac:dyDescent="0.25">
      <c r="A423" s="1" t="s">
        <v>197</v>
      </c>
      <c r="B423" s="1" t="str">
        <f t="shared" si="18"/>
        <v>ENC-70</v>
      </c>
      <c r="C423" s="1" t="s">
        <v>198</v>
      </c>
      <c r="D423" s="3">
        <v>23876</v>
      </c>
      <c r="E423" s="1" t="s">
        <v>52</v>
      </c>
      <c r="F423" s="1" t="s">
        <v>9</v>
      </c>
      <c r="G423" s="1" t="s">
        <v>1232</v>
      </c>
      <c r="H423" s="1" t="s">
        <v>1233</v>
      </c>
      <c r="I423" s="1" t="s">
        <v>2087</v>
      </c>
      <c r="J423" s="3">
        <v>44783</v>
      </c>
      <c r="K423" s="1" t="s">
        <v>2093</v>
      </c>
      <c r="L423" s="4">
        <f t="shared" si="19"/>
        <v>57</v>
      </c>
      <c r="M423" s="4">
        <f t="shared" si="20"/>
        <v>2022</v>
      </c>
    </row>
    <row r="424" spans="1:13" x14ac:dyDescent="0.25">
      <c r="A424" s="1" t="s">
        <v>565</v>
      </c>
      <c r="B424" s="1" t="str">
        <f t="shared" si="18"/>
        <v>ENC-239</v>
      </c>
      <c r="C424" s="1" t="s">
        <v>129</v>
      </c>
      <c r="D424" s="3">
        <v>39028</v>
      </c>
      <c r="E424" s="1" t="s">
        <v>52</v>
      </c>
      <c r="F424" s="1" t="s">
        <v>20</v>
      </c>
      <c r="G424" s="1" t="s">
        <v>1568</v>
      </c>
      <c r="H424" s="1" t="s">
        <v>1569</v>
      </c>
      <c r="I424" s="1" t="s">
        <v>2096</v>
      </c>
      <c r="J424" s="3">
        <v>44781</v>
      </c>
      <c r="K424" s="1" t="s">
        <v>2089</v>
      </c>
      <c r="L424" s="4">
        <f t="shared" si="19"/>
        <v>15</v>
      </c>
      <c r="M424" s="4">
        <f t="shared" si="20"/>
        <v>2022</v>
      </c>
    </row>
    <row r="425" spans="1:13" x14ac:dyDescent="0.25">
      <c r="A425" s="1" t="s">
        <v>849</v>
      </c>
      <c r="B425" s="1" t="str">
        <f t="shared" si="18"/>
        <v>ENC-379</v>
      </c>
      <c r="C425" s="1" t="s">
        <v>236</v>
      </c>
      <c r="D425" s="3">
        <v>24853</v>
      </c>
      <c r="E425" s="1" t="s">
        <v>8</v>
      </c>
      <c r="F425" s="1" t="s">
        <v>13</v>
      </c>
      <c r="G425" s="1" t="s">
        <v>1847</v>
      </c>
      <c r="H425" s="1" t="s">
        <v>1848</v>
      </c>
      <c r="I425" s="1" t="s">
        <v>2087</v>
      </c>
      <c r="J425" s="3">
        <v>44780</v>
      </c>
      <c r="K425" s="1" t="s">
        <v>2104</v>
      </c>
      <c r="L425" s="4">
        <f t="shared" si="19"/>
        <v>54</v>
      </c>
      <c r="M425" s="4">
        <f t="shared" si="20"/>
        <v>2022</v>
      </c>
    </row>
    <row r="426" spans="1:13" x14ac:dyDescent="0.25">
      <c r="A426" s="1" t="s">
        <v>319</v>
      </c>
      <c r="B426" s="1" t="str">
        <f t="shared" si="18"/>
        <v>ENC-123</v>
      </c>
      <c r="C426" s="1" t="s">
        <v>160</v>
      </c>
      <c r="D426" s="3">
        <v>14682</v>
      </c>
      <c r="E426" s="1" t="s">
        <v>8</v>
      </c>
      <c r="F426" s="1" t="s">
        <v>16</v>
      </c>
      <c r="G426" s="1" t="s">
        <v>1337</v>
      </c>
      <c r="H426" s="1" t="s">
        <v>1338</v>
      </c>
      <c r="I426" s="1" t="s">
        <v>2087</v>
      </c>
      <c r="J426" s="3">
        <v>44778</v>
      </c>
      <c r="K426" s="1" t="s">
        <v>2093</v>
      </c>
      <c r="L426" s="4">
        <f t="shared" si="19"/>
        <v>82</v>
      </c>
      <c r="M426" s="4">
        <f t="shared" si="20"/>
        <v>2022</v>
      </c>
    </row>
    <row r="427" spans="1:13" x14ac:dyDescent="0.25">
      <c r="A427" s="1" t="s">
        <v>821</v>
      </c>
      <c r="B427" s="1" t="str">
        <f t="shared" si="18"/>
        <v>ENC-365</v>
      </c>
      <c r="C427" s="1" t="s">
        <v>155</v>
      </c>
      <c r="D427" s="3">
        <v>21171</v>
      </c>
      <c r="E427" s="1" t="s">
        <v>8</v>
      </c>
      <c r="F427" s="1" t="s">
        <v>42</v>
      </c>
      <c r="G427" s="1" t="s">
        <v>1606</v>
      </c>
      <c r="H427" s="1" t="s">
        <v>1820</v>
      </c>
      <c r="I427" s="1" t="s">
        <v>2087</v>
      </c>
      <c r="J427" s="3">
        <v>44774</v>
      </c>
      <c r="K427" s="1" t="s">
        <v>2089</v>
      </c>
      <c r="L427" s="4">
        <f t="shared" si="19"/>
        <v>64</v>
      </c>
      <c r="M427" s="4">
        <f t="shared" si="20"/>
        <v>2022</v>
      </c>
    </row>
    <row r="428" spans="1:13" x14ac:dyDescent="0.25">
      <c r="A428" s="1" t="s">
        <v>358</v>
      </c>
      <c r="B428" s="1" t="str">
        <f t="shared" si="18"/>
        <v>ENC-141</v>
      </c>
      <c r="C428" s="1" t="s">
        <v>359</v>
      </c>
      <c r="D428" s="3">
        <v>29923</v>
      </c>
      <c r="E428" s="1" t="s">
        <v>52</v>
      </c>
      <c r="F428" s="1" t="s">
        <v>20</v>
      </c>
      <c r="G428" s="1" t="s">
        <v>1373</v>
      </c>
      <c r="H428" s="1" t="s">
        <v>1374</v>
      </c>
      <c r="I428" s="1" t="s">
        <v>2096</v>
      </c>
      <c r="J428" s="3">
        <v>44770</v>
      </c>
      <c r="K428" s="1" t="s">
        <v>2108</v>
      </c>
      <c r="L428" s="4">
        <f t="shared" si="19"/>
        <v>40</v>
      </c>
      <c r="M428" s="4">
        <f t="shared" si="20"/>
        <v>2022</v>
      </c>
    </row>
    <row r="429" spans="1:13" x14ac:dyDescent="0.25">
      <c r="A429" s="1" t="s">
        <v>474</v>
      </c>
      <c r="B429" s="1" t="str">
        <f t="shared" si="18"/>
        <v>ENC-195</v>
      </c>
      <c r="C429" s="1" t="s">
        <v>236</v>
      </c>
      <c r="D429" s="3">
        <v>28373</v>
      </c>
      <c r="E429" s="1" t="s">
        <v>35</v>
      </c>
      <c r="F429" s="1" t="s">
        <v>13</v>
      </c>
      <c r="G429" s="1" t="s">
        <v>1481</v>
      </c>
      <c r="H429" s="1" t="s">
        <v>1482</v>
      </c>
      <c r="I429" s="1" t="s">
        <v>2096</v>
      </c>
      <c r="J429" s="3">
        <v>44770</v>
      </c>
      <c r="K429" s="1" t="s">
        <v>2108</v>
      </c>
      <c r="L429" s="4">
        <f t="shared" si="19"/>
        <v>44</v>
      </c>
      <c r="M429" s="4">
        <f t="shared" si="20"/>
        <v>2022</v>
      </c>
    </row>
    <row r="430" spans="1:13" x14ac:dyDescent="0.25">
      <c r="A430" s="1" t="s">
        <v>580</v>
      </c>
      <c r="B430" s="1" t="str">
        <f t="shared" si="18"/>
        <v>ENC-246</v>
      </c>
      <c r="C430" s="1" t="s">
        <v>93</v>
      </c>
      <c r="D430" s="3">
        <v>24470</v>
      </c>
      <c r="E430" s="1" t="s">
        <v>52</v>
      </c>
      <c r="F430" s="1" t="s">
        <v>24</v>
      </c>
      <c r="G430" s="1" t="s">
        <v>1582</v>
      </c>
      <c r="H430" s="1" t="s">
        <v>1583</v>
      </c>
      <c r="I430" s="1" t="s">
        <v>2087</v>
      </c>
      <c r="J430" s="3">
        <v>44767</v>
      </c>
      <c r="K430" s="1" t="s">
        <v>2093</v>
      </c>
      <c r="L430" s="4">
        <f t="shared" si="19"/>
        <v>55</v>
      </c>
      <c r="M430" s="4">
        <f t="shared" si="20"/>
        <v>2022</v>
      </c>
    </row>
    <row r="431" spans="1:13" x14ac:dyDescent="0.25">
      <c r="A431" s="1" t="s">
        <v>1051</v>
      </c>
      <c r="B431" s="1" t="str">
        <f t="shared" si="18"/>
        <v>ENC-480</v>
      </c>
      <c r="C431" s="1" t="s">
        <v>396</v>
      </c>
      <c r="D431" s="3">
        <v>15456</v>
      </c>
      <c r="E431" s="1" t="s">
        <v>35</v>
      </c>
      <c r="F431" s="1" t="s">
        <v>13</v>
      </c>
      <c r="G431" s="1" t="s">
        <v>2041</v>
      </c>
      <c r="H431" s="1" t="s">
        <v>2042</v>
      </c>
      <c r="I431" s="1" t="s">
        <v>2096</v>
      </c>
      <c r="J431" s="3">
        <v>44766</v>
      </c>
      <c r="K431" s="1" t="s">
        <v>2089</v>
      </c>
      <c r="L431" s="4">
        <f t="shared" si="19"/>
        <v>80</v>
      </c>
      <c r="M431" s="4">
        <f t="shared" si="20"/>
        <v>2022</v>
      </c>
    </row>
    <row r="432" spans="1:13" x14ac:dyDescent="0.25">
      <c r="A432" s="1" t="s">
        <v>989</v>
      </c>
      <c r="B432" s="1" t="str">
        <f t="shared" si="18"/>
        <v>ENC-449</v>
      </c>
      <c r="C432" s="1" t="s">
        <v>266</v>
      </c>
      <c r="D432" s="3">
        <v>18374</v>
      </c>
      <c r="E432" s="1" t="s">
        <v>8</v>
      </c>
      <c r="F432" s="1" t="s">
        <v>28</v>
      </c>
      <c r="G432" s="1" t="s">
        <v>1984</v>
      </c>
      <c r="H432" s="1" t="s">
        <v>1985</v>
      </c>
      <c r="I432" s="1" t="s">
        <v>2087</v>
      </c>
      <c r="J432" s="3">
        <v>44765</v>
      </c>
      <c r="K432" s="1" t="s">
        <v>2089</v>
      </c>
      <c r="L432" s="4">
        <f t="shared" si="19"/>
        <v>72</v>
      </c>
      <c r="M432" s="4">
        <f t="shared" si="20"/>
        <v>2022</v>
      </c>
    </row>
    <row r="433" spans="1:13" x14ac:dyDescent="0.25">
      <c r="A433" s="1" t="s">
        <v>53</v>
      </c>
      <c r="B433" s="1" t="str">
        <f t="shared" si="18"/>
        <v>ENC-14</v>
      </c>
      <c r="C433" s="1" t="s">
        <v>54</v>
      </c>
      <c r="D433" s="3">
        <v>24070</v>
      </c>
      <c r="E433" s="1" t="s">
        <v>8</v>
      </c>
      <c r="F433" s="1" t="s">
        <v>56</v>
      </c>
      <c r="G433" s="1" t="s">
        <v>1121</v>
      </c>
      <c r="H433" s="1" t="s">
        <v>1122</v>
      </c>
      <c r="I433" s="1" t="s">
        <v>2096</v>
      </c>
      <c r="J433" s="3">
        <v>44764</v>
      </c>
      <c r="K433" s="1" t="s">
        <v>2108</v>
      </c>
      <c r="L433" s="4">
        <f t="shared" si="19"/>
        <v>56</v>
      </c>
      <c r="M433" s="4">
        <f t="shared" si="20"/>
        <v>2022</v>
      </c>
    </row>
    <row r="434" spans="1:13" x14ac:dyDescent="0.25">
      <c r="A434" s="1" t="s">
        <v>175</v>
      </c>
      <c r="B434" s="1" t="str">
        <f t="shared" si="18"/>
        <v>ENC-60</v>
      </c>
      <c r="C434" s="1" t="s">
        <v>64</v>
      </c>
      <c r="D434" s="3">
        <v>34802</v>
      </c>
      <c r="E434" s="1" t="s">
        <v>35</v>
      </c>
      <c r="F434" s="1" t="s">
        <v>28</v>
      </c>
      <c r="G434" s="1" t="s">
        <v>1212</v>
      </c>
      <c r="H434" s="1" t="s">
        <v>1213</v>
      </c>
      <c r="I434" s="1" t="s">
        <v>2096</v>
      </c>
      <c r="J434" s="3">
        <v>44764</v>
      </c>
      <c r="K434" s="1" t="s">
        <v>2104</v>
      </c>
      <c r="L434" s="4">
        <f t="shared" si="19"/>
        <v>27</v>
      </c>
      <c r="M434" s="4">
        <f t="shared" si="20"/>
        <v>2022</v>
      </c>
    </row>
    <row r="435" spans="1:13" x14ac:dyDescent="0.25">
      <c r="A435" s="1" t="s">
        <v>740</v>
      </c>
      <c r="B435" s="1" t="str">
        <f t="shared" si="18"/>
        <v>ENC-325</v>
      </c>
      <c r="C435" s="1" t="s">
        <v>412</v>
      </c>
      <c r="D435" s="3">
        <v>38697</v>
      </c>
      <c r="E435" s="1" t="s">
        <v>52</v>
      </c>
      <c r="F435" s="1" t="s">
        <v>16</v>
      </c>
      <c r="G435" s="1" t="s">
        <v>1740</v>
      </c>
      <c r="H435" s="1" t="s">
        <v>1741</v>
      </c>
      <c r="I435" s="1" t="s">
        <v>2087</v>
      </c>
      <c r="J435" s="3">
        <v>44764</v>
      </c>
      <c r="K435" s="1" t="s">
        <v>2108</v>
      </c>
      <c r="L435" s="4">
        <f t="shared" si="19"/>
        <v>16</v>
      </c>
      <c r="M435" s="4">
        <f t="shared" si="20"/>
        <v>2022</v>
      </c>
    </row>
    <row r="436" spans="1:13" x14ac:dyDescent="0.25">
      <c r="A436" s="1" t="s">
        <v>72</v>
      </c>
      <c r="B436" s="1" t="str">
        <f t="shared" si="18"/>
        <v>ENC-20</v>
      </c>
      <c r="C436" s="1" t="s">
        <v>73</v>
      </c>
      <c r="D436" s="3">
        <v>31801</v>
      </c>
      <c r="E436" s="1" t="s">
        <v>8</v>
      </c>
      <c r="F436" s="1" t="s">
        <v>20</v>
      </c>
      <c r="G436" s="1" t="s">
        <v>1133</v>
      </c>
      <c r="H436" s="1" t="s">
        <v>1134</v>
      </c>
      <c r="I436" s="1" t="s">
        <v>2087</v>
      </c>
      <c r="J436" s="3">
        <v>44763</v>
      </c>
      <c r="K436" s="1" t="s">
        <v>2093</v>
      </c>
      <c r="L436" s="4">
        <f t="shared" si="19"/>
        <v>35</v>
      </c>
      <c r="M436" s="4">
        <f t="shared" si="20"/>
        <v>2022</v>
      </c>
    </row>
    <row r="437" spans="1:13" x14ac:dyDescent="0.25">
      <c r="A437" s="1" t="s">
        <v>897</v>
      </c>
      <c r="B437" s="1" t="str">
        <f t="shared" si="18"/>
        <v>ENC-403</v>
      </c>
      <c r="C437" s="1" t="s">
        <v>512</v>
      </c>
      <c r="D437" s="3">
        <v>23009</v>
      </c>
      <c r="E437" s="1" t="s">
        <v>8</v>
      </c>
      <c r="F437" s="1" t="s">
        <v>9</v>
      </c>
      <c r="G437" s="1" t="s">
        <v>1894</v>
      </c>
      <c r="H437" s="1" t="s">
        <v>1895</v>
      </c>
      <c r="I437" s="1" t="s">
        <v>2096</v>
      </c>
      <c r="J437" s="3">
        <v>44763</v>
      </c>
      <c r="K437" s="1" t="s">
        <v>2089</v>
      </c>
      <c r="L437" s="4">
        <f t="shared" si="19"/>
        <v>59</v>
      </c>
      <c r="M437" s="4">
        <f t="shared" si="20"/>
        <v>2022</v>
      </c>
    </row>
    <row r="438" spans="1:13" x14ac:dyDescent="0.25">
      <c r="A438" s="1" t="s">
        <v>509</v>
      </c>
      <c r="B438" s="1" t="str">
        <f t="shared" si="18"/>
        <v>ENC-212</v>
      </c>
      <c r="C438" s="1" t="s">
        <v>50</v>
      </c>
      <c r="D438" s="3">
        <v>35720</v>
      </c>
      <c r="E438" s="1" t="s">
        <v>35</v>
      </c>
      <c r="F438" s="1" t="s">
        <v>24</v>
      </c>
      <c r="G438" s="1" t="s">
        <v>1515</v>
      </c>
      <c r="H438" s="1" t="s">
        <v>1516</v>
      </c>
      <c r="I438" s="1" t="s">
        <v>2087</v>
      </c>
      <c r="J438" s="3">
        <v>44759</v>
      </c>
      <c r="K438" s="1" t="s">
        <v>2104</v>
      </c>
      <c r="L438" s="4">
        <f t="shared" si="19"/>
        <v>24</v>
      </c>
      <c r="M438" s="4">
        <f t="shared" si="20"/>
        <v>2022</v>
      </c>
    </row>
    <row r="439" spans="1:13" x14ac:dyDescent="0.25">
      <c r="A439" s="1" t="s">
        <v>654</v>
      </c>
      <c r="B439" s="1" t="str">
        <f t="shared" si="18"/>
        <v>ENC-282</v>
      </c>
      <c r="C439" s="1" t="s">
        <v>102</v>
      </c>
      <c r="D439" s="3">
        <v>21116</v>
      </c>
      <c r="E439" s="1" t="s">
        <v>52</v>
      </c>
      <c r="F439" s="1" t="s">
        <v>28</v>
      </c>
      <c r="G439" s="1" t="s">
        <v>1654</v>
      </c>
      <c r="H439" s="1" t="s">
        <v>1655</v>
      </c>
      <c r="I439" s="1" t="s">
        <v>2087</v>
      </c>
      <c r="J439" s="3">
        <v>44752</v>
      </c>
      <c r="K439" s="1" t="s">
        <v>2108</v>
      </c>
      <c r="L439" s="4">
        <f t="shared" si="19"/>
        <v>64</v>
      </c>
      <c r="M439" s="4">
        <f t="shared" si="20"/>
        <v>2022</v>
      </c>
    </row>
    <row r="440" spans="1:13" x14ac:dyDescent="0.25">
      <c r="A440" s="1" t="s">
        <v>462</v>
      </c>
      <c r="B440" s="1" t="str">
        <f t="shared" si="18"/>
        <v>ENC-189</v>
      </c>
      <c r="C440" s="1" t="s">
        <v>198</v>
      </c>
      <c r="D440" s="3">
        <v>34116</v>
      </c>
      <c r="E440" s="1" t="s">
        <v>35</v>
      </c>
      <c r="F440" s="1" t="s">
        <v>28</v>
      </c>
      <c r="G440" s="1" t="s">
        <v>1469</v>
      </c>
      <c r="H440" s="1" t="s">
        <v>1470</v>
      </c>
      <c r="I440" s="1" t="s">
        <v>2087</v>
      </c>
      <c r="J440" s="3">
        <v>44751</v>
      </c>
      <c r="K440" s="1" t="s">
        <v>2108</v>
      </c>
      <c r="L440" s="4">
        <f t="shared" si="19"/>
        <v>29</v>
      </c>
      <c r="M440" s="4">
        <f t="shared" si="20"/>
        <v>2022</v>
      </c>
    </row>
    <row r="441" spans="1:13" x14ac:dyDescent="0.25">
      <c r="A441" s="1" t="s">
        <v>1013</v>
      </c>
      <c r="B441" s="1" t="str">
        <f t="shared" si="18"/>
        <v>ENC-461</v>
      </c>
      <c r="C441" s="1" t="s">
        <v>47</v>
      </c>
      <c r="D441" s="3">
        <v>28279</v>
      </c>
      <c r="E441" s="1" t="s">
        <v>8</v>
      </c>
      <c r="F441" s="1" t="s">
        <v>42</v>
      </c>
      <c r="G441" s="1" t="s">
        <v>1704</v>
      </c>
      <c r="H441" s="1" t="s">
        <v>2007</v>
      </c>
      <c r="I441" s="1" t="s">
        <v>2096</v>
      </c>
      <c r="J441" s="3">
        <v>44751</v>
      </c>
      <c r="K441" s="1" t="s">
        <v>2104</v>
      </c>
      <c r="L441" s="4">
        <f t="shared" si="19"/>
        <v>45</v>
      </c>
      <c r="M441" s="4">
        <f t="shared" si="20"/>
        <v>2022</v>
      </c>
    </row>
    <row r="442" spans="1:13" x14ac:dyDescent="0.25">
      <c r="A442" s="1" t="s">
        <v>1003</v>
      </c>
      <c r="B442" s="1" t="str">
        <f t="shared" si="18"/>
        <v>ENC-456</v>
      </c>
      <c r="C442" s="1" t="s">
        <v>155</v>
      </c>
      <c r="D442" s="3">
        <v>20483</v>
      </c>
      <c r="E442" s="1" t="s">
        <v>8</v>
      </c>
      <c r="F442" s="1" t="s">
        <v>9</v>
      </c>
      <c r="G442" s="1" t="s">
        <v>1998</v>
      </c>
      <c r="H442" s="1" t="s">
        <v>1999</v>
      </c>
      <c r="I442" s="1" t="s">
        <v>2087</v>
      </c>
      <c r="J442" s="3">
        <v>44750</v>
      </c>
      <c r="K442" s="1" t="s">
        <v>2089</v>
      </c>
      <c r="L442" s="4">
        <f t="shared" si="19"/>
        <v>66</v>
      </c>
      <c r="M442" s="4">
        <f t="shared" si="20"/>
        <v>2022</v>
      </c>
    </row>
    <row r="443" spans="1:13" x14ac:dyDescent="0.25">
      <c r="A443" s="1" t="s">
        <v>630</v>
      </c>
      <c r="B443" s="1" t="str">
        <f t="shared" si="18"/>
        <v>ENC-270</v>
      </c>
      <c r="C443" s="1" t="s">
        <v>61</v>
      </c>
      <c r="D443" s="3">
        <v>17055</v>
      </c>
      <c r="E443" s="1" t="s">
        <v>52</v>
      </c>
      <c r="F443" s="1" t="s">
        <v>24</v>
      </c>
      <c r="G443" s="1" t="s">
        <v>1630</v>
      </c>
      <c r="H443" s="1" t="s">
        <v>1631</v>
      </c>
      <c r="I443" s="1" t="s">
        <v>2096</v>
      </c>
      <c r="J443" s="3">
        <v>44749</v>
      </c>
      <c r="K443" s="1" t="s">
        <v>2108</v>
      </c>
      <c r="L443" s="4">
        <f t="shared" si="19"/>
        <v>75</v>
      </c>
      <c r="M443" s="4">
        <f t="shared" si="20"/>
        <v>2022</v>
      </c>
    </row>
    <row r="444" spans="1:13" x14ac:dyDescent="0.25">
      <c r="A444" s="1" t="s">
        <v>782</v>
      </c>
      <c r="B444" s="1" t="str">
        <f t="shared" si="18"/>
        <v>ENC-346</v>
      </c>
      <c r="C444" s="1" t="s">
        <v>523</v>
      </c>
      <c r="D444" s="3">
        <v>22818</v>
      </c>
      <c r="E444" s="1" t="s">
        <v>35</v>
      </c>
      <c r="F444" s="1" t="s">
        <v>42</v>
      </c>
      <c r="G444" s="1" t="s">
        <v>1782</v>
      </c>
      <c r="H444" s="1" t="s">
        <v>1783</v>
      </c>
      <c r="I444" s="1" t="s">
        <v>2087</v>
      </c>
      <c r="J444" s="3">
        <v>44749</v>
      </c>
      <c r="K444" s="1" t="s">
        <v>2089</v>
      </c>
      <c r="L444" s="4">
        <f t="shared" si="19"/>
        <v>60</v>
      </c>
      <c r="M444" s="4">
        <f t="shared" si="20"/>
        <v>2022</v>
      </c>
    </row>
    <row r="445" spans="1:13" x14ac:dyDescent="0.25">
      <c r="A445" s="1" t="s">
        <v>734</v>
      </c>
      <c r="B445" s="1" t="str">
        <f t="shared" si="18"/>
        <v>ENC-322</v>
      </c>
      <c r="C445" s="1" t="s">
        <v>399</v>
      </c>
      <c r="D445" s="3">
        <v>25624</v>
      </c>
      <c r="E445" s="1" t="s">
        <v>8</v>
      </c>
      <c r="F445" s="1" t="s">
        <v>9</v>
      </c>
      <c r="G445" s="1" t="s">
        <v>1734</v>
      </c>
      <c r="H445" s="1" t="s">
        <v>1735</v>
      </c>
      <c r="I445" s="1" t="s">
        <v>2096</v>
      </c>
      <c r="J445" s="3">
        <v>44748</v>
      </c>
      <c r="K445" s="1" t="s">
        <v>2093</v>
      </c>
      <c r="L445" s="4">
        <f t="shared" si="19"/>
        <v>52</v>
      </c>
      <c r="M445" s="4">
        <f t="shared" si="20"/>
        <v>2022</v>
      </c>
    </row>
    <row r="446" spans="1:13" x14ac:dyDescent="0.25">
      <c r="A446" s="1" t="s">
        <v>29</v>
      </c>
      <c r="B446" s="1" t="str">
        <f t="shared" si="18"/>
        <v>ENC-7</v>
      </c>
      <c r="C446" s="1" t="s">
        <v>30</v>
      </c>
      <c r="D446" s="3">
        <v>33473</v>
      </c>
      <c r="E446" s="1" t="s">
        <v>8</v>
      </c>
      <c r="F446" s="1" t="s">
        <v>16</v>
      </c>
      <c r="G446" s="1" t="s">
        <v>1107</v>
      </c>
      <c r="H446" s="1" t="s">
        <v>1108</v>
      </c>
      <c r="I446" s="1" t="s">
        <v>2087</v>
      </c>
      <c r="J446" s="3">
        <v>44746</v>
      </c>
      <c r="K446" s="1" t="s">
        <v>2089</v>
      </c>
      <c r="L446" s="4">
        <f t="shared" si="19"/>
        <v>30</v>
      </c>
      <c r="M446" s="4">
        <f t="shared" si="20"/>
        <v>2022</v>
      </c>
    </row>
    <row r="447" spans="1:13" x14ac:dyDescent="0.25">
      <c r="A447" s="1" t="s">
        <v>827</v>
      </c>
      <c r="B447" s="1" t="str">
        <f t="shared" si="18"/>
        <v>ENC-368</v>
      </c>
      <c r="C447" s="1" t="s">
        <v>11</v>
      </c>
      <c r="D447" s="3">
        <v>24568</v>
      </c>
      <c r="E447" s="1" t="s">
        <v>35</v>
      </c>
      <c r="F447" s="1" t="s">
        <v>13</v>
      </c>
      <c r="G447" s="1" t="s">
        <v>1825</v>
      </c>
      <c r="H447" s="1" t="s">
        <v>1826</v>
      </c>
      <c r="I447" s="1" t="s">
        <v>2096</v>
      </c>
      <c r="J447" s="3">
        <v>44740</v>
      </c>
      <c r="K447" s="1" t="s">
        <v>2093</v>
      </c>
      <c r="L447" s="4">
        <f t="shared" si="19"/>
        <v>55</v>
      </c>
      <c r="M447" s="4">
        <f t="shared" si="20"/>
        <v>2022</v>
      </c>
    </row>
    <row r="448" spans="1:13" x14ac:dyDescent="0.25">
      <c r="A448" s="1" t="s">
        <v>859</v>
      </c>
      <c r="B448" s="1" t="str">
        <f t="shared" si="18"/>
        <v>ENC-384</v>
      </c>
      <c r="C448" s="1" t="s">
        <v>58</v>
      </c>
      <c r="D448" s="3">
        <v>29440</v>
      </c>
      <c r="E448" s="1" t="s">
        <v>8</v>
      </c>
      <c r="F448" s="1" t="s">
        <v>9</v>
      </c>
      <c r="G448" s="1" t="s">
        <v>1857</v>
      </c>
      <c r="H448" s="1" t="s">
        <v>1858</v>
      </c>
      <c r="I448" s="1" t="s">
        <v>2087</v>
      </c>
      <c r="J448" s="3">
        <v>44734</v>
      </c>
      <c r="K448" s="1" t="s">
        <v>2089</v>
      </c>
      <c r="L448" s="4">
        <f t="shared" si="19"/>
        <v>41</v>
      </c>
      <c r="M448" s="4">
        <f t="shared" si="20"/>
        <v>2022</v>
      </c>
    </row>
    <row r="449" spans="1:13" x14ac:dyDescent="0.25">
      <c r="A449" s="1" t="s">
        <v>1039</v>
      </c>
      <c r="B449" s="1" t="str">
        <f t="shared" si="18"/>
        <v>ENC-474</v>
      </c>
      <c r="C449" s="1" t="s">
        <v>160</v>
      </c>
      <c r="D449" s="3">
        <v>32215</v>
      </c>
      <c r="E449" s="1" t="s">
        <v>52</v>
      </c>
      <c r="F449" s="1" t="s">
        <v>56</v>
      </c>
      <c r="G449" s="1" t="s">
        <v>2029</v>
      </c>
      <c r="H449" s="1" t="s">
        <v>2030</v>
      </c>
      <c r="I449" s="1" t="s">
        <v>2087</v>
      </c>
      <c r="J449" s="3">
        <v>44733</v>
      </c>
      <c r="K449" s="1" t="s">
        <v>2089</v>
      </c>
      <c r="L449" s="4">
        <f t="shared" si="19"/>
        <v>34</v>
      </c>
      <c r="M449" s="4">
        <f t="shared" si="20"/>
        <v>2022</v>
      </c>
    </row>
    <row r="450" spans="1:13" x14ac:dyDescent="0.25">
      <c r="A450" s="1" t="s">
        <v>516</v>
      </c>
      <c r="B450" s="1" t="str">
        <f t="shared" ref="B450:B501" si="21">"ENC-"&amp;(VALUE(RIGHT(A450,4))-1000)</f>
        <v>ENC-215</v>
      </c>
      <c r="C450" s="1" t="s">
        <v>198</v>
      </c>
      <c r="D450" s="3">
        <v>18282</v>
      </c>
      <c r="E450" s="1" t="s">
        <v>35</v>
      </c>
      <c r="F450" s="1" t="s">
        <v>42</v>
      </c>
      <c r="G450" s="1" t="s">
        <v>1521</v>
      </c>
      <c r="H450" s="1" t="s">
        <v>1522</v>
      </c>
      <c r="I450" s="1" t="s">
        <v>2096</v>
      </c>
      <c r="J450" s="3">
        <v>44730</v>
      </c>
      <c r="K450" s="1" t="s">
        <v>2104</v>
      </c>
      <c r="L450" s="4">
        <f t="shared" ref="L450:L501" si="22">DATEDIF(D450,J450,"Y")</f>
        <v>72</v>
      </c>
      <c r="M450" s="4">
        <f t="shared" ref="M450:M501" si="23">YEAR(J450)</f>
        <v>2022</v>
      </c>
    </row>
    <row r="451" spans="1:13" x14ac:dyDescent="0.25">
      <c r="A451" s="1" t="s">
        <v>454</v>
      </c>
      <c r="B451" s="1" t="str">
        <f t="shared" si="21"/>
        <v>ENC-185</v>
      </c>
      <c r="C451" s="1" t="s">
        <v>170</v>
      </c>
      <c r="D451" s="3">
        <v>20571</v>
      </c>
      <c r="E451" s="1" t="s">
        <v>52</v>
      </c>
      <c r="F451" s="1" t="s">
        <v>28</v>
      </c>
      <c r="G451" s="1" t="s">
        <v>1461</v>
      </c>
      <c r="H451" s="1" t="s">
        <v>1462</v>
      </c>
      <c r="I451" s="1" t="s">
        <v>2096</v>
      </c>
      <c r="J451" s="3">
        <v>44727</v>
      </c>
      <c r="K451" s="1" t="s">
        <v>2108</v>
      </c>
      <c r="L451" s="4">
        <f t="shared" si="22"/>
        <v>66</v>
      </c>
      <c r="M451" s="4">
        <f t="shared" si="23"/>
        <v>2022</v>
      </c>
    </row>
    <row r="452" spans="1:13" x14ac:dyDescent="0.25">
      <c r="A452" s="1" t="s">
        <v>754</v>
      </c>
      <c r="B452" s="1" t="str">
        <f t="shared" si="21"/>
        <v>ENC-332</v>
      </c>
      <c r="C452" s="1" t="s">
        <v>170</v>
      </c>
      <c r="D452" s="3">
        <v>25046</v>
      </c>
      <c r="E452" s="1" t="s">
        <v>52</v>
      </c>
      <c r="F452" s="1" t="s">
        <v>20</v>
      </c>
      <c r="G452" s="1" t="s">
        <v>1754</v>
      </c>
      <c r="H452" s="1" t="s">
        <v>1755</v>
      </c>
      <c r="I452" s="1" t="s">
        <v>2087</v>
      </c>
      <c r="J452" s="3">
        <v>44726</v>
      </c>
      <c r="K452" s="1" t="s">
        <v>2108</v>
      </c>
      <c r="L452" s="4">
        <f t="shared" si="22"/>
        <v>53</v>
      </c>
      <c r="M452" s="4">
        <f t="shared" si="23"/>
        <v>2022</v>
      </c>
    </row>
    <row r="453" spans="1:13" x14ac:dyDescent="0.25">
      <c r="A453" s="1" t="s">
        <v>981</v>
      </c>
      <c r="B453" s="1" t="str">
        <f t="shared" si="21"/>
        <v>ENC-445</v>
      </c>
      <c r="C453" s="1" t="s">
        <v>40</v>
      </c>
      <c r="D453" s="3">
        <v>22513</v>
      </c>
      <c r="E453" s="1" t="s">
        <v>8</v>
      </c>
      <c r="F453" s="1" t="s">
        <v>42</v>
      </c>
      <c r="G453" s="1" t="s">
        <v>1976</v>
      </c>
      <c r="H453" s="1" t="s">
        <v>1977</v>
      </c>
      <c r="I453" s="1" t="s">
        <v>2096</v>
      </c>
      <c r="J453" s="3">
        <v>44726</v>
      </c>
      <c r="K453" s="1" t="s">
        <v>2093</v>
      </c>
      <c r="L453" s="4">
        <f t="shared" si="22"/>
        <v>60</v>
      </c>
      <c r="M453" s="4">
        <f t="shared" si="23"/>
        <v>2022</v>
      </c>
    </row>
    <row r="454" spans="1:13" x14ac:dyDescent="0.25">
      <c r="A454" s="1" t="s">
        <v>43</v>
      </c>
      <c r="B454" s="1" t="str">
        <f t="shared" si="21"/>
        <v>ENC-11</v>
      </c>
      <c r="C454" s="1" t="s">
        <v>44</v>
      </c>
      <c r="D454" s="3">
        <v>19066</v>
      </c>
      <c r="E454" s="1" t="s">
        <v>35</v>
      </c>
      <c r="F454" s="1" t="s">
        <v>24</v>
      </c>
      <c r="G454" s="1" t="s">
        <v>1115</v>
      </c>
      <c r="H454" s="1" t="s">
        <v>1116</v>
      </c>
      <c r="I454" s="1" t="s">
        <v>2087</v>
      </c>
      <c r="J454" s="3">
        <v>44721</v>
      </c>
      <c r="K454" s="1" t="s">
        <v>2108</v>
      </c>
      <c r="L454" s="4">
        <f t="shared" si="22"/>
        <v>70</v>
      </c>
      <c r="M454" s="4">
        <f t="shared" si="23"/>
        <v>2022</v>
      </c>
    </row>
    <row r="455" spans="1:13" x14ac:dyDescent="0.25">
      <c r="A455" s="1" t="s">
        <v>537</v>
      </c>
      <c r="B455" s="1" t="str">
        <f t="shared" si="21"/>
        <v>ENC-225</v>
      </c>
      <c r="C455" s="1" t="s">
        <v>278</v>
      </c>
      <c r="D455" s="3">
        <v>22777</v>
      </c>
      <c r="E455" s="1" t="s">
        <v>52</v>
      </c>
      <c r="F455" s="1" t="s">
        <v>20</v>
      </c>
      <c r="G455" s="1" t="s">
        <v>1541</v>
      </c>
      <c r="H455" s="1" t="s">
        <v>1542</v>
      </c>
      <c r="I455" s="1" t="s">
        <v>2096</v>
      </c>
      <c r="J455" s="3">
        <v>44721</v>
      </c>
      <c r="K455" s="1" t="s">
        <v>2104</v>
      </c>
      <c r="L455" s="4">
        <f t="shared" si="22"/>
        <v>60</v>
      </c>
      <c r="M455" s="4">
        <f t="shared" si="23"/>
        <v>2022</v>
      </c>
    </row>
    <row r="456" spans="1:13" x14ac:dyDescent="0.25">
      <c r="A456" s="1" t="s">
        <v>218</v>
      </c>
      <c r="B456" s="1" t="str">
        <f t="shared" si="21"/>
        <v>ENC-79</v>
      </c>
      <c r="C456" s="1" t="s">
        <v>219</v>
      </c>
      <c r="D456" s="3">
        <v>14860</v>
      </c>
      <c r="E456" s="1" t="s">
        <v>35</v>
      </c>
      <c r="F456" s="1" t="s">
        <v>16</v>
      </c>
      <c r="G456" s="1" t="s">
        <v>1250</v>
      </c>
      <c r="H456" s="1" t="s">
        <v>1251</v>
      </c>
      <c r="I456" s="1" t="s">
        <v>2087</v>
      </c>
      <c r="J456" s="3">
        <v>44719</v>
      </c>
      <c r="K456" s="1" t="s">
        <v>2093</v>
      </c>
      <c r="L456" s="4">
        <f t="shared" si="22"/>
        <v>81</v>
      </c>
      <c r="M456" s="4">
        <f t="shared" si="23"/>
        <v>2022</v>
      </c>
    </row>
    <row r="457" spans="1:13" x14ac:dyDescent="0.25">
      <c r="A457" s="1" t="s">
        <v>752</v>
      </c>
      <c r="B457" s="1" t="str">
        <f t="shared" si="21"/>
        <v>ENC-331</v>
      </c>
      <c r="C457" s="1" t="s">
        <v>47</v>
      </c>
      <c r="D457" s="3">
        <v>17498</v>
      </c>
      <c r="E457" s="1" t="s">
        <v>52</v>
      </c>
      <c r="F457" s="1" t="s">
        <v>24</v>
      </c>
      <c r="G457" s="1" t="s">
        <v>1752</v>
      </c>
      <c r="H457" s="1" t="s">
        <v>1753</v>
      </c>
      <c r="I457" s="1" t="s">
        <v>2096</v>
      </c>
      <c r="J457" s="3">
        <v>44718</v>
      </c>
      <c r="K457" s="1" t="s">
        <v>2104</v>
      </c>
      <c r="L457" s="4">
        <f t="shared" si="22"/>
        <v>74</v>
      </c>
      <c r="M457" s="4">
        <f t="shared" si="23"/>
        <v>2022</v>
      </c>
    </row>
    <row r="458" spans="1:13" x14ac:dyDescent="0.25">
      <c r="A458" s="1" t="s">
        <v>762</v>
      </c>
      <c r="B458" s="1" t="str">
        <f t="shared" si="21"/>
        <v>ENC-336</v>
      </c>
      <c r="C458" s="1" t="s">
        <v>102</v>
      </c>
      <c r="D458" s="3">
        <v>18643</v>
      </c>
      <c r="E458" s="1" t="s">
        <v>8</v>
      </c>
      <c r="F458" s="1" t="s">
        <v>20</v>
      </c>
      <c r="G458" s="1" t="s">
        <v>1762</v>
      </c>
      <c r="H458" s="1" t="s">
        <v>1763</v>
      </c>
      <c r="I458" s="1" t="s">
        <v>2087</v>
      </c>
      <c r="J458" s="3">
        <v>44717</v>
      </c>
      <c r="K458" s="1" t="s">
        <v>2104</v>
      </c>
      <c r="L458" s="4">
        <f t="shared" si="22"/>
        <v>71</v>
      </c>
      <c r="M458" s="4">
        <f t="shared" si="23"/>
        <v>2022</v>
      </c>
    </row>
    <row r="459" spans="1:13" x14ac:dyDescent="0.25">
      <c r="A459" s="1" t="s">
        <v>889</v>
      </c>
      <c r="B459" s="1" t="str">
        <f t="shared" si="21"/>
        <v>ENC-399</v>
      </c>
      <c r="C459" s="1" t="s">
        <v>399</v>
      </c>
      <c r="D459" s="3">
        <v>22774</v>
      </c>
      <c r="E459" s="1" t="s">
        <v>35</v>
      </c>
      <c r="F459" s="1" t="s">
        <v>56</v>
      </c>
      <c r="G459" s="1" t="s">
        <v>1886</v>
      </c>
      <c r="H459" s="1" t="s">
        <v>1887</v>
      </c>
      <c r="I459" s="1" t="s">
        <v>2096</v>
      </c>
      <c r="J459" s="3">
        <v>44717</v>
      </c>
      <c r="K459" s="1" t="s">
        <v>2108</v>
      </c>
      <c r="L459" s="4">
        <f t="shared" si="22"/>
        <v>60</v>
      </c>
      <c r="M459" s="4">
        <f t="shared" si="23"/>
        <v>2022</v>
      </c>
    </row>
    <row r="460" spans="1:13" x14ac:dyDescent="0.25">
      <c r="A460" s="1" t="s">
        <v>363</v>
      </c>
      <c r="B460" s="1" t="str">
        <f t="shared" si="21"/>
        <v>ENC-143</v>
      </c>
      <c r="C460" s="1" t="s">
        <v>364</v>
      </c>
      <c r="D460" s="3">
        <v>32746</v>
      </c>
      <c r="E460" s="1" t="s">
        <v>35</v>
      </c>
      <c r="F460" s="1" t="s">
        <v>9</v>
      </c>
      <c r="G460" s="1" t="s">
        <v>1377</v>
      </c>
      <c r="H460" s="1" t="s">
        <v>1378</v>
      </c>
      <c r="I460" s="1" t="s">
        <v>2087</v>
      </c>
      <c r="J460" s="3">
        <v>44716</v>
      </c>
      <c r="K460" s="1" t="s">
        <v>2093</v>
      </c>
      <c r="L460" s="4">
        <f t="shared" si="22"/>
        <v>32</v>
      </c>
      <c r="M460" s="4">
        <f t="shared" si="23"/>
        <v>2022</v>
      </c>
    </row>
    <row r="461" spans="1:13" x14ac:dyDescent="0.25">
      <c r="A461" s="1" t="s">
        <v>1041</v>
      </c>
      <c r="B461" s="1" t="str">
        <f t="shared" si="21"/>
        <v>ENC-475</v>
      </c>
      <c r="C461" s="1" t="s">
        <v>149</v>
      </c>
      <c r="D461" s="3">
        <v>26710</v>
      </c>
      <c r="E461" s="1" t="s">
        <v>8</v>
      </c>
      <c r="F461" s="1" t="s">
        <v>56</v>
      </c>
      <c r="G461" s="1" t="s">
        <v>2031</v>
      </c>
      <c r="H461" s="1" t="s">
        <v>2032</v>
      </c>
      <c r="I461" s="1" t="s">
        <v>2096</v>
      </c>
      <c r="J461" s="3">
        <v>44715</v>
      </c>
      <c r="K461" s="1" t="s">
        <v>2089</v>
      </c>
      <c r="L461" s="4">
        <f t="shared" si="22"/>
        <v>49</v>
      </c>
      <c r="M461" s="4">
        <f t="shared" si="23"/>
        <v>2022</v>
      </c>
    </row>
    <row r="462" spans="1:13" x14ac:dyDescent="0.25">
      <c r="A462" s="1" t="s">
        <v>533</v>
      </c>
      <c r="B462" s="1" t="str">
        <f t="shared" si="21"/>
        <v>ENC-223</v>
      </c>
      <c r="C462" s="1" t="s">
        <v>396</v>
      </c>
      <c r="D462" s="3">
        <v>28161</v>
      </c>
      <c r="E462" s="1" t="s">
        <v>8</v>
      </c>
      <c r="F462" s="1" t="s">
        <v>28</v>
      </c>
      <c r="G462" s="1" t="s">
        <v>1537</v>
      </c>
      <c r="H462" s="1" t="s">
        <v>1538</v>
      </c>
      <c r="I462" s="1" t="s">
        <v>2096</v>
      </c>
      <c r="J462" s="3">
        <v>44711</v>
      </c>
      <c r="K462" s="1" t="s">
        <v>2104</v>
      </c>
      <c r="L462" s="4">
        <f t="shared" si="22"/>
        <v>45</v>
      </c>
      <c r="M462" s="4">
        <f t="shared" si="23"/>
        <v>2022</v>
      </c>
    </row>
    <row r="463" spans="1:13" x14ac:dyDescent="0.25">
      <c r="A463" s="1" t="s">
        <v>391</v>
      </c>
      <c r="B463" s="1" t="str">
        <f t="shared" si="21"/>
        <v>ENC-156</v>
      </c>
      <c r="C463" s="1" t="s">
        <v>54</v>
      </c>
      <c r="D463" s="3">
        <v>26030</v>
      </c>
      <c r="E463" s="1" t="s">
        <v>52</v>
      </c>
      <c r="F463" s="1" t="s">
        <v>20</v>
      </c>
      <c r="G463" s="1" t="s">
        <v>1403</v>
      </c>
      <c r="H463" s="1" t="s">
        <v>1404</v>
      </c>
      <c r="I463" s="1" t="s">
        <v>2096</v>
      </c>
      <c r="J463" s="3">
        <v>44708</v>
      </c>
      <c r="K463" s="1" t="s">
        <v>2093</v>
      </c>
      <c r="L463" s="4">
        <f t="shared" si="22"/>
        <v>51</v>
      </c>
      <c r="M463" s="4">
        <f t="shared" si="23"/>
        <v>2022</v>
      </c>
    </row>
    <row r="464" spans="1:13" x14ac:dyDescent="0.25">
      <c r="A464" s="1" t="s">
        <v>668</v>
      </c>
      <c r="B464" s="1" t="str">
        <f t="shared" si="21"/>
        <v>ENC-289</v>
      </c>
      <c r="C464" s="1" t="s">
        <v>87</v>
      </c>
      <c r="D464" s="3">
        <v>19365</v>
      </c>
      <c r="E464" s="1" t="s">
        <v>35</v>
      </c>
      <c r="F464" s="1" t="s">
        <v>42</v>
      </c>
      <c r="G464" s="1" t="s">
        <v>1668</v>
      </c>
      <c r="H464" s="1" t="s">
        <v>1669</v>
      </c>
      <c r="I464" s="1" t="s">
        <v>2096</v>
      </c>
      <c r="J464" s="3">
        <v>44706</v>
      </c>
      <c r="K464" s="1" t="s">
        <v>2104</v>
      </c>
      <c r="L464" s="4">
        <f t="shared" si="22"/>
        <v>69</v>
      </c>
      <c r="M464" s="4">
        <f t="shared" si="23"/>
        <v>2022</v>
      </c>
    </row>
    <row r="465" spans="1:13" x14ac:dyDescent="0.25">
      <c r="A465" s="1" t="s">
        <v>883</v>
      </c>
      <c r="B465" s="1" t="str">
        <f t="shared" si="21"/>
        <v>ENC-396</v>
      </c>
      <c r="C465" s="1" t="s">
        <v>93</v>
      </c>
      <c r="D465" s="3">
        <v>18632</v>
      </c>
      <c r="E465" s="1" t="s">
        <v>52</v>
      </c>
      <c r="F465" s="1" t="s">
        <v>16</v>
      </c>
      <c r="G465" s="1" t="s">
        <v>1881</v>
      </c>
      <c r="H465" s="1" t="s">
        <v>1882</v>
      </c>
      <c r="I465" s="1" t="s">
        <v>2096</v>
      </c>
      <c r="J465" s="3">
        <v>44704</v>
      </c>
      <c r="K465" s="1" t="s">
        <v>2104</v>
      </c>
      <c r="L465" s="4">
        <f t="shared" si="22"/>
        <v>71</v>
      </c>
      <c r="M465" s="4">
        <f t="shared" si="23"/>
        <v>2022</v>
      </c>
    </row>
    <row r="466" spans="1:13" x14ac:dyDescent="0.25">
      <c r="A466" s="1" t="s">
        <v>796</v>
      </c>
      <c r="B466" s="1" t="str">
        <f t="shared" si="21"/>
        <v>ENC-353</v>
      </c>
      <c r="C466" s="1" t="s">
        <v>251</v>
      </c>
      <c r="D466" s="3">
        <v>36727</v>
      </c>
      <c r="E466" s="1" t="s">
        <v>8</v>
      </c>
      <c r="F466" s="1" t="s">
        <v>9</v>
      </c>
      <c r="G466" s="1" t="s">
        <v>1796</v>
      </c>
      <c r="H466" s="1" t="s">
        <v>1797</v>
      </c>
      <c r="I466" s="1" t="s">
        <v>2087</v>
      </c>
      <c r="J466" s="3">
        <v>44692</v>
      </c>
      <c r="K466" s="1" t="s">
        <v>2093</v>
      </c>
      <c r="L466" s="4">
        <f t="shared" si="22"/>
        <v>21</v>
      </c>
      <c r="M466" s="4">
        <f t="shared" si="23"/>
        <v>2022</v>
      </c>
    </row>
    <row r="467" spans="1:13" x14ac:dyDescent="0.25">
      <c r="A467" s="1" t="s">
        <v>167</v>
      </c>
      <c r="B467" s="1" t="str">
        <f t="shared" si="21"/>
        <v>ENC-57</v>
      </c>
      <c r="C467" s="1" t="s">
        <v>26</v>
      </c>
      <c r="D467" s="3">
        <v>23565</v>
      </c>
      <c r="E467" s="1" t="s">
        <v>35</v>
      </c>
      <c r="F467" s="1" t="s">
        <v>20</v>
      </c>
      <c r="G467" s="1" t="s">
        <v>1206</v>
      </c>
      <c r="H467" s="1" t="s">
        <v>1207</v>
      </c>
      <c r="I467" s="1" t="s">
        <v>2087</v>
      </c>
      <c r="J467" s="3">
        <v>44681</v>
      </c>
      <c r="K467" s="1" t="s">
        <v>2089</v>
      </c>
      <c r="L467" s="4">
        <f t="shared" si="22"/>
        <v>57</v>
      </c>
      <c r="M467" s="4">
        <f t="shared" si="23"/>
        <v>2022</v>
      </c>
    </row>
    <row r="468" spans="1:13" x14ac:dyDescent="0.25">
      <c r="A468" s="1" t="s">
        <v>366</v>
      </c>
      <c r="B468" s="1" t="str">
        <f t="shared" si="21"/>
        <v>ENC-144</v>
      </c>
      <c r="C468" s="1" t="s">
        <v>224</v>
      </c>
      <c r="D468" s="3">
        <v>28929</v>
      </c>
      <c r="E468" s="1" t="s">
        <v>8</v>
      </c>
      <c r="F468" s="1" t="s">
        <v>9</v>
      </c>
      <c r="G468" s="1" t="s">
        <v>1379</v>
      </c>
      <c r="H468" s="1" t="s">
        <v>1380</v>
      </c>
      <c r="I468" s="1" t="s">
        <v>2087</v>
      </c>
      <c r="J468" s="3">
        <v>44681</v>
      </c>
      <c r="K468" s="1" t="s">
        <v>2093</v>
      </c>
      <c r="L468" s="4">
        <f t="shared" si="22"/>
        <v>43</v>
      </c>
      <c r="M468" s="4">
        <f t="shared" si="23"/>
        <v>2022</v>
      </c>
    </row>
    <row r="469" spans="1:13" x14ac:dyDescent="0.25">
      <c r="A469" s="1" t="s">
        <v>607</v>
      </c>
      <c r="B469" s="1" t="str">
        <f t="shared" si="21"/>
        <v>ENC-259</v>
      </c>
      <c r="C469" s="1" t="s">
        <v>608</v>
      </c>
      <c r="D469" s="3">
        <v>19885</v>
      </c>
      <c r="E469" s="1" t="s">
        <v>8</v>
      </c>
      <c r="F469" s="1" t="s">
        <v>20</v>
      </c>
      <c r="G469" s="1" t="s">
        <v>1608</v>
      </c>
      <c r="H469" s="1" t="s">
        <v>1609</v>
      </c>
      <c r="I469" s="1" t="s">
        <v>2087</v>
      </c>
      <c r="J469" s="3">
        <v>44679</v>
      </c>
      <c r="K469" s="1" t="s">
        <v>2093</v>
      </c>
      <c r="L469" s="4">
        <f t="shared" si="22"/>
        <v>67</v>
      </c>
      <c r="M469" s="4">
        <f t="shared" si="23"/>
        <v>2022</v>
      </c>
    </row>
    <row r="470" spans="1:13" x14ac:dyDescent="0.25">
      <c r="A470" s="1" t="s">
        <v>426</v>
      </c>
      <c r="B470" s="1" t="str">
        <f t="shared" si="21"/>
        <v>ENC-172</v>
      </c>
      <c r="C470" s="1" t="s">
        <v>359</v>
      </c>
      <c r="D470" s="3">
        <v>28068</v>
      </c>
      <c r="E470" s="1" t="s">
        <v>52</v>
      </c>
      <c r="F470" s="1" t="s">
        <v>42</v>
      </c>
      <c r="G470" s="1" t="s">
        <v>1435</v>
      </c>
      <c r="H470" s="1" t="s">
        <v>1436</v>
      </c>
      <c r="I470" s="1" t="s">
        <v>2087</v>
      </c>
      <c r="J470" s="3">
        <v>44666</v>
      </c>
      <c r="K470" s="1" t="s">
        <v>2089</v>
      </c>
      <c r="L470" s="4">
        <f t="shared" si="22"/>
        <v>45</v>
      </c>
      <c r="M470" s="4">
        <f t="shared" si="23"/>
        <v>2022</v>
      </c>
    </row>
    <row r="471" spans="1:13" x14ac:dyDescent="0.25">
      <c r="A471" s="1" t="s">
        <v>231</v>
      </c>
      <c r="B471" s="1" t="str">
        <f t="shared" si="21"/>
        <v>ENC-84</v>
      </c>
      <c r="C471" s="1" t="s">
        <v>70</v>
      </c>
      <c r="D471" s="3">
        <v>22695</v>
      </c>
      <c r="E471" s="1" t="s">
        <v>8</v>
      </c>
      <c r="F471" s="1" t="s">
        <v>42</v>
      </c>
      <c r="G471" s="1" t="s">
        <v>1260</v>
      </c>
      <c r="H471" s="1" t="s">
        <v>1261</v>
      </c>
      <c r="I471" s="1" t="s">
        <v>2096</v>
      </c>
      <c r="J471" s="3">
        <v>44665</v>
      </c>
      <c r="K471" s="1" t="s">
        <v>2089</v>
      </c>
      <c r="L471" s="4">
        <f t="shared" si="22"/>
        <v>60</v>
      </c>
      <c r="M471" s="4">
        <f t="shared" si="23"/>
        <v>2022</v>
      </c>
    </row>
    <row r="472" spans="1:13" x14ac:dyDescent="0.25">
      <c r="A472" s="1" t="s">
        <v>1085</v>
      </c>
      <c r="B472" s="1" t="str">
        <f t="shared" si="21"/>
        <v>ENC-497</v>
      </c>
      <c r="C472" s="1" t="s">
        <v>11</v>
      </c>
      <c r="D472" s="3">
        <v>17857</v>
      </c>
      <c r="E472" s="1" t="s">
        <v>35</v>
      </c>
      <c r="F472" s="1" t="s">
        <v>42</v>
      </c>
      <c r="G472" s="1" t="s">
        <v>1471</v>
      </c>
      <c r="H472" s="1" t="s">
        <v>2073</v>
      </c>
      <c r="I472" s="1" t="s">
        <v>2087</v>
      </c>
      <c r="J472" s="3">
        <v>44665</v>
      </c>
      <c r="K472" s="1" t="s">
        <v>2089</v>
      </c>
      <c r="L472" s="4">
        <f t="shared" si="22"/>
        <v>73</v>
      </c>
      <c r="M472" s="4">
        <f t="shared" si="23"/>
        <v>2022</v>
      </c>
    </row>
    <row r="473" spans="1:13" x14ac:dyDescent="0.25">
      <c r="A473" s="1" t="s">
        <v>680</v>
      </c>
      <c r="B473" s="1" t="str">
        <f t="shared" si="21"/>
        <v>ENC-295</v>
      </c>
      <c r="C473" s="1" t="s">
        <v>173</v>
      </c>
      <c r="D473" s="3">
        <v>23729</v>
      </c>
      <c r="E473" s="1" t="s">
        <v>8</v>
      </c>
      <c r="F473" s="1" t="s">
        <v>56</v>
      </c>
      <c r="G473" s="1" t="s">
        <v>1680</v>
      </c>
      <c r="H473" s="1" t="s">
        <v>1681</v>
      </c>
      <c r="I473" s="1" t="s">
        <v>2096</v>
      </c>
      <c r="J473" s="3">
        <v>44663</v>
      </c>
      <c r="K473" s="1" t="s">
        <v>2104</v>
      </c>
      <c r="L473" s="4">
        <f t="shared" si="22"/>
        <v>57</v>
      </c>
      <c r="M473" s="4">
        <f t="shared" si="23"/>
        <v>2022</v>
      </c>
    </row>
    <row r="474" spans="1:13" x14ac:dyDescent="0.25">
      <c r="A474" s="1" t="s">
        <v>332</v>
      </c>
      <c r="B474" s="1" t="str">
        <f t="shared" si="21"/>
        <v>ENC-129</v>
      </c>
      <c r="C474" s="1" t="s">
        <v>144</v>
      </c>
      <c r="D474" s="3">
        <v>39213</v>
      </c>
      <c r="E474" s="1" t="s">
        <v>8</v>
      </c>
      <c r="F474" s="1" t="s">
        <v>56</v>
      </c>
      <c r="G474" s="1" t="s">
        <v>1349</v>
      </c>
      <c r="H474" s="1" t="s">
        <v>1350</v>
      </c>
      <c r="I474" s="1" t="s">
        <v>2087</v>
      </c>
      <c r="J474" s="3">
        <v>44656</v>
      </c>
      <c r="K474" s="1" t="s">
        <v>2108</v>
      </c>
      <c r="L474" s="4">
        <f t="shared" si="22"/>
        <v>14</v>
      </c>
      <c r="M474" s="4">
        <f t="shared" si="23"/>
        <v>2022</v>
      </c>
    </row>
    <row r="475" spans="1:13" x14ac:dyDescent="0.25">
      <c r="A475" s="1" t="s">
        <v>776</v>
      </c>
      <c r="B475" s="1" t="str">
        <f t="shared" si="21"/>
        <v>ENC-343</v>
      </c>
      <c r="C475" s="1" t="s">
        <v>216</v>
      </c>
      <c r="D475" s="3">
        <v>25094</v>
      </c>
      <c r="E475" s="1" t="s">
        <v>8</v>
      </c>
      <c r="F475" s="1" t="s">
        <v>56</v>
      </c>
      <c r="G475" s="1" t="s">
        <v>1776</v>
      </c>
      <c r="H475" s="1" t="s">
        <v>1777</v>
      </c>
      <c r="I475" s="1" t="s">
        <v>2096</v>
      </c>
      <c r="J475" s="3">
        <v>44654</v>
      </c>
      <c r="K475" s="1" t="s">
        <v>2108</v>
      </c>
      <c r="L475" s="4">
        <f t="shared" si="22"/>
        <v>53</v>
      </c>
      <c r="M475" s="4">
        <f t="shared" si="23"/>
        <v>2022</v>
      </c>
    </row>
    <row r="476" spans="1:13" x14ac:dyDescent="0.25">
      <c r="A476" s="1" t="s">
        <v>788</v>
      </c>
      <c r="B476" s="1" t="str">
        <f t="shared" si="21"/>
        <v>ENC-349</v>
      </c>
      <c r="C476" s="1" t="s">
        <v>297</v>
      </c>
      <c r="D476" s="3">
        <v>39238</v>
      </c>
      <c r="E476" s="1" t="s">
        <v>8</v>
      </c>
      <c r="F476" s="1" t="s">
        <v>16</v>
      </c>
      <c r="G476" s="1" t="s">
        <v>1788</v>
      </c>
      <c r="H476" s="1" t="s">
        <v>1789</v>
      </c>
      <c r="I476" s="1" t="s">
        <v>2096</v>
      </c>
      <c r="J476" s="3">
        <v>44654</v>
      </c>
      <c r="K476" s="1" t="s">
        <v>2108</v>
      </c>
      <c r="L476" s="4">
        <f t="shared" si="22"/>
        <v>14</v>
      </c>
      <c r="M476" s="4">
        <f t="shared" si="23"/>
        <v>2022</v>
      </c>
    </row>
    <row r="477" spans="1:13" x14ac:dyDescent="0.25">
      <c r="A477" s="1" t="s">
        <v>780</v>
      </c>
      <c r="B477" s="1" t="str">
        <f t="shared" si="21"/>
        <v>ENC-345</v>
      </c>
      <c r="C477" s="1" t="s">
        <v>387</v>
      </c>
      <c r="D477" s="3">
        <v>18109</v>
      </c>
      <c r="E477" s="1" t="s">
        <v>52</v>
      </c>
      <c r="F477" s="1" t="s">
        <v>42</v>
      </c>
      <c r="G477" s="1" t="s">
        <v>1780</v>
      </c>
      <c r="H477" s="1" t="s">
        <v>1781</v>
      </c>
      <c r="I477" s="1" t="s">
        <v>2096</v>
      </c>
      <c r="J477" s="3">
        <v>44651</v>
      </c>
      <c r="K477" s="1" t="s">
        <v>2104</v>
      </c>
      <c r="L477" s="4">
        <f t="shared" si="22"/>
        <v>72</v>
      </c>
      <c r="M477" s="4">
        <f t="shared" si="23"/>
        <v>2022</v>
      </c>
    </row>
    <row r="478" spans="1:13" x14ac:dyDescent="0.25">
      <c r="A478" s="1" t="s">
        <v>1043</v>
      </c>
      <c r="B478" s="1" t="str">
        <f t="shared" si="21"/>
        <v>ENC-476</v>
      </c>
      <c r="C478" s="1" t="s">
        <v>124</v>
      </c>
      <c r="D478" s="3">
        <v>28066</v>
      </c>
      <c r="E478" s="1" t="s">
        <v>35</v>
      </c>
      <c r="F478" s="1" t="s">
        <v>28</v>
      </c>
      <c r="G478" s="1" t="s">
        <v>2033</v>
      </c>
      <c r="H478" s="1" t="s">
        <v>2034</v>
      </c>
      <c r="I478" s="1" t="s">
        <v>2096</v>
      </c>
      <c r="J478" s="3">
        <v>44647</v>
      </c>
      <c r="K478" s="1" t="s">
        <v>2093</v>
      </c>
      <c r="L478" s="4">
        <f t="shared" si="22"/>
        <v>45</v>
      </c>
      <c r="M478" s="4">
        <f t="shared" si="23"/>
        <v>2022</v>
      </c>
    </row>
    <row r="479" spans="1:13" x14ac:dyDescent="0.25">
      <c r="A479" s="1" t="s">
        <v>215</v>
      </c>
      <c r="B479" s="1" t="str">
        <f t="shared" si="21"/>
        <v>ENC-78</v>
      </c>
      <c r="C479" s="1" t="s">
        <v>216</v>
      </c>
      <c r="D479" s="3">
        <v>35479</v>
      </c>
      <c r="E479" s="1" t="s">
        <v>35</v>
      </c>
      <c r="F479" s="1" t="s">
        <v>13</v>
      </c>
      <c r="G479" s="1" t="s">
        <v>1248</v>
      </c>
      <c r="H479" s="1" t="s">
        <v>1249</v>
      </c>
      <c r="I479" s="1" t="s">
        <v>2096</v>
      </c>
      <c r="J479" s="3">
        <v>44646</v>
      </c>
      <c r="K479" s="1" t="s">
        <v>2104</v>
      </c>
      <c r="L479" s="4">
        <f t="shared" si="22"/>
        <v>25</v>
      </c>
      <c r="M479" s="4">
        <f t="shared" si="23"/>
        <v>2022</v>
      </c>
    </row>
    <row r="480" spans="1:13" x14ac:dyDescent="0.25">
      <c r="A480" s="1" t="s">
        <v>253</v>
      </c>
      <c r="B480" s="1" t="str">
        <f t="shared" si="21"/>
        <v>ENC-93</v>
      </c>
      <c r="C480" s="1" t="s">
        <v>124</v>
      </c>
      <c r="D480" s="3">
        <v>20258</v>
      </c>
      <c r="E480" s="1" t="s">
        <v>8</v>
      </c>
      <c r="F480" s="1" t="s">
        <v>28</v>
      </c>
      <c r="G480" s="1" t="s">
        <v>1278</v>
      </c>
      <c r="H480" s="1" t="s">
        <v>1279</v>
      </c>
      <c r="I480" s="1" t="s">
        <v>2096</v>
      </c>
      <c r="J480" s="3">
        <v>44643</v>
      </c>
      <c r="K480" s="1" t="s">
        <v>2104</v>
      </c>
      <c r="L480" s="4">
        <f t="shared" si="22"/>
        <v>66</v>
      </c>
      <c r="M480" s="4">
        <f t="shared" si="23"/>
        <v>2022</v>
      </c>
    </row>
    <row r="481" spans="1:13" x14ac:dyDescent="0.25">
      <c r="A481" s="1" t="s">
        <v>841</v>
      </c>
      <c r="B481" s="1" t="str">
        <f t="shared" si="21"/>
        <v>ENC-375</v>
      </c>
      <c r="C481" s="1" t="s">
        <v>198</v>
      </c>
      <c r="D481" s="3">
        <v>18910</v>
      </c>
      <c r="E481" s="1" t="s">
        <v>35</v>
      </c>
      <c r="F481" s="1" t="s">
        <v>28</v>
      </c>
      <c r="G481" s="1" t="s">
        <v>1839</v>
      </c>
      <c r="H481" s="1" t="s">
        <v>1840</v>
      </c>
      <c r="I481" s="1" t="s">
        <v>2096</v>
      </c>
      <c r="J481" s="3">
        <v>44643</v>
      </c>
      <c r="K481" s="1" t="s">
        <v>2104</v>
      </c>
      <c r="L481" s="4">
        <f t="shared" si="22"/>
        <v>70</v>
      </c>
      <c r="M481" s="4">
        <f t="shared" si="23"/>
        <v>2022</v>
      </c>
    </row>
    <row r="482" spans="1:13" x14ac:dyDescent="0.25">
      <c r="A482" s="1" t="s">
        <v>476</v>
      </c>
      <c r="B482" s="1" t="str">
        <f t="shared" si="21"/>
        <v>ENC-196</v>
      </c>
      <c r="C482" s="1" t="s">
        <v>124</v>
      </c>
      <c r="D482" s="3">
        <v>36992</v>
      </c>
      <c r="E482" s="1" t="s">
        <v>52</v>
      </c>
      <c r="F482" s="1" t="s">
        <v>16</v>
      </c>
      <c r="G482" s="1" t="s">
        <v>1483</v>
      </c>
      <c r="H482" s="1" t="s">
        <v>1484</v>
      </c>
      <c r="I482" s="1" t="s">
        <v>2096</v>
      </c>
      <c r="J482" s="3">
        <v>44636</v>
      </c>
      <c r="K482" s="1" t="s">
        <v>2093</v>
      </c>
      <c r="L482" s="4">
        <f t="shared" si="22"/>
        <v>20</v>
      </c>
      <c r="M482" s="4">
        <f t="shared" si="23"/>
        <v>2022</v>
      </c>
    </row>
    <row r="483" spans="1:13" x14ac:dyDescent="0.25">
      <c r="A483" s="1" t="s">
        <v>39</v>
      </c>
      <c r="B483" s="1" t="str">
        <f t="shared" si="21"/>
        <v>ENC-10</v>
      </c>
      <c r="C483" s="1" t="s">
        <v>40</v>
      </c>
      <c r="D483" s="3">
        <v>25660</v>
      </c>
      <c r="E483" s="1" t="s">
        <v>35</v>
      </c>
      <c r="F483" s="1" t="s">
        <v>42</v>
      </c>
      <c r="G483" s="1" t="s">
        <v>1113</v>
      </c>
      <c r="H483" s="1" t="s">
        <v>1114</v>
      </c>
      <c r="I483" s="1" t="s">
        <v>2096</v>
      </c>
      <c r="J483" s="3">
        <v>44635</v>
      </c>
      <c r="K483" s="1" t="s">
        <v>2104</v>
      </c>
      <c r="L483" s="4">
        <f t="shared" si="22"/>
        <v>51</v>
      </c>
      <c r="M483" s="4">
        <f t="shared" si="23"/>
        <v>2022</v>
      </c>
    </row>
    <row r="484" spans="1:13" x14ac:dyDescent="0.25">
      <c r="A484" s="1" t="s">
        <v>547</v>
      </c>
      <c r="B484" s="1" t="str">
        <f t="shared" si="21"/>
        <v>ENC-230</v>
      </c>
      <c r="C484" s="1" t="s">
        <v>435</v>
      </c>
      <c r="D484" s="3">
        <v>27649</v>
      </c>
      <c r="E484" s="1" t="s">
        <v>8</v>
      </c>
      <c r="F484" s="1" t="s">
        <v>20</v>
      </c>
      <c r="G484" s="1" t="s">
        <v>1551</v>
      </c>
      <c r="H484" s="1" t="s">
        <v>1552</v>
      </c>
      <c r="I484" s="1" t="s">
        <v>2096</v>
      </c>
      <c r="J484" s="3">
        <v>44632</v>
      </c>
      <c r="K484" s="1" t="s">
        <v>2093</v>
      </c>
      <c r="L484" s="4">
        <f t="shared" si="22"/>
        <v>46</v>
      </c>
      <c r="M484" s="4">
        <f t="shared" si="23"/>
        <v>2022</v>
      </c>
    </row>
    <row r="485" spans="1:13" x14ac:dyDescent="0.25">
      <c r="A485" s="1" t="s">
        <v>128</v>
      </c>
      <c r="B485" s="1" t="str">
        <f t="shared" si="21"/>
        <v>ENC-42</v>
      </c>
      <c r="C485" s="1" t="s">
        <v>129</v>
      </c>
      <c r="D485" s="3">
        <v>18891</v>
      </c>
      <c r="E485" s="1" t="s">
        <v>35</v>
      </c>
      <c r="F485" s="1" t="s">
        <v>42</v>
      </c>
      <c r="G485" s="1" t="s">
        <v>1176</v>
      </c>
      <c r="H485" s="1" t="s">
        <v>1177</v>
      </c>
      <c r="I485" s="1" t="s">
        <v>2096</v>
      </c>
      <c r="J485" s="3">
        <v>44625</v>
      </c>
      <c r="K485" s="1" t="s">
        <v>2104</v>
      </c>
      <c r="L485" s="4">
        <f t="shared" si="22"/>
        <v>70</v>
      </c>
      <c r="M485" s="4">
        <f t="shared" si="23"/>
        <v>2022</v>
      </c>
    </row>
    <row r="486" spans="1:13" x14ac:dyDescent="0.25">
      <c r="A486" s="1" t="s">
        <v>605</v>
      </c>
      <c r="B486" s="1" t="str">
        <f t="shared" si="21"/>
        <v>ENC-258</v>
      </c>
      <c r="C486" s="1" t="s">
        <v>189</v>
      </c>
      <c r="D486" s="3">
        <v>27894</v>
      </c>
      <c r="E486" s="1" t="s">
        <v>8</v>
      </c>
      <c r="F486" s="1" t="s">
        <v>13</v>
      </c>
      <c r="G486" s="1" t="s">
        <v>1606</v>
      </c>
      <c r="H486" s="1" t="s">
        <v>1607</v>
      </c>
      <c r="I486" s="1" t="s">
        <v>2096</v>
      </c>
      <c r="J486" s="3">
        <v>44622</v>
      </c>
      <c r="K486" s="1" t="s">
        <v>2089</v>
      </c>
      <c r="L486" s="4">
        <f t="shared" si="22"/>
        <v>45</v>
      </c>
      <c r="M486" s="4">
        <f t="shared" si="23"/>
        <v>2022</v>
      </c>
    </row>
    <row r="487" spans="1:13" x14ac:dyDescent="0.25">
      <c r="A487" s="1" t="s">
        <v>638</v>
      </c>
      <c r="B487" s="1" t="str">
        <f t="shared" si="21"/>
        <v>ENC-274</v>
      </c>
      <c r="C487" s="1" t="s">
        <v>216</v>
      </c>
      <c r="D487" s="3">
        <v>39809</v>
      </c>
      <c r="E487" s="1" t="s">
        <v>35</v>
      </c>
      <c r="F487" s="1" t="s">
        <v>56</v>
      </c>
      <c r="G487" s="1" t="s">
        <v>1638</v>
      </c>
      <c r="H487" s="1" t="s">
        <v>1639</v>
      </c>
      <c r="I487" s="1" t="s">
        <v>2087</v>
      </c>
      <c r="J487" s="3">
        <v>44619</v>
      </c>
      <c r="K487" s="1" t="s">
        <v>2108</v>
      </c>
      <c r="L487" s="4">
        <f t="shared" si="22"/>
        <v>13</v>
      </c>
      <c r="M487" s="4">
        <f t="shared" si="23"/>
        <v>2022</v>
      </c>
    </row>
    <row r="488" spans="1:13" x14ac:dyDescent="0.25">
      <c r="A488" s="1" t="s">
        <v>1011</v>
      </c>
      <c r="B488" s="1" t="str">
        <f t="shared" si="21"/>
        <v>ENC-460</v>
      </c>
      <c r="C488" s="1" t="s">
        <v>18</v>
      </c>
      <c r="D488" s="3">
        <v>20939</v>
      </c>
      <c r="E488" s="1" t="s">
        <v>8</v>
      </c>
      <c r="F488" s="1" t="s">
        <v>9</v>
      </c>
      <c r="G488" s="1" t="s">
        <v>2005</v>
      </c>
      <c r="H488" s="1" t="s">
        <v>2006</v>
      </c>
      <c r="I488" s="1" t="s">
        <v>2096</v>
      </c>
      <c r="J488" s="3">
        <v>44615</v>
      </c>
      <c r="K488" s="1" t="s">
        <v>2108</v>
      </c>
      <c r="L488" s="4">
        <f t="shared" si="22"/>
        <v>64</v>
      </c>
      <c r="M488" s="4">
        <f t="shared" si="23"/>
        <v>2022</v>
      </c>
    </row>
    <row r="489" spans="1:13" x14ac:dyDescent="0.25">
      <c r="A489" s="1" t="s">
        <v>865</v>
      </c>
      <c r="B489" s="1" t="str">
        <f t="shared" si="21"/>
        <v>ENC-387</v>
      </c>
      <c r="C489" s="1" t="s">
        <v>155</v>
      </c>
      <c r="D489" s="3">
        <v>26410</v>
      </c>
      <c r="E489" s="1" t="s">
        <v>52</v>
      </c>
      <c r="F489" s="1" t="s">
        <v>28</v>
      </c>
      <c r="G489" s="1" t="s">
        <v>1863</v>
      </c>
      <c r="H489" s="1" t="s">
        <v>1864</v>
      </c>
      <c r="I489" s="1" t="s">
        <v>2087</v>
      </c>
      <c r="J489" s="3">
        <v>44613</v>
      </c>
      <c r="K489" s="1" t="s">
        <v>2104</v>
      </c>
      <c r="L489" s="4">
        <f t="shared" si="22"/>
        <v>49</v>
      </c>
      <c r="M489" s="4">
        <f t="shared" si="23"/>
        <v>2022</v>
      </c>
    </row>
    <row r="490" spans="1:13" x14ac:dyDescent="0.25">
      <c r="A490" s="1" t="s">
        <v>229</v>
      </c>
      <c r="B490" s="1" t="str">
        <f t="shared" si="21"/>
        <v>ENC-83</v>
      </c>
      <c r="C490" s="1" t="s">
        <v>11</v>
      </c>
      <c r="D490" s="3">
        <v>25216</v>
      </c>
      <c r="E490" s="1" t="s">
        <v>8</v>
      </c>
      <c r="F490" s="1" t="s">
        <v>56</v>
      </c>
      <c r="G490" s="1" t="s">
        <v>1258</v>
      </c>
      <c r="H490" s="1" t="s">
        <v>1259</v>
      </c>
      <c r="I490" s="1" t="s">
        <v>2096</v>
      </c>
      <c r="J490" s="3">
        <v>44612</v>
      </c>
      <c r="K490" s="1" t="s">
        <v>2093</v>
      </c>
      <c r="L490" s="4">
        <f t="shared" si="22"/>
        <v>53</v>
      </c>
      <c r="M490" s="4">
        <f t="shared" si="23"/>
        <v>2022</v>
      </c>
    </row>
    <row r="491" spans="1:13" x14ac:dyDescent="0.25">
      <c r="A491" s="1" t="s">
        <v>893</v>
      </c>
      <c r="B491" s="1" t="str">
        <f t="shared" si="21"/>
        <v>ENC-401</v>
      </c>
      <c r="C491" s="1" t="s">
        <v>189</v>
      </c>
      <c r="D491" s="3">
        <v>37340</v>
      </c>
      <c r="E491" s="1" t="s">
        <v>8</v>
      </c>
      <c r="F491" s="1" t="s">
        <v>28</v>
      </c>
      <c r="G491" s="1" t="s">
        <v>1890</v>
      </c>
      <c r="H491" s="1" t="s">
        <v>1891</v>
      </c>
      <c r="I491" s="1" t="s">
        <v>2096</v>
      </c>
      <c r="J491" s="3">
        <v>44606</v>
      </c>
      <c r="K491" s="1" t="s">
        <v>2089</v>
      </c>
      <c r="L491" s="4">
        <f t="shared" si="22"/>
        <v>19</v>
      </c>
      <c r="M491" s="4">
        <f t="shared" si="23"/>
        <v>2022</v>
      </c>
    </row>
    <row r="492" spans="1:13" x14ac:dyDescent="0.25">
      <c r="A492" s="1" t="s">
        <v>825</v>
      </c>
      <c r="B492" s="1" t="str">
        <f t="shared" si="21"/>
        <v>ENC-367</v>
      </c>
      <c r="C492" s="1" t="s">
        <v>40</v>
      </c>
      <c r="D492" s="3">
        <v>31131</v>
      </c>
      <c r="E492" s="1" t="s">
        <v>35</v>
      </c>
      <c r="F492" s="1" t="s">
        <v>56</v>
      </c>
      <c r="G492" s="1" t="s">
        <v>1823</v>
      </c>
      <c r="H492" s="1" t="s">
        <v>1824</v>
      </c>
      <c r="I492" s="1" t="s">
        <v>2087</v>
      </c>
      <c r="J492" s="3">
        <v>44598</v>
      </c>
      <c r="K492" s="1" t="s">
        <v>2108</v>
      </c>
      <c r="L492" s="4">
        <f t="shared" si="22"/>
        <v>36</v>
      </c>
      <c r="M492" s="4">
        <f t="shared" si="23"/>
        <v>2022</v>
      </c>
    </row>
    <row r="493" spans="1:13" x14ac:dyDescent="0.25">
      <c r="A493" s="1" t="s">
        <v>490</v>
      </c>
      <c r="B493" s="1" t="str">
        <f t="shared" si="21"/>
        <v>ENC-203</v>
      </c>
      <c r="C493" s="1" t="s">
        <v>70</v>
      </c>
      <c r="D493" s="3">
        <v>37941</v>
      </c>
      <c r="E493" s="1" t="s">
        <v>52</v>
      </c>
      <c r="F493" s="1" t="s">
        <v>16</v>
      </c>
      <c r="G493" s="1" t="s">
        <v>1497</v>
      </c>
      <c r="H493" s="1" t="s">
        <v>1498</v>
      </c>
      <c r="I493" s="1" t="s">
        <v>2087</v>
      </c>
      <c r="J493" s="3">
        <v>44597</v>
      </c>
      <c r="K493" s="1" t="s">
        <v>2104</v>
      </c>
      <c r="L493" s="4">
        <f t="shared" si="22"/>
        <v>18</v>
      </c>
      <c r="M493" s="4">
        <f t="shared" si="23"/>
        <v>2022</v>
      </c>
    </row>
    <row r="494" spans="1:13" x14ac:dyDescent="0.25">
      <c r="A494" s="1" t="s">
        <v>451</v>
      </c>
      <c r="B494" s="1" t="str">
        <f t="shared" si="21"/>
        <v>ENC-184</v>
      </c>
      <c r="C494" s="1" t="s">
        <v>452</v>
      </c>
      <c r="D494" s="3">
        <v>19426</v>
      </c>
      <c r="E494" s="1" t="s">
        <v>8</v>
      </c>
      <c r="F494" s="1" t="s">
        <v>28</v>
      </c>
      <c r="G494" s="1" t="s">
        <v>1459</v>
      </c>
      <c r="H494" s="1" t="s">
        <v>1460</v>
      </c>
      <c r="I494" s="1" t="s">
        <v>2087</v>
      </c>
      <c r="J494" s="3">
        <v>44593</v>
      </c>
      <c r="K494" s="1" t="s">
        <v>2108</v>
      </c>
      <c r="L494" s="4">
        <f t="shared" si="22"/>
        <v>68</v>
      </c>
      <c r="M494" s="4">
        <f t="shared" si="23"/>
        <v>2022</v>
      </c>
    </row>
    <row r="495" spans="1:13" x14ac:dyDescent="0.25">
      <c r="A495" s="1" t="s">
        <v>1031</v>
      </c>
      <c r="B495" s="1" t="str">
        <f t="shared" si="21"/>
        <v>ENC-470</v>
      </c>
      <c r="C495" s="1" t="s">
        <v>278</v>
      </c>
      <c r="D495" s="3">
        <v>17447</v>
      </c>
      <c r="E495" s="1" t="s">
        <v>52</v>
      </c>
      <c r="F495" s="1" t="s">
        <v>24</v>
      </c>
      <c r="G495" s="1" t="s">
        <v>2023</v>
      </c>
      <c r="H495" s="1" t="s">
        <v>2024</v>
      </c>
      <c r="I495" s="1" t="s">
        <v>2096</v>
      </c>
      <c r="J495" s="3">
        <v>44593</v>
      </c>
      <c r="K495" s="1" t="s">
        <v>2089</v>
      </c>
      <c r="L495" s="4">
        <f t="shared" si="22"/>
        <v>74</v>
      </c>
      <c r="M495" s="4">
        <f t="shared" si="23"/>
        <v>2022</v>
      </c>
    </row>
    <row r="496" spans="1:13" x14ac:dyDescent="0.25">
      <c r="A496" s="1" t="s">
        <v>272</v>
      </c>
      <c r="B496" s="1" t="str">
        <f t="shared" si="21"/>
        <v>ENC-101</v>
      </c>
      <c r="C496" s="1" t="s">
        <v>81</v>
      </c>
      <c r="D496" s="3">
        <v>34476</v>
      </c>
      <c r="E496" s="1" t="s">
        <v>8</v>
      </c>
      <c r="F496" s="1" t="s">
        <v>20</v>
      </c>
      <c r="G496" s="1" t="s">
        <v>1293</v>
      </c>
      <c r="H496" s="1" t="s">
        <v>1294</v>
      </c>
      <c r="I496" s="1" t="s">
        <v>2087</v>
      </c>
      <c r="J496" s="3">
        <v>44591</v>
      </c>
      <c r="K496" s="1" t="s">
        <v>2089</v>
      </c>
      <c r="L496" s="4">
        <f t="shared" si="22"/>
        <v>27</v>
      </c>
      <c r="M496" s="4">
        <f t="shared" si="23"/>
        <v>2022</v>
      </c>
    </row>
    <row r="497" spans="1:13" x14ac:dyDescent="0.25">
      <c r="A497" s="1" t="s">
        <v>586</v>
      </c>
      <c r="B497" s="1" t="str">
        <f t="shared" si="21"/>
        <v>ENC-249</v>
      </c>
      <c r="C497" s="1" t="s">
        <v>67</v>
      </c>
      <c r="D497" s="3">
        <v>26611</v>
      </c>
      <c r="E497" s="1" t="s">
        <v>52</v>
      </c>
      <c r="F497" s="1" t="s">
        <v>20</v>
      </c>
      <c r="G497" s="1" t="s">
        <v>1588</v>
      </c>
      <c r="H497" s="1" t="s">
        <v>1589</v>
      </c>
      <c r="I497" s="1" t="s">
        <v>2087</v>
      </c>
      <c r="J497" s="3">
        <v>44584</v>
      </c>
      <c r="K497" s="1" t="s">
        <v>2093</v>
      </c>
      <c r="L497" s="4">
        <f t="shared" si="22"/>
        <v>49</v>
      </c>
      <c r="M497" s="4">
        <f t="shared" si="23"/>
        <v>2022</v>
      </c>
    </row>
    <row r="498" spans="1:13" x14ac:dyDescent="0.25">
      <c r="A498" s="1" t="s">
        <v>1077</v>
      </c>
      <c r="B498" s="1" t="str">
        <f t="shared" si="21"/>
        <v>ENC-493</v>
      </c>
      <c r="C498" s="1" t="s">
        <v>73</v>
      </c>
      <c r="D498" s="3">
        <v>22401</v>
      </c>
      <c r="E498" s="1" t="s">
        <v>35</v>
      </c>
      <c r="F498" s="1" t="s">
        <v>9</v>
      </c>
      <c r="G498" s="1" t="s">
        <v>2066</v>
      </c>
      <c r="H498" s="1" t="s">
        <v>2067</v>
      </c>
      <c r="I498" s="1" t="s">
        <v>2096</v>
      </c>
      <c r="J498" s="3">
        <v>44581</v>
      </c>
      <c r="K498" s="1" t="s">
        <v>2104</v>
      </c>
      <c r="L498" s="4">
        <f t="shared" si="22"/>
        <v>60</v>
      </c>
      <c r="M498" s="4">
        <f t="shared" si="23"/>
        <v>2022</v>
      </c>
    </row>
    <row r="499" spans="1:13" x14ac:dyDescent="0.25">
      <c r="A499" s="1" t="s">
        <v>36</v>
      </c>
      <c r="B499" s="1" t="str">
        <f t="shared" si="21"/>
        <v>ENC-9</v>
      </c>
      <c r="C499" s="1" t="s">
        <v>37</v>
      </c>
      <c r="D499" s="3">
        <v>19228</v>
      </c>
      <c r="E499" s="1" t="s">
        <v>35</v>
      </c>
      <c r="F499" s="1" t="s">
        <v>28</v>
      </c>
      <c r="G499" s="1" t="s">
        <v>1111</v>
      </c>
      <c r="H499" s="1" t="s">
        <v>1112</v>
      </c>
      <c r="I499" s="1" t="s">
        <v>2096</v>
      </c>
      <c r="J499" s="3">
        <v>44572</v>
      </c>
      <c r="K499" s="1" t="s">
        <v>2089</v>
      </c>
      <c r="L499" s="4">
        <f t="shared" si="22"/>
        <v>69</v>
      </c>
      <c r="M499" s="4">
        <f t="shared" si="23"/>
        <v>2022</v>
      </c>
    </row>
    <row r="500" spans="1:13" x14ac:dyDescent="0.25">
      <c r="A500" s="1" t="s">
        <v>449</v>
      </c>
      <c r="B500" s="1" t="str">
        <f t="shared" si="21"/>
        <v>ENC-183</v>
      </c>
      <c r="C500" s="1" t="s">
        <v>33</v>
      </c>
      <c r="D500" s="3">
        <v>24926</v>
      </c>
      <c r="E500" s="1" t="s">
        <v>52</v>
      </c>
      <c r="F500" s="1" t="s">
        <v>42</v>
      </c>
      <c r="G500" s="1" t="s">
        <v>1457</v>
      </c>
      <c r="H500" s="1" t="s">
        <v>1458</v>
      </c>
      <c r="I500" s="1" t="s">
        <v>2096</v>
      </c>
      <c r="J500" s="3">
        <v>44563</v>
      </c>
      <c r="K500" s="1" t="s">
        <v>2093</v>
      </c>
      <c r="L500" s="4">
        <f t="shared" si="22"/>
        <v>53</v>
      </c>
      <c r="M500" s="4">
        <f t="shared" si="23"/>
        <v>2022</v>
      </c>
    </row>
    <row r="501" spans="1:13" x14ac:dyDescent="0.25">
      <c r="A501" s="1" t="s">
        <v>345</v>
      </c>
      <c r="B501" s="1" t="str">
        <f t="shared" si="21"/>
        <v>ENC-135</v>
      </c>
      <c r="C501" s="1" t="s">
        <v>186</v>
      </c>
      <c r="D501" s="3">
        <v>39405</v>
      </c>
      <c r="E501" s="1" t="s">
        <v>35</v>
      </c>
      <c r="F501" s="1" t="s">
        <v>13</v>
      </c>
      <c r="G501" s="1" t="s">
        <v>1361</v>
      </c>
      <c r="H501" s="1" t="s">
        <v>1362</v>
      </c>
      <c r="I501" s="1" t="s">
        <v>2096</v>
      </c>
      <c r="J501" s="3">
        <v>44562</v>
      </c>
      <c r="K501" s="1" t="s">
        <v>2108</v>
      </c>
      <c r="L501" s="4">
        <f t="shared" si="22"/>
        <v>14</v>
      </c>
      <c r="M501" s="4">
        <f t="shared" si="23"/>
        <v>2022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9897B-741B-483B-8054-B58457E46D1E}">
  <dimension ref="A1:G501"/>
  <sheetViews>
    <sheetView workbookViewId="0">
      <selection activeCell="O24" sqref="O24"/>
    </sheetView>
  </sheetViews>
  <sheetFormatPr defaultRowHeight="15.75" x14ac:dyDescent="0.25"/>
  <cols>
    <col min="1" max="1" width="10" bestFit="1" customWidth="1"/>
    <col min="2" max="2" width="14.25" bestFit="1" customWidth="1"/>
    <col min="3" max="3" width="12.5" bestFit="1" customWidth="1"/>
    <col min="4" max="4" width="13.375" bestFit="1" customWidth="1"/>
    <col min="5" max="5" width="12.25" bestFit="1" customWidth="1"/>
    <col min="6" max="6" width="16.625" bestFit="1" customWidth="1"/>
    <col min="7" max="7" width="16.125" bestFit="1" customWidth="1"/>
  </cols>
  <sheetData>
    <row r="1" spans="1:7" x14ac:dyDescent="0.25">
      <c r="A1" s="1" t="s">
        <v>3975</v>
      </c>
      <c r="B1" s="1" t="s">
        <v>2080</v>
      </c>
      <c r="C1" s="1" t="s">
        <v>3976</v>
      </c>
      <c r="D1" s="1" t="s">
        <v>3977</v>
      </c>
      <c r="E1" s="1" t="s">
        <v>3978</v>
      </c>
      <c r="F1" s="1" t="s">
        <v>3979</v>
      </c>
      <c r="G1" s="1" t="s">
        <v>6114</v>
      </c>
    </row>
    <row r="2" spans="1:7" x14ac:dyDescent="0.25">
      <c r="A2" s="1" t="s">
        <v>4005</v>
      </c>
      <c r="B2" s="1" t="s">
        <v>2159</v>
      </c>
      <c r="C2" s="4">
        <v>140</v>
      </c>
      <c r="D2" s="4">
        <v>75</v>
      </c>
      <c r="E2" s="4">
        <v>69</v>
      </c>
      <c r="F2" s="5">
        <v>99.4</v>
      </c>
      <c r="G2" s="4">
        <f t="shared" ref="G2:G65" si="0">C2-D2</f>
        <v>65</v>
      </c>
    </row>
    <row r="3" spans="1:7" x14ac:dyDescent="0.25">
      <c r="A3" s="1" t="s">
        <v>4039</v>
      </c>
      <c r="B3" s="1" t="s">
        <v>2233</v>
      </c>
      <c r="C3" s="4">
        <v>140</v>
      </c>
      <c r="D3" s="4">
        <v>77</v>
      </c>
      <c r="E3" s="4">
        <v>60</v>
      </c>
      <c r="F3" s="5">
        <v>98.7</v>
      </c>
      <c r="G3" s="4">
        <f t="shared" si="0"/>
        <v>63</v>
      </c>
    </row>
    <row r="4" spans="1:7" x14ac:dyDescent="0.25">
      <c r="A4" s="1" t="s">
        <v>4111</v>
      </c>
      <c r="B4" s="1" t="s">
        <v>2374</v>
      </c>
      <c r="C4" s="4">
        <v>140</v>
      </c>
      <c r="D4" s="4">
        <v>84</v>
      </c>
      <c r="E4" s="4">
        <v>86</v>
      </c>
      <c r="F4" s="5">
        <v>97.8</v>
      </c>
      <c r="G4" s="4">
        <f t="shared" si="0"/>
        <v>56</v>
      </c>
    </row>
    <row r="5" spans="1:7" x14ac:dyDescent="0.25">
      <c r="A5" s="1" t="s">
        <v>4138</v>
      </c>
      <c r="B5" s="1" t="s">
        <v>2426</v>
      </c>
      <c r="C5" s="4">
        <v>140</v>
      </c>
      <c r="D5" s="4">
        <v>85</v>
      </c>
      <c r="E5" s="4">
        <v>100</v>
      </c>
      <c r="F5" s="5">
        <v>97.5</v>
      </c>
      <c r="G5" s="4">
        <f t="shared" si="0"/>
        <v>55</v>
      </c>
    </row>
    <row r="6" spans="1:7" x14ac:dyDescent="0.25">
      <c r="A6" s="1" t="s">
        <v>4139</v>
      </c>
      <c r="B6" s="1" t="s">
        <v>2427</v>
      </c>
      <c r="C6" s="4">
        <v>140</v>
      </c>
      <c r="D6" s="4">
        <v>87</v>
      </c>
      <c r="E6" s="4">
        <v>79</v>
      </c>
      <c r="F6" s="5">
        <v>97.9</v>
      </c>
      <c r="G6" s="4">
        <f t="shared" si="0"/>
        <v>53</v>
      </c>
    </row>
    <row r="7" spans="1:7" x14ac:dyDescent="0.25">
      <c r="A7" s="1" t="s">
        <v>4145</v>
      </c>
      <c r="B7" s="1" t="s">
        <v>2439</v>
      </c>
      <c r="C7" s="4">
        <v>140</v>
      </c>
      <c r="D7" s="4">
        <v>81</v>
      </c>
      <c r="E7" s="4">
        <v>80</v>
      </c>
      <c r="F7" s="5">
        <v>98.4</v>
      </c>
      <c r="G7" s="4">
        <f t="shared" si="0"/>
        <v>59</v>
      </c>
    </row>
    <row r="8" spans="1:7" x14ac:dyDescent="0.25">
      <c r="A8" s="1" t="s">
        <v>4162</v>
      </c>
      <c r="B8" s="1" t="s">
        <v>2473</v>
      </c>
      <c r="C8" s="4">
        <v>140</v>
      </c>
      <c r="D8" s="4">
        <v>86</v>
      </c>
      <c r="E8" s="4">
        <v>84</v>
      </c>
      <c r="F8" s="5">
        <v>98.5</v>
      </c>
      <c r="G8" s="4">
        <f t="shared" si="0"/>
        <v>54</v>
      </c>
    </row>
    <row r="9" spans="1:7" x14ac:dyDescent="0.25">
      <c r="A9" s="1" t="s">
        <v>4205</v>
      </c>
      <c r="B9" s="1" t="s">
        <v>2554</v>
      </c>
      <c r="C9" s="4">
        <v>140</v>
      </c>
      <c r="D9" s="4">
        <v>75</v>
      </c>
      <c r="E9" s="4">
        <v>91</v>
      </c>
      <c r="F9" s="5">
        <v>99.1</v>
      </c>
      <c r="G9" s="4">
        <f t="shared" si="0"/>
        <v>65</v>
      </c>
    </row>
    <row r="10" spans="1:7" x14ac:dyDescent="0.25">
      <c r="A10" s="1" t="s">
        <v>4216</v>
      </c>
      <c r="B10" s="1" t="s">
        <v>2576</v>
      </c>
      <c r="C10" s="4">
        <v>140</v>
      </c>
      <c r="D10" s="4">
        <v>81</v>
      </c>
      <c r="E10" s="4">
        <v>72</v>
      </c>
      <c r="F10" s="5">
        <v>98.4</v>
      </c>
      <c r="G10" s="4">
        <f t="shared" si="0"/>
        <v>59</v>
      </c>
    </row>
    <row r="11" spans="1:7" x14ac:dyDescent="0.25">
      <c r="A11" s="1" t="s">
        <v>4251</v>
      </c>
      <c r="B11" s="1" t="s">
        <v>2642</v>
      </c>
      <c r="C11" s="4">
        <v>140</v>
      </c>
      <c r="D11" s="4">
        <v>85</v>
      </c>
      <c r="E11" s="4">
        <v>71</v>
      </c>
      <c r="F11" s="5">
        <v>97.7</v>
      </c>
      <c r="G11" s="4">
        <f t="shared" si="0"/>
        <v>55</v>
      </c>
    </row>
    <row r="12" spans="1:7" x14ac:dyDescent="0.25">
      <c r="A12" s="1" t="s">
        <v>4268</v>
      </c>
      <c r="B12" s="1" t="s">
        <v>2675</v>
      </c>
      <c r="C12" s="4">
        <v>140</v>
      </c>
      <c r="D12" s="4">
        <v>90</v>
      </c>
      <c r="E12" s="4">
        <v>88</v>
      </c>
      <c r="F12" s="5">
        <v>97.9</v>
      </c>
      <c r="G12" s="4">
        <f t="shared" si="0"/>
        <v>50</v>
      </c>
    </row>
    <row r="13" spans="1:7" x14ac:dyDescent="0.25">
      <c r="A13" s="1" t="s">
        <v>4308</v>
      </c>
      <c r="B13" s="1" t="s">
        <v>2745</v>
      </c>
      <c r="C13" s="4">
        <v>140</v>
      </c>
      <c r="D13" s="4">
        <v>71</v>
      </c>
      <c r="E13" s="4">
        <v>88</v>
      </c>
      <c r="F13" s="5">
        <v>97.9</v>
      </c>
      <c r="G13" s="4">
        <f t="shared" si="0"/>
        <v>69</v>
      </c>
    </row>
    <row r="14" spans="1:7" x14ac:dyDescent="0.25">
      <c r="A14" s="1" t="s">
        <v>4341</v>
      </c>
      <c r="B14" s="1" t="s">
        <v>2805</v>
      </c>
      <c r="C14" s="4">
        <v>140</v>
      </c>
      <c r="D14" s="4">
        <v>90</v>
      </c>
      <c r="E14" s="4">
        <v>91</v>
      </c>
      <c r="F14" s="5">
        <v>98.9</v>
      </c>
      <c r="G14" s="4">
        <f t="shared" si="0"/>
        <v>50</v>
      </c>
    </row>
    <row r="15" spans="1:7" x14ac:dyDescent="0.25">
      <c r="A15" s="1" t="s">
        <v>4467</v>
      </c>
      <c r="B15" s="1" t="s">
        <v>3024</v>
      </c>
      <c r="C15" s="4">
        <v>140</v>
      </c>
      <c r="D15" s="4">
        <v>79</v>
      </c>
      <c r="E15" s="4">
        <v>63</v>
      </c>
      <c r="F15" s="5">
        <v>98.1</v>
      </c>
      <c r="G15" s="4">
        <f t="shared" si="0"/>
        <v>61</v>
      </c>
    </row>
    <row r="16" spans="1:7" x14ac:dyDescent="0.25">
      <c r="A16" s="1" t="s">
        <v>3980</v>
      </c>
      <c r="B16" s="1" t="s">
        <v>2085</v>
      </c>
      <c r="C16" s="4">
        <v>139</v>
      </c>
      <c r="D16" s="4">
        <v>84</v>
      </c>
      <c r="E16" s="4">
        <v>89</v>
      </c>
      <c r="F16" s="5">
        <v>98.3</v>
      </c>
      <c r="G16" s="4">
        <f t="shared" si="0"/>
        <v>55</v>
      </c>
    </row>
    <row r="17" spans="1:7" x14ac:dyDescent="0.25">
      <c r="A17" s="1" t="s">
        <v>4006</v>
      </c>
      <c r="B17" s="1" t="s">
        <v>2161</v>
      </c>
      <c r="C17" s="4">
        <v>139</v>
      </c>
      <c r="D17" s="4">
        <v>85</v>
      </c>
      <c r="E17" s="4">
        <v>69</v>
      </c>
      <c r="F17" s="5">
        <v>97.9</v>
      </c>
      <c r="G17" s="4">
        <f t="shared" si="0"/>
        <v>54</v>
      </c>
    </row>
    <row r="18" spans="1:7" x14ac:dyDescent="0.25">
      <c r="A18" s="1" t="s">
        <v>4026</v>
      </c>
      <c r="B18" s="1" t="s">
        <v>2205</v>
      </c>
      <c r="C18" s="4">
        <v>139</v>
      </c>
      <c r="D18" s="4">
        <v>75</v>
      </c>
      <c r="E18" s="4">
        <v>70</v>
      </c>
      <c r="F18" s="5">
        <v>99.2</v>
      </c>
      <c r="G18" s="4">
        <f t="shared" si="0"/>
        <v>64</v>
      </c>
    </row>
    <row r="19" spans="1:7" x14ac:dyDescent="0.25">
      <c r="A19" s="1" t="s">
        <v>4029</v>
      </c>
      <c r="B19" s="1" t="s">
        <v>2211</v>
      </c>
      <c r="C19" s="4">
        <v>139</v>
      </c>
      <c r="D19" s="4">
        <v>71</v>
      </c>
      <c r="E19" s="4">
        <v>85</v>
      </c>
      <c r="F19" s="5">
        <v>98.2</v>
      </c>
      <c r="G19" s="4">
        <f t="shared" si="0"/>
        <v>68</v>
      </c>
    </row>
    <row r="20" spans="1:7" x14ac:dyDescent="0.25">
      <c r="A20" s="1" t="s">
        <v>4045</v>
      </c>
      <c r="B20" s="1" t="s">
        <v>2244</v>
      </c>
      <c r="C20" s="4">
        <v>139</v>
      </c>
      <c r="D20" s="4">
        <v>83</v>
      </c>
      <c r="E20" s="4">
        <v>78</v>
      </c>
      <c r="F20" s="5">
        <v>98</v>
      </c>
      <c r="G20" s="4">
        <f t="shared" si="0"/>
        <v>56</v>
      </c>
    </row>
    <row r="21" spans="1:7" x14ac:dyDescent="0.25">
      <c r="A21" s="1" t="s">
        <v>4075</v>
      </c>
      <c r="B21" s="1" t="s">
        <v>2304</v>
      </c>
      <c r="C21" s="4">
        <v>139</v>
      </c>
      <c r="D21" s="4">
        <v>90</v>
      </c>
      <c r="E21" s="4">
        <v>92</v>
      </c>
      <c r="F21" s="5">
        <v>99.2</v>
      </c>
      <c r="G21" s="4">
        <f t="shared" si="0"/>
        <v>49</v>
      </c>
    </row>
    <row r="22" spans="1:7" x14ac:dyDescent="0.25">
      <c r="A22" s="1" t="s">
        <v>4136</v>
      </c>
      <c r="B22" s="1" t="s">
        <v>2422</v>
      </c>
      <c r="C22" s="4">
        <v>139</v>
      </c>
      <c r="D22" s="4">
        <v>84</v>
      </c>
      <c r="E22" s="4">
        <v>95</v>
      </c>
      <c r="F22" s="5">
        <v>99</v>
      </c>
      <c r="G22" s="4">
        <f t="shared" si="0"/>
        <v>55</v>
      </c>
    </row>
    <row r="23" spans="1:7" x14ac:dyDescent="0.25">
      <c r="A23" s="1" t="s">
        <v>4148</v>
      </c>
      <c r="B23" s="1" t="s">
        <v>2445</v>
      </c>
      <c r="C23" s="4">
        <v>139</v>
      </c>
      <c r="D23" s="4">
        <v>85</v>
      </c>
      <c r="E23" s="4">
        <v>64</v>
      </c>
      <c r="F23" s="5">
        <v>99.4</v>
      </c>
      <c r="G23" s="4">
        <f t="shared" si="0"/>
        <v>54</v>
      </c>
    </row>
    <row r="24" spans="1:7" x14ac:dyDescent="0.25">
      <c r="A24" s="1" t="s">
        <v>4234</v>
      </c>
      <c r="B24" s="1" t="s">
        <v>2610</v>
      </c>
      <c r="C24" s="4">
        <v>139</v>
      </c>
      <c r="D24" s="4">
        <v>80</v>
      </c>
      <c r="E24" s="4">
        <v>83</v>
      </c>
      <c r="F24" s="5">
        <v>98.8</v>
      </c>
      <c r="G24" s="4">
        <f t="shared" si="0"/>
        <v>59</v>
      </c>
    </row>
    <row r="25" spans="1:7" x14ac:dyDescent="0.25">
      <c r="A25" s="1" t="s">
        <v>4264</v>
      </c>
      <c r="B25" s="1" t="s">
        <v>2668</v>
      </c>
      <c r="C25" s="4">
        <v>139</v>
      </c>
      <c r="D25" s="4">
        <v>73</v>
      </c>
      <c r="E25" s="4">
        <v>60</v>
      </c>
      <c r="F25" s="5">
        <v>98</v>
      </c>
      <c r="G25" s="4">
        <f t="shared" si="0"/>
        <v>66</v>
      </c>
    </row>
    <row r="26" spans="1:7" x14ac:dyDescent="0.25">
      <c r="A26" s="1" t="s">
        <v>4278</v>
      </c>
      <c r="B26" s="1" t="s">
        <v>2692</v>
      </c>
      <c r="C26" s="4">
        <v>139</v>
      </c>
      <c r="D26" s="4">
        <v>73</v>
      </c>
      <c r="E26" s="4">
        <v>96</v>
      </c>
      <c r="F26" s="5">
        <v>98.9</v>
      </c>
      <c r="G26" s="4">
        <f t="shared" si="0"/>
        <v>66</v>
      </c>
    </row>
    <row r="27" spans="1:7" x14ac:dyDescent="0.25">
      <c r="A27" s="1" t="s">
        <v>4282</v>
      </c>
      <c r="B27" s="1" t="s">
        <v>2700</v>
      </c>
      <c r="C27" s="4">
        <v>139</v>
      </c>
      <c r="D27" s="4">
        <v>76</v>
      </c>
      <c r="E27" s="4">
        <v>64</v>
      </c>
      <c r="F27" s="5">
        <v>97.9</v>
      </c>
      <c r="G27" s="4">
        <f t="shared" si="0"/>
        <v>63</v>
      </c>
    </row>
    <row r="28" spans="1:7" x14ac:dyDescent="0.25">
      <c r="A28" s="1" t="s">
        <v>4310</v>
      </c>
      <c r="B28" s="1" t="s">
        <v>2749</v>
      </c>
      <c r="C28" s="4">
        <v>139</v>
      </c>
      <c r="D28" s="4">
        <v>89</v>
      </c>
      <c r="E28" s="4">
        <v>63</v>
      </c>
      <c r="F28" s="5">
        <v>99.4</v>
      </c>
      <c r="G28" s="4">
        <f t="shared" si="0"/>
        <v>50</v>
      </c>
    </row>
    <row r="29" spans="1:7" x14ac:dyDescent="0.25">
      <c r="A29" s="1" t="s">
        <v>4322</v>
      </c>
      <c r="B29" s="1" t="s">
        <v>2772</v>
      </c>
      <c r="C29" s="4">
        <v>139</v>
      </c>
      <c r="D29" s="4">
        <v>72</v>
      </c>
      <c r="E29" s="4">
        <v>74</v>
      </c>
      <c r="F29" s="5">
        <v>99.2</v>
      </c>
      <c r="G29" s="4">
        <f t="shared" si="0"/>
        <v>67</v>
      </c>
    </row>
    <row r="30" spans="1:7" x14ac:dyDescent="0.25">
      <c r="A30" s="1" t="s">
        <v>4323</v>
      </c>
      <c r="B30" s="1" t="s">
        <v>2774</v>
      </c>
      <c r="C30" s="4">
        <v>139</v>
      </c>
      <c r="D30" s="4">
        <v>72</v>
      </c>
      <c r="E30" s="4">
        <v>63</v>
      </c>
      <c r="F30" s="5">
        <v>98.7</v>
      </c>
      <c r="G30" s="4">
        <f t="shared" si="0"/>
        <v>67</v>
      </c>
    </row>
    <row r="31" spans="1:7" x14ac:dyDescent="0.25">
      <c r="A31" s="1" t="s">
        <v>4411</v>
      </c>
      <c r="B31" s="1" t="s">
        <v>2927</v>
      </c>
      <c r="C31" s="4">
        <v>139</v>
      </c>
      <c r="D31" s="4">
        <v>81</v>
      </c>
      <c r="E31" s="4">
        <v>77</v>
      </c>
      <c r="F31" s="5">
        <v>98.2</v>
      </c>
      <c r="G31" s="4">
        <f t="shared" si="0"/>
        <v>58</v>
      </c>
    </row>
    <row r="32" spans="1:7" x14ac:dyDescent="0.25">
      <c r="A32" s="1" t="s">
        <v>4453</v>
      </c>
      <c r="B32" s="1" t="s">
        <v>2998</v>
      </c>
      <c r="C32" s="4">
        <v>139</v>
      </c>
      <c r="D32" s="4">
        <v>72</v>
      </c>
      <c r="E32" s="4">
        <v>67</v>
      </c>
      <c r="F32" s="5">
        <v>98.6</v>
      </c>
      <c r="G32" s="4">
        <f t="shared" si="0"/>
        <v>67</v>
      </c>
    </row>
    <row r="33" spans="1:7" x14ac:dyDescent="0.25">
      <c r="A33" s="1" t="s">
        <v>4019</v>
      </c>
      <c r="B33" s="1" t="s">
        <v>2191</v>
      </c>
      <c r="C33" s="4">
        <v>138</v>
      </c>
      <c r="D33" s="4">
        <v>72</v>
      </c>
      <c r="E33" s="4">
        <v>84</v>
      </c>
      <c r="F33" s="5">
        <v>99.4</v>
      </c>
      <c r="G33" s="4">
        <f t="shared" si="0"/>
        <v>66</v>
      </c>
    </row>
    <row r="34" spans="1:7" x14ac:dyDescent="0.25">
      <c r="A34" s="1" t="s">
        <v>4063</v>
      </c>
      <c r="B34" s="1" t="s">
        <v>2281</v>
      </c>
      <c r="C34" s="4">
        <v>138</v>
      </c>
      <c r="D34" s="4">
        <v>83</v>
      </c>
      <c r="E34" s="4">
        <v>63</v>
      </c>
      <c r="F34" s="5">
        <v>97.6</v>
      </c>
      <c r="G34" s="4">
        <f t="shared" si="0"/>
        <v>55</v>
      </c>
    </row>
    <row r="35" spans="1:7" x14ac:dyDescent="0.25">
      <c r="A35" s="1" t="s">
        <v>4097</v>
      </c>
      <c r="B35" s="1" t="s">
        <v>2348</v>
      </c>
      <c r="C35" s="4">
        <v>138</v>
      </c>
      <c r="D35" s="4">
        <v>81</v>
      </c>
      <c r="E35" s="4">
        <v>96</v>
      </c>
      <c r="F35" s="5">
        <v>98.2</v>
      </c>
      <c r="G35" s="4">
        <f t="shared" si="0"/>
        <v>57</v>
      </c>
    </row>
    <row r="36" spans="1:7" x14ac:dyDescent="0.25">
      <c r="A36" s="1" t="s">
        <v>4113</v>
      </c>
      <c r="B36" s="1" t="s">
        <v>2378</v>
      </c>
      <c r="C36" s="4">
        <v>138</v>
      </c>
      <c r="D36" s="4">
        <v>89</v>
      </c>
      <c r="E36" s="4">
        <v>62</v>
      </c>
      <c r="F36" s="5">
        <v>97.5</v>
      </c>
      <c r="G36" s="4">
        <f t="shared" si="0"/>
        <v>49</v>
      </c>
    </row>
    <row r="37" spans="1:7" x14ac:dyDescent="0.25">
      <c r="A37" s="1" t="s">
        <v>4123</v>
      </c>
      <c r="B37" s="1" t="s">
        <v>2398</v>
      </c>
      <c r="C37" s="4">
        <v>138</v>
      </c>
      <c r="D37" s="4">
        <v>71</v>
      </c>
      <c r="E37" s="4">
        <v>98</v>
      </c>
      <c r="F37" s="5">
        <v>99</v>
      </c>
      <c r="G37" s="4">
        <f t="shared" si="0"/>
        <v>67</v>
      </c>
    </row>
    <row r="38" spans="1:7" x14ac:dyDescent="0.25">
      <c r="A38" s="1" t="s">
        <v>4134</v>
      </c>
      <c r="B38" s="1" t="s">
        <v>2418</v>
      </c>
      <c r="C38" s="4">
        <v>138</v>
      </c>
      <c r="D38" s="4">
        <v>83</v>
      </c>
      <c r="E38" s="4">
        <v>80</v>
      </c>
      <c r="F38" s="5">
        <v>98.3</v>
      </c>
      <c r="G38" s="4">
        <f t="shared" si="0"/>
        <v>55</v>
      </c>
    </row>
    <row r="39" spans="1:7" x14ac:dyDescent="0.25">
      <c r="A39" s="1" t="s">
        <v>4137</v>
      </c>
      <c r="B39" s="1" t="s">
        <v>2424</v>
      </c>
      <c r="C39" s="4">
        <v>138</v>
      </c>
      <c r="D39" s="4">
        <v>78</v>
      </c>
      <c r="E39" s="4">
        <v>94</v>
      </c>
      <c r="F39" s="5">
        <v>99.2</v>
      </c>
      <c r="G39" s="4">
        <f t="shared" si="0"/>
        <v>60</v>
      </c>
    </row>
    <row r="40" spans="1:7" x14ac:dyDescent="0.25">
      <c r="A40" s="1" t="s">
        <v>4175</v>
      </c>
      <c r="B40" s="1" t="s">
        <v>2497</v>
      </c>
      <c r="C40" s="4">
        <v>138</v>
      </c>
      <c r="D40" s="4">
        <v>84</v>
      </c>
      <c r="E40" s="4">
        <v>66</v>
      </c>
      <c r="F40" s="5">
        <v>98.5</v>
      </c>
      <c r="G40" s="4">
        <f t="shared" si="0"/>
        <v>54</v>
      </c>
    </row>
    <row r="41" spans="1:7" x14ac:dyDescent="0.25">
      <c r="A41" s="1" t="s">
        <v>4186</v>
      </c>
      <c r="B41" s="1" t="s">
        <v>2517</v>
      </c>
      <c r="C41" s="4">
        <v>138</v>
      </c>
      <c r="D41" s="4">
        <v>90</v>
      </c>
      <c r="E41" s="4">
        <v>94</v>
      </c>
      <c r="F41" s="5">
        <v>99</v>
      </c>
      <c r="G41" s="4">
        <f t="shared" si="0"/>
        <v>48</v>
      </c>
    </row>
    <row r="42" spans="1:7" x14ac:dyDescent="0.25">
      <c r="A42" s="1" t="s">
        <v>4193</v>
      </c>
      <c r="B42" s="1" t="s">
        <v>2531</v>
      </c>
      <c r="C42" s="4">
        <v>138</v>
      </c>
      <c r="D42" s="4">
        <v>90</v>
      </c>
      <c r="E42" s="4">
        <v>85</v>
      </c>
      <c r="F42" s="5">
        <v>97.6</v>
      </c>
      <c r="G42" s="4">
        <f t="shared" si="0"/>
        <v>48</v>
      </c>
    </row>
    <row r="43" spans="1:7" x14ac:dyDescent="0.25">
      <c r="A43" s="1" t="s">
        <v>4248</v>
      </c>
      <c r="B43" s="1" t="s">
        <v>2637</v>
      </c>
      <c r="C43" s="4">
        <v>138</v>
      </c>
      <c r="D43" s="4">
        <v>75</v>
      </c>
      <c r="E43" s="4">
        <v>63</v>
      </c>
      <c r="F43" s="5">
        <v>98.8</v>
      </c>
      <c r="G43" s="4">
        <f t="shared" si="0"/>
        <v>63</v>
      </c>
    </row>
    <row r="44" spans="1:7" x14ac:dyDescent="0.25">
      <c r="A44" s="1" t="s">
        <v>4257</v>
      </c>
      <c r="B44" s="1" t="s">
        <v>2654</v>
      </c>
      <c r="C44" s="4">
        <v>138</v>
      </c>
      <c r="D44" s="4">
        <v>81</v>
      </c>
      <c r="E44" s="4">
        <v>80</v>
      </c>
      <c r="F44" s="5">
        <v>97.7</v>
      </c>
      <c r="G44" s="4">
        <f t="shared" si="0"/>
        <v>57</v>
      </c>
    </row>
    <row r="45" spans="1:7" x14ac:dyDescent="0.25">
      <c r="A45" s="1" t="s">
        <v>4311</v>
      </c>
      <c r="B45" s="1" t="s">
        <v>2751</v>
      </c>
      <c r="C45" s="4">
        <v>138</v>
      </c>
      <c r="D45" s="4">
        <v>90</v>
      </c>
      <c r="E45" s="4">
        <v>62</v>
      </c>
      <c r="F45" s="5">
        <v>98.8</v>
      </c>
      <c r="G45" s="4">
        <f t="shared" si="0"/>
        <v>48</v>
      </c>
    </row>
    <row r="46" spans="1:7" x14ac:dyDescent="0.25">
      <c r="A46" s="1" t="s">
        <v>4321</v>
      </c>
      <c r="B46" s="1" t="s">
        <v>2770</v>
      </c>
      <c r="C46" s="4">
        <v>138</v>
      </c>
      <c r="D46" s="4">
        <v>76</v>
      </c>
      <c r="E46" s="4">
        <v>79</v>
      </c>
      <c r="F46" s="5">
        <v>98</v>
      </c>
      <c r="G46" s="4">
        <f t="shared" si="0"/>
        <v>62</v>
      </c>
    </row>
    <row r="47" spans="1:7" x14ac:dyDescent="0.25">
      <c r="A47" s="1" t="s">
        <v>4347</v>
      </c>
      <c r="B47" s="1" t="s">
        <v>2816</v>
      </c>
      <c r="C47" s="4">
        <v>138</v>
      </c>
      <c r="D47" s="4">
        <v>81</v>
      </c>
      <c r="E47" s="4">
        <v>86</v>
      </c>
      <c r="F47" s="5">
        <v>99.4</v>
      </c>
      <c r="G47" s="4">
        <f t="shared" si="0"/>
        <v>57</v>
      </c>
    </row>
    <row r="48" spans="1:7" x14ac:dyDescent="0.25">
      <c r="A48" s="1" t="s">
        <v>4389</v>
      </c>
      <c r="B48" s="1" t="s">
        <v>2889</v>
      </c>
      <c r="C48" s="4">
        <v>138</v>
      </c>
      <c r="D48" s="4">
        <v>88</v>
      </c>
      <c r="E48" s="4">
        <v>66</v>
      </c>
      <c r="F48" s="5">
        <v>98.5</v>
      </c>
      <c r="G48" s="4">
        <f t="shared" si="0"/>
        <v>50</v>
      </c>
    </row>
    <row r="49" spans="1:7" x14ac:dyDescent="0.25">
      <c r="A49" s="1" t="s">
        <v>4475</v>
      </c>
      <c r="B49" s="1" t="s">
        <v>3040</v>
      </c>
      <c r="C49" s="4">
        <v>138</v>
      </c>
      <c r="D49" s="4">
        <v>82</v>
      </c>
      <c r="E49" s="4">
        <v>60</v>
      </c>
      <c r="F49" s="5">
        <v>99.4</v>
      </c>
      <c r="G49" s="4">
        <f t="shared" si="0"/>
        <v>56</v>
      </c>
    </row>
    <row r="50" spans="1:7" x14ac:dyDescent="0.25">
      <c r="A50" s="1" t="s">
        <v>4000</v>
      </c>
      <c r="B50" s="1" t="s">
        <v>2146</v>
      </c>
      <c r="C50" s="4">
        <v>137</v>
      </c>
      <c r="D50" s="4">
        <v>88</v>
      </c>
      <c r="E50" s="4">
        <v>75</v>
      </c>
      <c r="F50" s="5">
        <v>99.3</v>
      </c>
      <c r="G50" s="4">
        <f t="shared" si="0"/>
        <v>49</v>
      </c>
    </row>
    <row r="51" spans="1:7" x14ac:dyDescent="0.25">
      <c r="A51" s="1" t="s">
        <v>4059</v>
      </c>
      <c r="B51" s="1" t="s">
        <v>2273</v>
      </c>
      <c r="C51" s="4">
        <v>137</v>
      </c>
      <c r="D51" s="4">
        <v>74</v>
      </c>
      <c r="E51" s="4">
        <v>69</v>
      </c>
      <c r="F51" s="5">
        <v>98.7</v>
      </c>
      <c r="G51" s="4">
        <f t="shared" si="0"/>
        <v>63</v>
      </c>
    </row>
    <row r="52" spans="1:7" x14ac:dyDescent="0.25">
      <c r="A52" s="1" t="s">
        <v>4089</v>
      </c>
      <c r="B52" s="1" t="s">
        <v>2332</v>
      </c>
      <c r="C52" s="4">
        <v>137</v>
      </c>
      <c r="D52" s="4">
        <v>87</v>
      </c>
      <c r="E52" s="4">
        <v>78</v>
      </c>
      <c r="F52" s="5">
        <v>98.8</v>
      </c>
      <c r="G52" s="4">
        <f t="shared" si="0"/>
        <v>50</v>
      </c>
    </row>
    <row r="53" spans="1:7" x14ac:dyDescent="0.25">
      <c r="A53" s="1" t="s">
        <v>4146</v>
      </c>
      <c r="B53" s="1" t="s">
        <v>2441</v>
      </c>
      <c r="C53" s="4">
        <v>137</v>
      </c>
      <c r="D53" s="4">
        <v>90</v>
      </c>
      <c r="E53" s="4">
        <v>87</v>
      </c>
      <c r="F53" s="5">
        <v>98.3</v>
      </c>
      <c r="G53" s="4">
        <f t="shared" si="0"/>
        <v>47</v>
      </c>
    </row>
    <row r="54" spans="1:7" x14ac:dyDescent="0.25">
      <c r="A54" s="1" t="s">
        <v>4172</v>
      </c>
      <c r="B54" s="1" t="s">
        <v>2492</v>
      </c>
      <c r="C54" s="4">
        <v>137</v>
      </c>
      <c r="D54" s="4">
        <v>78</v>
      </c>
      <c r="E54" s="4">
        <v>84</v>
      </c>
      <c r="F54" s="5">
        <v>98</v>
      </c>
      <c r="G54" s="4">
        <f t="shared" si="0"/>
        <v>59</v>
      </c>
    </row>
    <row r="55" spans="1:7" x14ac:dyDescent="0.25">
      <c r="A55" s="1" t="s">
        <v>4187</v>
      </c>
      <c r="B55" s="1" t="s">
        <v>2519</v>
      </c>
      <c r="C55" s="4">
        <v>137</v>
      </c>
      <c r="D55" s="4">
        <v>74</v>
      </c>
      <c r="E55" s="4">
        <v>78</v>
      </c>
      <c r="F55" s="5">
        <v>98.7</v>
      </c>
      <c r="G55" s="4">
        <f t="shared" si="0"/>
        <v>63</v>
      </c>
    </row>
    <row r="56" spans="1:7" x14ac:dyDescent="0.25">
      <c r="A56" s="1" t="s">
        <v>4224</v>
      </c>
      <c r="B56" s="1" t="s">
        <v>2590</v>
      </c>
      <c r="C56" s="4">
        <v>137</v>
      </c>
      <c r="D56" s="4">
        <v>74</v>
      </c>
      <c r="E56" s="4">
        <v>88</v>
      </c>
      <c r="F56" s="5">
        <v>97.9</v>
      </c>
      <c r="G56" s="4">
        <f t="shared" si="0"/>
        <v>63</v>
      </c>
    </row>
    <row r="57" spans="1:7" x14ac:dyDescent="0.25">
      <c r="A57" s="1" t="s">
        <v>4294</v>
      </c>
      <c r="B57" s="1" t="s">
        <v>2720</v>
      </c>
      <c r="C57" s="4">
        <v>137</v>
      </c>
      <c r="D57" s="4">
        <v>84</v>
      </c>
      <c r="E57" s="4">
        <v>79</v>
      </c>
      <c r="F57" s="5">
        <v>97.7</v>
      </c>
      <c r="G57" s="4">
        <f t="shared" si="0"/>
        <v>53</v>
      </c>
    </row>
    <row r="58" spans="1:7" x14ac:dyDescent="0.25">
      <c r="A58" s="1" t="s">
        <v>4343</v>
      </c>
      <c r="B58" s="1" t="s">
        <v>2809</v>
      </c>
      <c r="C58" s="4">
        <v>137</v>
      </c>
      <c r="D58" s="4">
        <v>89</v>
      </c>
      <c r="E58" s="4">
        <v>91</v>
      </c>
      <c r="F58" s="5">
        <v>98.3</v>
      </c>
      <c r="G58" s="4">
        <f t="shared" si="0"/>
        <v>48</v>
      </c>
    </row>
    <row r="59" spans="1:7" x14ac:dyDescent="0.25">
      <c r="A59" s="1" t="s">
        <v>4365</v>
      </c>
      <c r="B59" s="1" t="s">
        <v>2849</v>
      </c>
      <c r="C59" s="4">
        <v>137</v>
      </c>
      <c r="D59" s="4">
        <v>77</v>
      </c>
      <c r="E59" s="4">
        <v>95</v>
      </c>
      <c r="F59" s="5">
        <v>98.5</v>
      </c>
      <c r="G59" s="4">
        <f t="shared" si="0"/>
        <v>60</v>
      </c>
    </row>
    <row r="60" spans="1:7" x14ac:dyDescent="0.25">
      <c r="A60" s="1" t="s">
        <v>4412</v>
      </c>
      <c r="B60" s="1" t="s">
        <v>2929</v>
      </c>
      <c r="C60" s="4">
        <v>137</v>
      </c>
      <c r="D60" s="4">
        <v>77</v>
      </c>
      <c r="E60" s="4">
        <v>62</v>
      </c>
      <c r="F60" s="5">
        <v>98.7</v>
      </c>
      <c r="G60" s="4">
        <f t="shared" si="0"/>
        <v>60</v>
      </c>
    </row>
    <row r="61" spans="1:7" x14ac:dyDescent="0.25">
      <c r="A61" s="1" t="s">
        <v>4414</v>
      </c>
      <c r="B61" s="1" t="s">
        <v>2933</v>
      </c>
      <c r="C61" s="4">
        <v>137</v>
      </c>
      <c r="D61" s="4">
        <v>73</v>
      </c>
      <c r="E61" s="4">
        <v>80</v>
      </c>
      <c r="F61" s="5">
        <v>98.6</v>
      </c>
      <c r="G61" s="4">
        <f t="shared" si="0"/>
        <v>64</v>
      </c>
    </row>
    <row r="62" spans="1:7" x14ac:dyDescent="0.25">
      <c r="A62" s="1" t="s">
        <v>3997</v>
      </c>
      <c r="B62" s="1" t="s">
        <v>2140</v>
      </c>
      <c r="C62" s="4">
        <v>136</v>
      </c>
      <c r="D62" s="4">
        <v>72</v>
      </c>
      <c r="E62" s="4">
        <v>100</v>
      </c>
      <c r="F62" s="5">
        <v>97.9</v>
      </c>
      <c r="G62" s="4">
        <f t="shared" si="0"/>
        <v>64</v>
      </c>
    </row>
    <row r="63" spans="1:7" x14ac:dyDescent="0.25">
      <c r="A63" s="1" t="s">
        <v>4084</v>
      </c>
      <c r="B63" s="1" t="s">
        <v>2322</v>
      </c>
      <c r="C63" s="4">
        <v>136</v>
      </c>
      <c r="D63" s="4">
        <v>79</v>
      </c>
      <c r="E63" s="4">
        <v>78</v>
      </c>
      <c r="F63" s="5">
        <v>98.2</v>
      </c>
      <c r="G63" s="4">
        <f t="shared" si="0"/>
        <v>57</v>
      </c>
    </row>
    <row r="64" spans="1:7" x14ac:dyDescent="0.25">
      <c r="A64" s="1" t="s">
        <v>4087</v>
      </c>
      <c r="B64" s="1" t="s">
        <v>2328</v>
      </c>
      <c r="C64" s="4">
        <v>136</v>
      </c>
      <c r="D64" s="4">
        <v>77</v>
      </c>
      <c r="E64" s="4">
        <v>95</v>
      </c>
      <c r="F64" s="5">
        <v>99.5</v>
      </c>
      <c r="G64" s="4">
        <f t="shared" si="0"/>
        <v>59</v>
      </c>
    </row>
    <row r="65" spans="1:7" x14ac:dyDescent="0.25">
      <c r="A65" s="1" t="s">
        <v>4116</v>
      </c>
      <c r="B65" s="1" t="s">
        <v>2384</v>
      </c>
      <c r="C65" s="4">
        <v>136</v>
      </c>
      <c r="D65" s="4">
        <v>80</v>
      </c>
      <c r="E65" s="4">
        <v>67</v>
      </c>
      <c r="F65" s="5">
        <v>99.1</v>
      </c>
      <c r="G65" s="4">
        <f t="shared" si="0"/>
        <v>56</v>
      </c>
    </row>
    <row r="66" spans="1:7" x14ac:dyDescent="0.25">
      <c r="A66" s="1" t="s">
        <v>4156</v>
      </c>
      <c r="B66" s="1" t="s">
        <v>2461</v>
      </c>
      <c r="C66" s="4">
        <v>136</v>
      </c>
      <c r="D66" s="4">
        <v>71</v>
      </c>
      <c r="E66" s="4">
        <v>78</v>
      </c>
      <c r="F66" s="5">
        <v>98.1</v>
      </c>
      <c r="G66" s="4">
        <f t="shared" ref="G66:G129" si="1">C66-D66</f>
        <v>65</v>
      </c>
    </row>
    <row r="67" spans="1:7" x14ac:dyDescent="0.25">
      <c r="A67" s="1" t="s">
        <v>4217</v>
      </c>
      <c r="B67" s="1" t="s">
        <v>2578</v>
      </c>
      <c r="C67" s="4">
        <v>136</v>
      </c>
      <c r="D67" s="4">
        <v>89</v>
      </c>
      <c r="E67" s="4">
        <v>81</v>
      </c>
      <c r="F67" s="5">
        <v>98.1</v>
      </c>
      <c r="G67" s="4">
        <f t="shared" si="1"/>
        <v>47</v>
      </c>
    </row>
    <row r="68" spans="1:7" x14ac:dyDescent="0.25">
      <c r="A68" s="1" t="s">
        <v>4245</v>
      </c>
      <c r="B68" s="1" t="s">
        <v>2631</v>
      </c>
      <c r="C68" s="4">
        <v>136</v>
      </c>
      <c r="D68" s="4">
        <v>75</v>
      </c>
      <c r="E68" s="4">
        <v>94</v>
      </c>
      <c r="F68" s="5">
        <v>99.2</v>
      </c>
      <c r="G68" s="4">
        <f t="shared" si="1"/>
        <v>61</v>
      </c>
    </row>
    <row r="69" spans="1:7" x14ac:dyDescent="0.25">
      <c r="A69" s="1" t="s">
        <v>4256</v>
      </c>
      <c r="B69" s="1" t="s">
        <v>2652</v>
      </c>
      <c r="C69" s="4">
        <v>136</v>
      </c>
      <c r="D69" s="4">
        <v>85</v>
      </c>
      <c r="E69" s="4">
        <v>70</v>
      </c>
      <c r="F69" s="5">
        <v>98.3</v>
      </c>
      <c r="G69" s="4">
        <f t="shared" si="1"/>
        <v>51</v>
      </c>
    </row>
    <row r="70" spans="1:7" x14ac:dyDescent="0.25">
      <c r="A70" s="1" t="s">
        <v>4356</v>
      </c>
      <c r="B70" s="1" t="s">
        <v>2832</v>
      </c>
      <c r="C70" s="4">
        <v>136</v>
      </c>
      <c r="D70" s="4">
        <v>88</v>
      </c>
      <c r="E70" s="4">
        <v>60</v>
      </c>
      <c r="F70" s="5">
        <v>99</v>
      </c>
      <c r="G70" s="4">
        <f t="shared" si="1"/>
        <v>48</v>
      </c>
    </row>
    <row r="71" spans="1:7" x14ac:dyDescent="0.25">
      <c r="A71" s="1" t="s">
        <v>4449</v>
      </c>
      <c r="B71" s="1" t="s">
        <v>2991</v>
      </c>
      <c r="C71" s="4">
        <v>136</v>
      </c>
      <c r="D71" s="4">
        <v>84</v>
      </c>
      <c r="E71" s="4">
        <v>89</v>
      </c>
      <c r="F71" s="5">
        <v>98.6</v>
      </c>
      <c r="G71" s="4">
        <f t="shared" si="1"/>
        <v>52</v>
      </c>
    </row>
    <row r="72" spans="1:7" x14ac:dyDescent="0.25">
      <c r="A72" s="1" t="s">
        <v>4456</v>
      </c>
      <c r="B72" s="1" t="s">
        <v>3004</v>
      </c>
      <c r="C72" s="4">
        <v>136</v>
      </c>
      <c r="D72" s="4">
        <v>86</v>
      </c>
      <c r="E72" s="4">
        <v>100</v>
      </c>
      <c r="F72" s="5">
        <v>98.7</v>
      </c>
      <c r="G72" s="4">
        <f t="shared" si="1"/>
        <v>50</v>
      </c>
    </row>
    <row r="73" spans="1:7" x14ac:dyDescent="0.25">
      <c r="A73" s="1" t="s">
        <v>4465</v>
      </c>
      <c r="B73" s="1" t="s">
        <v>3020</v>
      </c>
      <c r="C73" s="4">
        <v>136</v>
      </c>
      <c r="D73" s="4">
        <v>80</v>
      </c>
      <c r="E73" s="4">
        <v>84</v>
      </c>
      <c r="F73" s="5">
        <v>97.9</v>
      </c>
      <c r="G73" s="4">
        <f t="shared" si="1"/>
        <v>56</v>
      </c>
    </row>
    <row r="74" spans="1:7" x14ac:dyDescent="0.25">
      <c r="A74" s="1" t="s">
        <v>4476</v>
      </c>
      <c r="B74" s="1" t="s">
        <v>3042</v>
      </c>
      <c r="C74" s="4">
        <v>136</v>
      </c>
      <c r="D74" s="4">
        <v>85</v>
      </c>
      <c r="E74" s="4">
        <v>94</v>
      </c>
      <c r="F74" s="5">
        <v>98.4</v>
      </c>
      <c r="G74" s="4">
        <f t="shared" si="1"/>
        <v>51</v>
      </c>
    </row>
    <row r="75" spans="1:7" x14ac:dyDescent="0.25">
      <c r="A75" s="1" t="s">
        <v>4009</v>
      </c>
      <c r="B75" s="1" t="s">
        <v>2168</v>
      </c>
      <c r="C75" s="4">
        <v>135</v>
      </c>
      <c r="D75" s="4">
        <v>75</v>
      </c>
      <c r="E75" s="4">
        <v>63</v>
      </c>
      <c r="F75" s="5">
        <v>97.8</v>
      </c>
      <c r="G75" s="4">
        <f t="shared" si="1"/>
        <v>60</v>
      </c>
    </row>
    <row r="76" spans="1:7" x14ac:dyDescent="0.25">
      <c r="A76" s="1" t="s">
        <v>4091</v>
      </c>
      <c r="B76" s="1" t="s">
        <v>2336</v>
      </c>
      <c r="C76" s="4">
        <v>135</v>
      </c>
      <c r="D76" s="4">
        <v>89</v>
      </c>
      <c r="E76" s="4">
        <v>88</v>
      </c>
      <c r="F76" s="5">
        <v>99.1</v>
      </c>
      <c r="G76" s="4">
        <f t="shared" si="1"/>
        <v>46</v>
      </c>
    </row>
    <row r="77" spans="1:7" x14ac:dyDescent="0.25">
      <c r="A77" s="1" t="s">
        <v>4163</v>
      </c>
      <c r="B77" s="1" t="s">
        <v>2475</v>
      </c>
      <c r="C77" s="4">
        <v>135</v>
      </c>
      <c r="D77" s="4">
        <v>82</v>
      </c>
      <c r="E77" s="4">
        <v>85</v>
      </c>
      <c r="F77" s="5">
        <v>98.7</v>
      </c>
      <c r="G77" s="4">
        <f t="shared" si="1"/>
        <v>53</v>
      </c>
    </row>
    <row r="78" spans="1:7" x14ac:dyDescent="0.25">
      <c r="A78" s="1" t="s">
        <v>4176</v>
      </c>
      <c r="B78" s="1" t="s">
        <v>2499</v>
      </c>
      <c r="C78" s="4">
        <v>135</v>
      </c>
      <c r="D78" s="4">
        <v>74</v>
      </c>
      <c r="E78" s="4">
        <v>97</v>
      </c>
      <c r="F78" s="5">
        <v>97.7</v>
      </c>
      <c r="G78" s="4">
        <f t="shared" si="1"/>
        <v>61</v>
      </c>
    </row>
    <row r="79" spans="1:7" x14ac:dyDescent="0.25">
      <c r="A79" s="1" t="s">
        <v>4182</v>
      </c>
      <c r="B79" s="1" t="s">
        <v>2509</v>
      </c>
      <c r="C79" s="4">
        <v>135</v>
      </c>
      <c r="D79" s="4">
        <v>71</v>
      </c>
      <c r="E79" s="4">
        <v>90</v>
      </c>
      <c r="F79" s="5">
        <v>98.6</v>
      </c>
      <c r="G79" s="4">
        <f t="shared" si="1"/>
        <v>64</v>
      </c>
    </row>
    <row r="80" spans="1:7" x14ac:dyDescent="0.25">
      <c r="A80" s="1" t="s">
        <v>4192</v>
      </c>
      <c r="B80" s="1" t="s">
        <v>2529</v>
      </c>
      <c r="C80" s="4">
        <v>135</v>
      </c>
      <c r="D80" s="4">
        <v>71</v>
      </c>
      <c r="E80" s="4">
        <v>75</v>
      </c>
      <c r="F80" s="5">
        <v>98.7</v>
      </c>
      <c r="G80" s="4">
        <f t="shared" si="1"/>
        <v>64</v>
      </c>
    </row>
    <row r="81" spans="1:7" x14ac:dyDescent="0.25">
      <c r="A81" s="1" t="s">
        <v>4218</v>
      </c>
      <c r="B81" s="1" t="s">
        <v>2580</v>
      </c>
      <c r="C81" s="4">
        <v>135</v>
      </c>
      <c r="D81" s="4">
        <v>73</v>
      </c>
      <c r="E81" s="4">
        <v>65</v>
      </c>
      <c r="F81" s="5">
        <v>98.4</v>
      </c>
      <c r="G81" s="4">
        <f t="shared" si="1"/>
        <v>62</v>
      </c>
    </row>
    <row r="82" spans="1:7" x14ac:dyDescent="0.25">
      <c r="A82" s="1" t="s">
        <v>4228</v>
      </c>
      <c r="B82" s="1" t="s">
        <v>2598</v>
      </c>
      <c r="C82" s="4">
        <v>135</v>
      </c>
      <c r="D82" s="4">
        <v>84</v>
      </c>
      <c r="E82" s="4">
        <v>86</v>
      </c>
      <c r="F82" s="5">
        <v>98.5</v>
      </c>
      <c r="G82" s="4">
        <f t="shared" si="1"/>
        <v>51</v>
      </c>
    </row>
    <row r="83" spans="1:7" x14ac:dyDescent="0.25">
      <c r="A83" s="1" t="s">
        <v>4243</v>
      </c>
      <c r="B83" s="1" t="s">
        <v>2627</v>
      </c>
      <c r="C83" s="4">
        <v>135</v>
      </c>
      <c r="D83" s="4">
        <v>70</v>
      </c>
      <c r="E83" s="4">
        <v>80</v>
      </c>
      <c r="F83" s="5">
        <v>98.1</v>
      </c>
      <c r="G83" s="4">
        <f t="shared" si="1"/>
        <v>65</v>
      </c>
    </row>
    <row r="84" spans="1:7" x14ac:dyDescent="0.25">
      <c r="A84" s="1" t="s">
        <v>4286</v>
      </c>
      <c r="B84" s="1" t="s">
        <v>2706</v>
      </c>
      <c r="C84" s="4">
        <v>135</v>
      </c>
      <c r="D84" s="4">
        <v>71</v>
      </c>
      <c r="E84" s="4">
        <v>75</v>
      </c>
      <c r="F84" s="5">
        <v>99.3</v>
      </c>
      <c r="G84" s="4">
        <f t="shared" si="1"/>
        <v>64</v>
      </c>
    </row>
    <row r="85" spans="1:7" x14ac:dyDescent="0.25">
      <c r="A85" s="1" t="s">
        <v>4391</v>
      </c>
      <c r="B85" s="1" t="s">
        <v>2892</v>
      </c>
      <c r="C85" s="4">
        <v>135</v>
      </c>
      <c r="D85" s="4">
        <v>80</v>
      </c>
      <c r="E85" s="4">
        <v>95</v>
      </c>
      <c r="F85" s="5">
        <v>98.7</v>
      </c>
      <c r="G85" s="4">
        <f t="shared" si="1"/>
        <v>55</v>
      </c>
    </row>
    <row r="86" spans="1:7" x14ac:dyDescent="0.25">
      <c r="A86" s="1" t="s">
        <v>4415</v>
      </c>
      <c r="B86" s="1" t="s">
        <v>2934</v>
      </c>
      <c r="C86" s="4">
        <v>135</v>
      </c>
      <c r="D86" s="4">
        <v>78</v>
      </c>
      <c r="E86" s="4">
        <v>83</v>
      </c>
      <c r="F86" s="5">
        <v>97.8</v>
      </c>
      <c r="G86" s="4">
        <f t="shared" si="1"/>
        <v>57</v>
      </c>
    </row>
    <row r="87" spans="1:7" x14ac:dyDescent="0.25">
      <c r="A87" s="1" t="s">
        <v>4435</v>
      </c>
      <c r="B87" s="1" t="s">
        <v>2967</v>
      </c>
      <c r="C87" s="4">
        <v>135</v>
      </c>
      <c r="D87" s="4">
        <v>86</v>
      </c>
      <c r="E87" s="4">
        <v>95</v>
      </c>
      <c r="F87" s="5">
        <v>98</v>
      </c>
      <c r="G87" s="4">
        <f t="shared" si="1"/>
        <v>49</v>
      </c>
    </row>
    <row r="88" spans="1:7" x14ac:dyDescent="0.25">
      <c r="A88" s="1" t="s">
        <v>4461</v>
      </c>
      <c r="B88" s="1" t="s">
        <v>3013</v>
      </c>
      <c r="C88" s="4">
        <v>135</v>
      </c>
      <c r="D88" s="4">
        <v>78</v>
      </c>
      <c r="E88" s="4">
        <v>78</v>
      </c>
      <c r="F88" s="5">
        <v>99</v>
      </c>
      <c r="G88" s="4">
        <f t="shared" si="1"/>
        <v>57</v>
      </c>
    </row>
    <row r="89" spans="1:7" x14ac:dyDescent="0.25">
      <c r="A89" s="1" t="s">
        <v>4477</v>
      </c>
      <c r="B89" s="1" t="s">
        <v>3043</v>
      </c>
      <c r="C89" s="4">
        <v>135</v>
      </c>
      <c r="D89" s="4">
        <v>70</v>
      </c>
      <c r="E89" s="4">
        <v>92</v>
      </c>
      <c r="F89" s="5">
        <v>97.8</v>
      </c>
      <c r="G89" s="4">
        <f t="shared" si="1"/>
        <v>65</v>
      </c>
    </row>
    <row r="90" spans="1:7" x14ac:dyDescent="0.25">
      <c r="A90" s="1" t="s">
        <v>4002</v>
      </c>
      <c r="B90" s="1" t="s">
        <v>2151</v>
      </c>
      <c r="C90" s="4">
        <v>134</v>
      </c>
      <c r="D90" s="4">
        <v>90</v>
      </c>
      <c r="E90" s="4">
        <v>77</v>
      </c>
      <c r="F90" s="5">
        <v>99.1</v>
      </c>
      <c r="G90" s="4">
        <f t="shared" si="1"/>
        <v>44</v>
      </c>
    </row>
    <row r="91" spans="1:7" x14ac:dyDescent="0.25">
      <c r="A91" s="1" t="s">
        <v>4031</v>
      </c>
      <c r="B91" s="1" t="s">
        <v>2215</v>
      </c>
      <c r="C91" s="4">
        <v>134</v>
      </c>
      <c r="D91" s="4">
        <v>72</v>
      </c>
      <c r="E91" s="4">
        <v>65</v>
      </c>
      <c r="F91" s="5">
        <v>98.6</v>
      </c>
      <c r="G91" s="4">
        <f t="shared" si="1"/>
        <v>62</v>
      </c>
    </row>
    <row r="92" spans="1:7" x14ac:dyDescent="0.25">
      <c r="A92" s="1" t="s">
        <v>4040</v>
      </c>
      <c r="B92" s="1" t="s">
        <v>2234</v>
      </c>
      <c r="C92" s="4">
        <v>134</v>
      </c>
      <c r="D92" s="4">
        <v>85</v>
      </c>
      <c r="E92" s="4">
        <v>78</v>
      </c>
      <c r="F92" s="5">
        <v>98.3</v>
      </c>
      <c r="G92" s="4">
        <f t="shared" si="1"/>
        <v>49</v>
      </c>
    </row>
    <row r="93" spans="1:7" x14ac:dyDescent="0.25">
      <c r="A93" s="1" t="s">
        <v>4065</v>
      </c>
      <c r="B93" s="1" t="s">
        <v>2284</v>
      </c>
      <c r="C93" s="4">
        <v>134</v>
      </c>
      <c r="D93" s="4">
        <v>74</v>
      </c>
      <c r="E93" s="4">
        <v>99</v>
      </c>
      <c r="F93" s="5">
        <v>98.5</v>
      </c>
      <c r="G93" s="4">
        <f t="shared" si="1"/>
        <v>60</v>
      </c>
    </row>
    <row r="94" spans="1:7" x14ac:dyDescent="0.25">
      <c r="A94" s="1" t="s">
        <v>4151</v>
      </c>
      <c r="B94" s="1" t="s">
        <v>2451</v>
      </c>
      <c r="C94" s="4">
        <v>134</v>
      </c>
      <c r="D94" s="4">
        <v>78</v>
      </c>
      <c r="E94" s="4">
        <v>98</v>
      </c>
      <c r="F94" s="5">
        <v>97.7</v>
      </c>
      <c r="G94" s="4">
        <f t="shared" si="1"/>
        <v>56</v>
      </c>
    </row>
    <row r="95" spans="1:7" x14ac:dyDescent="0.25">
      <c r="A95" s="1" t="s">
        <v>4174</v>
      </c>
      <c r="B95" s="1" t="s">
        <v>2496</v>
      </c>
      <c r="C95" s="4">
        <v>134</v>
      </c>
      <c r="D95" s="4">
        <v>90</v>
      </c>
      <c r="E95" s="4">
        <v>84</v>
      </c>
      <c r="F95" s="5">
        <v>98.8</v>
      </c>
      <c r="G95" s="4">
        <f t="shared" si="1"/>
        <v>44</v>
      </c>
    </row>
    <row r="96" spans="1:7" x14ac:dyDescent="0.25">
      <c r="A96" s="1" t="s">
        <v>4210</v>
      </c>
      <c r="B96" s="1" t="s">
        <v>2564</v>
      </c>
      <c r="C96" s="4">
        <v>134</v>
      </c>
      <c r="D96" s="4">
        <v>76</v>
      </c>
      <c r="E96" s="4">
        <v>97</v>
      </c>
      <c r="F96" s="5">
        <v>99.5</v>
      </c>
      <c r="G96" s="4">
        <f t="shared" si="1"/>
        <v>58</v>
      </c>
    </row>
    <row r="97" spans="1:7" x14ac:dyDescent="0.25">
      <c r="A97" s="1" t="s">
        <v>4335</v>
      </c>
      <c r="B97" s="1" t="s">
        <v>2794</v>
      </c>
      <c r="C97" s="4">
        <v>134</v>
      </c>
      <c r="D97" s="4">
        <v>89</v>
      </c>
      <c r="E97" s="4">
        <v>84</v>
      </c>
      <c r="F97" s="5">
        <v>97.7</v>
      </c>
      <c r="G97" s="4">
        <f t="shared" si="1"/>
        <v>45</v>
      </c>
    </row>
    <row r="98" spans="1:7" x14ac:dyDescent="0.25">
      <c r="A98" s="1" t="s">
        <v>4338</v>
      </c>
      <c r="B98" s="1" t="s">
        <v>2800</v>
      </c>
      <c r="C98" s="4">
        <v>134</v>
      </c>
      <c r="D98" s="4">
        <v>83</v>
      </c>
      <c r="E98" s="4">
        <v>83</v>
      </c>
      <c r="F98" s="5">
        <v>99</v>
      </c>
      <c r="G98" s="4">
        <f t="shared" si="1"/>
        <v>51</v>
      </c>
    </row>
    <row r="99" spans="1:7" x14ac:dyDescent="0.25">
      <c r="A99" s="1" t="s">
        <v>4344</v>
      </c>
      <c r="B99" s="1" t="s">
        <v>2810</v>
      </c>
      <c r="C99" s="4">
        <v>134</v>
      </c>
      <c r="D99" s="4">
        <v>85</v>
      </c>
      <c r="E99" s="4">
        <v>93</v>
      </c>
      <c r="F99" s="5">
        <v>99.1</v>
      </c>
      <c r="G99" s="4">
        <f t="shared" si="1"/>
        <v>49</v>
      </c>
    </row>
    <row r="100" spans="1:7" x14ac:dyDescent="0.25">
      <c r="A100" s="1" t="s">
        <v>4381</v>
      </c>
      <c r="B100" s="1" t="s">
        <v>2878</v>
      </c>
      <c r="C100" s="4">
        <v>134</v>
      </c>
      <c r="D100" s="4">
        <v>83</v>
      </c>
      <c r="E100" s="4">
        <v>67</v>
      </c>
      <c r="F100" s="5">
        <v>97.7</v>
      </c>
      <c r="G100" s="4">
        <f t="shared" si="1"/>
        <v>51</v>
      </c>
    </row>
    <row r="101" spans="1:7" x14ac:dyDescent="0.25">
      <c r="A101" s="1" t="s">
        <v>4421</v>
      </c>
      <c r="B101" s="1" t="s">
        <v>2942</v>
      </c>
      <c r="C101" s="4">
        <v>134</v>
      </c>
      <c r="D101" s="4">
        <v>80</v>
      </c>
      <c r="E101" s="4">
        <v>87</v>
      </c>
      <c r="F101" s="5">
        <v>98.9</v>
      </c>
      <c r="G101" s="4">
        <f t="shared" si="1"/>
        <v>54</v>
      </c>
    </row>
    <row r="102" spans="1:7" x14ac:dyDescent="0.25">
      <c r="A102" s="1" t="s">
        <v>4455</v>
      </c>
      <c r="B102" s="1" t="s">
        <v>3002</v>
      </c>
      <c r="C102" s="4">
        <v>134</v>
      </c>
      <c r="D102" s="4">
        <v>80</v>
      </c>
      <c r="E102" s="4">
        <v>96</v>
      </c>
      <c r="F102" s="5">
        <v>98.4</v>
      </c>
      <c r="G102" s="4">
        <f t="shared" si="1"/>
        <v>54</v>
      </c>
    </row>
    <row r="103" spans="1:7" x14ac:dyDescent="0.25">
      <c r="A103" s="1" t="s">
        <v>3992</v>
      </c>
      <c r="B103" s="1" t="s">
        <v>2125</v>
      </c>
      <c r="C103" s="4">
        <v>133</v>
      </c>
      <c r="D103" s="4">
        <v>71</v>
      </c>
      <c r="E103" s="4">
        <v>81</v>
      </c>
      <c r="F103" s="5">
        <v>98.5</v>
      </c>
      <c r="G103" s="4">
        <f t="shared" si="1"/>
        <v>62</v>
      </c>
    </row>
    <row r="104" spans="1:7" x14ac:dyDescent="0.25">
      <c r="A104" s="1" t="s">
        <v>4033</v>
      </c>
      <c r="B104" s="1" t="s">
        <v>2220</v>
      </c>
      <c r="C104" s="4">
        <v>133</v>
      </c>
      <c r="D104" s="4">
        <v>80</v>
      </c>
      <c r="E104" s="4">
        <v>71</v>
      </c>
      <c r="F104" s="5">
        <v>99</v>
      </c>
      <c r="G104" s="4">
        <f t="shared" si="1"/>
        <v>53</v>
      </c>
    </row>
    <row r="105" spans="1:7" x14ac:dyDescent="0.25">
      <c r="A105" s="1" t="s">
        <v>4072</v>
      </c>
      <c r="B105" s="1" t="s">
        <v>2298</v>
      </c>
      <c r="C105" s="4">
        <v>133</v>
      </c>
      <c r="D105" s="4">
        <v>86</v>
      </c>
      <c r="E105" s="4">
        <v>80</v>
      </c>
      <c r="F105" s="5">
        <v>98.8</v>
      </c>
      <c r="G105" s="4">
        <f t="shared" si="1"/>
        <v>47</v>
      </c>
    </row>
    <row r="106" spans="1:7" x14ac:dyDescent="0.25">
      <c r="A106" s="1" t="s">
        <v>4119</v>
      </c>
      <c r="B106" s="1" t="s">
        <v>2390</v>
      </c>
      <c r="C106" s="4">
        <v>133</v>
      </c>
      <c r="D106" s="4">
        <v>75</v>
      </c>
      <c r="E106" s="4">
        <v>76</v>
      </c>
      <c r="F106" s="5">
        <v>98.8</v>
      </c>
      <c r="G106" s="4">
        <f t="shared" si="1"/>
        <v>58</v>
      </c>
    </row>
    <row r="107" spans="1:7" x14ac:dyDescent="0.25">
      <c r="A107" s="1" t="s">
        <v>4147</v>
      </c>
      <c r="B107" s="1" t="s">
        <v>2443</v>
      </c>
      <c r="C107" s="4">
        <v>133</v>
      </c>
      <c r="D107" s="4">
        <v>75</v>
      </c>
      <c r="E107" s="4">
        <v>99</v>
      </c>
      <c r="F107" s="5">
        <v>98.7</v>
      </c>
      <c r="G107" s="4">
        <f t="shared" si="1"/>
        <v>58</v>
      </c>
    </row>
    <row r="108" spans="1:7" x14ac:dyDescent="0.25">
      <c r="A108" s="1" t="s">
        <v>4200</v>
      </c>
      <c r="B108" s="1" t="s">
        <v>2545</v>
      </c>
      <c r="C108" s="4">
        <v>133</v>
      </c>
      <c r="D108" s="4">
        <v>87</v>
      </c>
      <c r="E108" s="4">
        <v>80</v>
      </c>
      <c r="F108" s="5">
        <v>98.3</v>
      </c>
      <c r="G108" s="4">
        <f t="shared" si="1"/>
        <v>46</v>
      </c>
    </row>
    <row r="109" spans="1:7" x14ac:dyDescent="0.25">
      <c r="A109" s="1" t="s">
        <v>4220</v>
      </c>
      <c r="B109" s="1" t="s">
        <v>2583</v>
      </c>
      <c r="C109" s="4">
        <v>133</v>
      </c>
      <c r="D109" s="4">
        <v>74</v>
      </c>
      <c r="E109" s="4">
        <v>91</v>
      </c>
      <c r="F109" s="5">
        <v>97.6</v>
      </c>
      <c r="G109" s="4">
        <f t="shared" si="1"/>
        <v>59</v>
      </c>
    </row>
    <row r="110" spans="1:7" x14ac:dyDescent="0.25">
      <c r="A110" s="1" t="s">
        <v>4235</v>
      </c>
      <c r="B110" s="1" t="s">
        <v>2612</v>
      </c>
      <c r="C110" s="4">
        <v>133</v>
      </c>
      <c r="D110" s="4">
        <v>74</v>
      </c>
      <c r="E110" s="4">
        <v>87</v>
      </c>
      <c r="F110" s="5">
        <v>99</v>
      </c>
      <c r="G110" s="4">
        <f t="shared" si="1"/>
        <v>59</v>
      </c>
    </row>
    <row r="111" spans="1:7" x14ac:dyDescent="0.25">
      <c r="A111" s="1" t="s">
        <v>4290</v>
      </c>
      <c r="B111" s="1" t="s">
        <v>2714</v>
      </c>
      <c r="C111" s="4">
        <v>133</v>
      </c>
      <c r="D111" s="4">
        <v>84</v>
      </c>
      <c r="E111" s="4">
        <v>100</v>
      </c>
      <c r="F111" s="5">
        <v>99.3</v>
      </c>
      <c r="G111" s="4">
        <f t="shared" si="1"/>
        <v>49</v>
      </c>
    </row>
    <row r="112" spans="1:7" x14ac:dyDescent="0.25">
      <c r="A112" s="1" t="s">
        <v>4295</v>
      </c>
      <c r="B112" s="1" t="s">
        <v>2722</v>
      </c>
      <c r="C112" s="4">
        <v>133</v>
      </c>
      <c r="D112" s="4">
        <v>78</v>
      </c>
      <c r="E112" s="4">
        <v>75</v>
      </c>
      <c r="F112" s="5">
        <v>99.3</v>
      </c>
      <c r="G112" s="4">
        <f t="shared" si="1"/>
        <v>55</v>
      </c>
    </row>
    <row r="113" spans="1:7" x14ac:dyDescent="0.25">
      <c r="A113" s="1" t="s">
        <v>4297</v>
      </c>
      <c r="B113" s="1" t="s">
        <v>2726</v>
      </c>
      <c r="C113" s="4">
        <v>133</v>
      </c>
      <c r="D113" s="4">
        <v>88</v>
      </c>
      <c r="E113" s="4">
        <v>85</v>
      </c>
      <c r="F113" s="5">
        <v>98.3</v>
      </c>
      <c r="G113" s="4">
        <f t="shared" si="1"/>
        <v>45</v>
      </c>
    </row>
    <row r="114" spans="1:7" x14ac:dyDescent="0.25">
      <c r="A114" s="1" t="s">
        <v>3991</v>
      </c>
      <c r="B114" s="1" t="s">
        <v>2122</v>
      </c>
      <c r="C114" s="4">
        <v>132</v>
      </c>
      <c r="D114" s="4">
        <v>71</v>
      </c>
      <c r="E114" s="4">
        <v>97</v>
      </c>
      <c r="F114" s="5">
        <v>98</v>
      </c>
      <c r="G114" s="4">
        <f t="shared" si="1"/>
        <v>61</v>
      </c>
    </row>
    <row r="115" spans="1:7" x14ac:dyDescent="0.25">
      <c r="A115" s="1" t="s">
        <v>4007</v>
      </c>
      <c r="B115" s="1" t="s">
        <v>2164</v>
      </c>
      <c r="C115" s="4">
        <v>132</v>
      </c>
      <c r="D115" s="4">
        <v>81</v>
      </c>
      <c r="E115" s="4">
        <v>68</v>
      </c>
      <c r="F115" s="5">
        <v>97.9</v>
      </c>
      <c r="G115" s="4">
        <f t="shared" si="1"/>
        <v>51</v>
      </c>
    </row>
    <row r="116" spans="1:7" x14ac:dyDescent="0.25">
      <c r="A116" s="1" t="s">
        <v>4030</v>
      </c>
      <c r="B116" s="1" t="s">
        <v>2213</v>
      </c>
      <c r="C116" s="4">
        <v>132</v>
      </c>
      <c r="D116" s="4">
        <v>83</v>
      </c>
      <c r="E116" s="4">
        <v>81</v>
      </c>
      <c r="F116" s="5">
        <v>98.5</v>
      </c>
      <c r="G116" s="4">
        <f t="shared" si="1"/>
        <v>49</v>
      </c>
    </row>
    <row r="117" spans="1:7" x14ac:dyDescent="0.25">
      <c r="A117" s="1" t="s">
        <v>4037</v>
      </c>
      <c r="B117" s="1" t="s">
        <v>2229</v>
      </c>
      <c r="C117" s="4">
        <v>132</v>
      </c>
      <c r="D117" s="4">
        <v>84</v>
      </c>
      <c r="E117" s="4">
        <v>71</v>
      </c>
      <c r="F117" s="5">
        <v>98.7</v>
      </c>
      <c r="G117" s="4">
        <f t="shared" si="1"/>
        <v>48</v>
      </c>
    </row>
    <row r="118" spans="1:7" x14ac:dyDescent="0.25">
      <c r="A118" s="1" t="s">
        <v>4041</v>
      </c>
      <c r="B118" s="1" t="s">
        <v>2236</v>
      </c>
      <c r="C118" s="4">
        <v>132</v>
      </c>
      <c r="D118" s="4">
        <v>81</v>
      </c>
      <c r="E118" s="4">
        <v>83</v>
      </c>
      <c r="F118" s="5">
        <v>98.3</v>
      </c>
      <c r="G118" s="4">
        <f t="shared" si="1"/>
        <v>51</v>
      </c>
    </row>
    <row r="119" spans="1:7" x14ac:dyDescent="0.25">
      <c r="A119" s="1" t="s">
        <v>4048</v>
      </c>
      <c r="B119" s="1" t="s">
        <v>2251</v>
      </c>
      <c r="C119" s="4">
        <v>132</v>
      </c>
      <c r="D119" s="4">
        <v>70</v>
      </c>
      <c r="E119" s="4">
        <v>81</v>
      </c>
      <c r="F119" s="5">
        <v>99.5</v>
      </c>
      <c r="G119" s="4">
        <f t="shared" si="1"/>
        <v>62</v>
      </c>
    </row>
    <row r="120" spans="1:7" x14ac:dyDescent="0.25">
      <c r="A120" s="1" t="s">
        <v>4099</v>
      </c>
      <c r="B120" s="1" t="s">
        <v>2352</v>
      </c>
      <c r="C120" s="4">
        <v>132</v>
      </c>
      <c r="D120" s="4">
        <v>70</v>
      </c>
      <c r="E120" s="4">
        <v>68</v>
      </c>
      <c r="F120" s="5">
        <v>97.6</v>
      </c>
      <c r="G120" s="4">
        <f t="shared" si="1"/>
        <v>62</v>
      </c>
    </row>
    <row r="121" spans="1:7" x14ac:dyDescent="0.25">
      <c r="A121" s="1" t="s">
        <v>4178</v>
      </c>
      <c r="B121" s="1" t="s">
        <v>2502</v>
      </c>
      <c r="C121" s="4">
        <v>132</v>
      </c>
      <c r="D121" s="4">
        <v>79</v>
      </c>
      <c r="E121" s="4">
        <v>83</v>
      </c>
      <c r="F121" s="5">
        <v>99</v>
      </c>
      <c r="G121" s="4">
        <f t="shared" si="1"/>
        <v>53</v>
      </c>
    </row>
    <row r="122" spans="1:7" x14ac:dyDescent="0.25">
      <c r="A122" s="1" t="s">
        <v>4198</v>
      </c>
      <c r="B122" s="1" t="s">
        <v>2541</v>
      </c>
      <c r="C122" s="4">
        <v>132</v>
      </c>
      <c r="D122" s="4">
        <v>75</v>
      </c>
      <c r="E122" s="4">
        <v>73</v>
      </c>
      <c r="F122" s="5">
        <v>97.7</v>
      </c>
      <c r="G122" s="4">
        <f t="shared" si="1"/>
        <v>57</v>
      </c>
    </row>
    <row r="123" spans="1:7" x14ac:dyDescent="0.25">
      <c r="A123" s="1" t="s">
        <v>4249</v>
      </c>
      <c r="B123" s="1" t="s">
        <v>2639</v>
      </c>
      <c r="C123" s="4">
        <v>132</v>
      </c>
      <c r="D123" s="4">
        <v>81</v>
      </c>
      <c r="E123" s="4">
        <v>98</v>
      </c>
      <c r="F123" s="5">
        <v>99.4</v>
      </c>
      <c r="G123" s="4">
        <f t="shared" si="1"/>
        <v>51</v>
      </c>
    </row>
    <row r="124" spans="1:7" x14ac:dyDescent="0.25">
      <c r="A124" s="1" t="s">
        <v>4273</v>
      </c>
      <c r="B124" s="1" t="s">
        <v>2684</v>
      </c>
      <c r="C124" s="4">
        <v>132</v>
      </c>
      <c r="D124" s="4">
        <v>88</v>
      </c>
      <c r="E124" s="4">
        <v>76</v>
      </c>
      <c r="F124" s="5">
        <v>99.1</v>
      </c>
      <c r="G124" s="4">
        <f t="shared" si="1"/>
        <v>44</v>
      </c>
    </row>
    <row r="125" spans="1:7" x14ac:dyDescent="0.25">
      <c r="A125" s="1" t="s">
        <v>4313</v>
      </c>
      <c r="B125" s="1" t="s">
        <v>2755</v>
      </c>
      <c r="C125" s="4">
        <v>132</v>
      </c>
      <c r="D125" s="4">
        <v>81</v>
      </c>
      <c r="E125" s="4">
        <v>93</v>
      </c>
      <c r="F125" s="5">
        <v>98.6</v>
      </c>
      <c r="G125" s="4">
        <f t="shared" si="1"/>
        <v>51</v>
      </c>
    </row>
    <row r="126" spans="1:7" x14ac:dyDescent="0.25">
      <c r="A126" s="1" t="s">
        <v>3981</v>
      </c>
      <c r="B126" s="1" t="s">
        <v>2090</v>
      </c>
      <c r="C126" s="4">
        <v>131</v>
      </c>
      <c r="D126" s="4">
        <v>70</v>
      </c>
      <c r="E126" s="4">
        <v>68</v>
      </c>
      <c r="F126" s="5">
        <v>98.9</v>
      </c>
      <c r="G126" s="4">
        <f t="shared" si="1"/>
        <v>61</v>
      </c>
    </row>
    <row r="127" spans="1:7" x14ac:dyDescent="0.25">
      <c r="A127" s="1" t="s">
        <v>4017</v>
      </c>
      <c r="B127" s="1" t="s">
        <v>2187</v>
      </c>
      <c r="C127" s="4">
        <v>131</v>
      </c>
      <c r="D127" s="4">
        <v>90</v>
      </c>
      <c r="E127" s="4">
        <v>94</v>
      </c>
      <c r="F127" s="5">
        <v>99</v>
      </c>
      <c r="G127" s="4">
        <f t="shared" si="1"/>
        <v>41</v>
      </c>
    </row>
    <row r="128" spans="1:7" x14ac:dyDescent="0.25">
      <c r="A128" s="1" t="s">
        <v>4049</v>
      </c>
      <c r="B128" s="1" t="s">
        <v>2253</v>
      </c>
      <c r="C128" s="4">
        <v>131</v>
      </c>
      <c r="D128" s="4">
        <v>79</v>
      </c>
      <c r="E128" s="4">
        <v>87</v>
      </c>
      <c r="F128" s="5">
        <v>98.7</v>
      </c>
      <c r="G128" s="4">
        <f t="shared" si="1"/>
        <v>52</v>
      </c>
    </row>
    <row r="129" spans="1:7" x14ac:dyDescent="0.25">
      <c r="A129" s="1" t="s">
        <v>4058</v>
      </c>
      <c r="B129" s="1" t="s">
        <v>2271</v>
      </c>
      <c r="C129" s="4">
        <v>131</v>
      </c>
      <c r="D129" s="4">
        <v>84</v>
      </c>
      <c r="E129" s="4">
        <v>64</v>
      </c>
      <c r="F129" s="5">
        <v>98.6</v>
      </c>
      <c r="G129" s="4">
        <f t="shared" si="1"/>
        <v>47</v>
      </c>
    </row>
    <row r="130" spans="1:7" x14ac:dyDescent="0.25">
      <c r="A130" s="1" t="s">
        <v>4070</v>
      </c>
      <c r="B130" s="1" t="s">
        <v>2294</v>
      </c>
      <c r="C130" s="4">
        <v>131</v>
      </c>
      <c r="D130" s="4">
        <v>90</v>
      </c>
      <c r="E130" s="4">
        <v>73</v>
      </c>
      <c r="F130" s="5">
        <v>98.7</v>
      </c>
      <c r="G130" s="4">
        <f t="shared" ref="G130:G193" si="2">C130-D130</f>
        <v>41</v>
      </c>
    </row>
    <row r="131" spans="1:7" x14ac:dyDescent="0.25">
      <c r="A131" s="1" t="s">
        <v>4158</v>
      </c>
      <c r="B131" s="1" t="s">
        <v>2465</v>
      </c>
      <c r="C131" s="4">
        <v>131</v>
      </c>
      <c r="D131" s="4">
        <v>71</v>
      </c>
      <c r="E131" s="4">
        <v>98</v>
      </c>
      <c r="F131" s="5">
        <v>99.5</v>
      </c>
      <c r="G131" s="4">
        <f t="shared" si="2"/>
        <v>60</v>
      </c>
    </row>
    <row r="132" spans="1:7" x14ac:dyDescent="0.25">
      <c r="A132" s="1" t="s">
        <v>4203</v>
      </c>
      <c r="B132" s="1" t="s">
        <v>2551</v>
      </c>
      <c r="C132" s="4">
        <v>131</v>
      </c>
      <c r="D132" s="4">
        <v>85</v>
      </c>
      <c r="E132" s="4">
        <v>96</v>
      </c>
      <c r="F132" s="5">
        <v>98.6</v>
      </c>
      <c r="G132" s="4">
        <f t="shared" si="2"/>
        <v>46</v>
      </c>
    </row>
    <row r="133" spans="1:7" x14ac:dyDescent="0.25">
      <c r="A133" s="1" t="s">
        <v>4213</v>
      </c>
      <c r="B133" s="1" t="s">
        <v>2570</v>
      </c>
      <c r="C133" s="4">
        <v>131</v>
      </c>
      <c r="D133" s="4">
        <v>88</v>
      </c>
      <c r="E133" s="4">
        <v>62</v>
      </c>
      <c r="F133" s="5">
        <v>98.9</v>
      </c>
      <c r="G133" s="4">
        <f t="shared" si="2"/>
        <v>43</v>
      </c>
    </row>
    <row r="134" spans="1:7" x14ac:dyDescent="0.25">
      <c r="A134" s="1" t="s">
        <v>4239</v>
      </c>
      <c r="B134" s="1" t="s">
        <v>2619</v>
      </c>
      <c r="C134" s="4">
        <v>131</v>
      </c>
      <c r="D134" s="4">
        <v>75</v>
      </c>
      <c r="E134" s="4">
        <v>85</v>
      </c>
      <c r="F134" s="5">
        <v>98.2</v>
      </c>
      <c r="G134" s="4">
        <f t="shared" si="2"/>
        <v>56</v>
      </c>
    </row>
    <row r="135" spans="1:7" x14ac:dyDescent="0.25">
      <c r="A135" s="1" t="s">
        <v>4261</v>
      </c>
      <c r="B135" s="1" t="s">
        <v>2662</v>
      </c>
      <c r="C135" s="4">
        <v>131</v>
      </c>
      <c r="D135" s="4">
        <v>87</v>
      </c>
      <c r="E135" s="4">
        <v>98</v>
      </c>
      <c r="F135" s="5">
        <v>97.9</v>
      </c>
      <c r="G135" s="4">
        <f t="shared" si="2"/>
        <v>44</v>
      </c>
    </row>
    <row r="136" spans="1:7" x14ac:dyDescent="0.25">
      <c r="A136" s="1" t="s">
        <v>4276</v>
      </c>
      <c r="B136" s="1" t="s">
        <v>2689</v>
      </c>
      <c r="C136" s="4">
        <v>131</v>
      </c>
      <c r="D136" s="4">
        <v>76</v>
      </c>
      <c r="E136" s="4">
        <v>76</v>
      </c>
      <c r="F136" s="5">
        <v>99.5</v>
      </c>
      <c r="G136" s="4">
        <f t="shared" si="2"/>
        <v>55</v>
      </c>
    </row>
    <row r="137" spans="1:7" x14ac:dyDescent="0.25">
      <c r="A137" s="1" t="s">
        <v>4298</v>
      </c>
      <c r="B137" s="1" t="s">
        <v>2728</v>
      </c>
      <c r="C137" s="4">
        <v>131</v>
      </c>
      <c r="D137" s="4">
        <v>73</v>
      </c>
      <c r="E137" s="4">
        <v>72</v>
      </c>
      <c r="F137" s="5">
        <v>98.3</v>
      </c>
      <c r="G137" s="4">
        <f t="shared" si="2"/>
        <v>58</v>
      </c>
    </row>
    <row r="138" spans="1:7" x14ac:dyDescent="0.25">
      <c r="A138" s="1" t="s">
        <v>4303</v>
      </c>
      <c r="B138" s="1" t="s">
        <v>2737</v>
      </c>
      <c r="C138" s="4">
        <v>131</v>
      </c>
      <c r="D138" s="4">
        <v>75</v>
      </c>
      <c r="E138" s="4">
        <v>83</v>
      </c>
      <c r="F138" s="5">
        <v>99.2</v>
      </c>
      <c r="G138" s="4">
        <f t="shared" si="2"/>
        <v>56</v>
      </c>
    </row>
    <row r="139" spans="1:7" x14ac:dyDescent="0.25">
      <c r="A139" s="1" t="s">
        <v>4317</v>
      </c>
      <c r="B139" s="1" t="s">
        <v>2763</v>
      </c>
      <c r="C139" s="4">
        <v>131</v>
      </c>
      <c r="D139" s="4">
        <v>74</v>
      </c>
      <c r="E139" s="4">
        <v>66</v>
      </c>
      <c r="F139" s="5">
        <v>99.1</v>
      </c>
      <c r="G139" s="4">
        <f t="shared" si="2"/>
        <v>57</v>
      </c>
    </row>
    <row r="140" spans="1:7" x14ac:dyDescent="0.25">
      <c r="A140" s="1" t="s">
        <v>4319</v>
      </c>
      <c r="B140" s="1" t="s">
        <v>2767</v>
      </c>
      <c r="C140" s="4">
        <v>131</v>
      </c>
      <c r="D140" s="4">
        <v>88</v>
      </c>
      <c r="E140" s="4">
        <v>70</v>
      </c>
      <c r="F140" s="5">
        <v>99.5</v>
      </c>
      <c r="G140" s="4">
        <f t="shared" si="2"/>
        <v>43</v>
      </c>
    </row>
    <row r="141" spans="1:7" x14ac:dyDescent="0.25">
      <c r="A141" s="1" t="s">
        <v>4400</v>
      </c>
      <c r="B141" s="1" t="s">
        <v>2909</v>
      </c>
      <c r="C141" s="4">
        <v>131</v>
      </c>
      <c r="D141" s="4">
        <v>73</v>
      </c>
      <c r="E141" s="4">
        <v>94</v>
      </c>
      <c r="F141" s="5">
        <v>97.7</v>
      </c>
      <c r="G141" s="4">
        <f t="shared" si="2"/>
        <v>58</v>
      </c>
    </row>
    <row r="142" spans="1:7" x14ac:dyDescent="0.25">
      <c r="A142" s="1" t="s">
        <v>4433</v>
      </c>
      <c r="B142" s="1" t="s">
        <v>2963</v>
      </c>
      <c r="C142" s="4">
        <v>131</v>
      </c>
      <c r="D142" s="4">
        <v>87</v>
      </c>
      <c r="E142" s="4">
        <v>75</v>
      </c>
      <c r="F142" s="5">
        <v>98.8</v>
      </c>
      <c r="G142" s="4">
        <f t="shared" si="2"/>
        <v>44</v>
      </c>
    </row>
    <row r="143" spans="1:7" x14ac:dyDescent="0.25">
      <c r="A143" s="1" t="s">
        <v>4436</v>
      </c>
      <c r="B143" s="1" t="s">
        <v>2969</v>
      </c>
      <c r="C143" s="4">
        <v>131</v>
      </c>
      <c r="D143" s="4">
        <v>84</v>
      </c>
      <c r="E143" s="4">
        <v>95</v>
      </c>
      <c r="F143" s="5">
        <v>98.9</v>
      </c>
      <c r="G143" s="4">
        <f t="shared" si="2"/>
        <v>47</v>
      </c>
    </row>
    <row r="144" spans="1:7" x14ac:dyDescent="0.25">
      <c r="A144" s="1" t="s">
        <v>4439</v>
      </c>
      <c r="B144" s="1" t="s">
        <v>2975</v>
      </c>
      <c r="C144" s="4">
        <v>131</v>
      </c>
      <c r="D144" s="4">
        <v>77</v>
      </c>
      <c r="E144" s="4">
        <v>70</v>
      </c>
      <c r="F144" s="5">
        <v>99.3</v>
      </c>
      <c r="G144" s="4">
        <f t="shared" si="2"/>
        <v>54</v>
      </c>
    </row>
    <row r="145" spans="1:7" x14ac:dyDescent="0.25">
      <c r="A145" s="1" t="s">
        <v>3982</v>
      </c>
      <c r="B145" s="1" t="s">
        <v>2094</v>
      </c>
      <c r="C145" s="4">
        <v>130</v>
      </c>
      <c r="D145" s="4">
        <v>77</v>
      </c>
      <c r="E145" s="4">
        <v>64</v>
      </c>
      <c r="F145" s="5">
        <v>99</v>
      </c>
      <c r="G145" s="4">
        <f t="shared" si="2"/>
        <v>53</v>
      </c>
    </row>
    <row r="146" spans="1:7" x14ac:dyDescent="0.25">
      <c r="A146" s="1" t="s">
        <v>4025</v>
      </c>
      <c r="B146" s="1" t="s">
        <v>2204</v>
      </c>
      <c r="C146" s="4">
        <v>130</v>
      </c>
      <c r="D146" s="4">
        <v>88</v>
      </c>
      <c r="E146" s="4">
        <v>97</v>
      </c>
      <c r="F146" s="5">
        <v>99.3</v>
      </c>
      <c r="G146" s="4">
        <f t="shared" si="2"/>
        <v>42</v>
      </c>
    </row>
    <row r="147" spans="1:7" x14ac:dyDescent="0.25">
      <c r="A147" s="1" t="s">
        <v>4027</v>
      </c>
      <c r="B147" s="1" t="s">
        <v>2207</v>
      </c>
      <c r="C147" s="4">
        <v>130</v>
      </c>
      <c r="D147" s="4">
        <v>77</v>
      </c>
      <c r="E147" s="4">
        <v>95</v>
      </c>
      <c r="F147" s="5">
        <v>98.9</v>
      </c>
      <c r="G147" s="4">
        <f t="shared" si="2"/>
        <v>53</v>
      </c>
    </row>
    <row r="148" spans="1:7" x14ac:dyDescent="0.25">
      <c r="A148" s="1" t="s">
        <v>4047</v>
      </c>
      <c r="B148" s="1" t="s">
        <v>2249</v>
      </c>
      <c r="C148" s="4">
        <v>130</v>
      </c>
      <c r="D148" s="4">
        <v>74</v>
      </c>
      <c r="E148" s="4">
        <v>97</v>
      </c>
      <c r="F148" s="5">
        <v>97.9</v>
      </c>
      <c r="G148" s="4">
        <f t="shared" si="2"/>
        <v>56</v>
      </c>
    </row>
    <row r="149" spans="1:7" x14ac:dyDescent="0.25">
      <c r="A149" s="1" t="s">
        <v>4074</v>
      </c>
      <c r="B149" s="1" t="s">
        <v>2302</v>
      </c>
      <c r="C149" s="4">
        <v>130</v>
      </c>
      <c r="D149" s="4">
        <v>88</v>
      </c>
      <c r="E149" s="4">
        <v>68</v>
      </c>
      <c r="F149" s="5">
        <v>98.7</v>
      </c>
      <c r="G149" s="4">
        <f t="shared" si="2"/>
        <v>42</v>
      </c>
    </row>
    <row r="150" spans="1:7" x14ac:dyDescent="0.25">
      <c r="A150" s="1" t="s">
        <v>4143</v>
      </c>
      <c r="B150" s="1" t="s">
        <v>2435</v>
      </c>
      <c r="C150" s="4">
        <v>130</v>
      </c>
      <c r="D150" s="4">
        <v>87</v>
      </c>
      <c r="E150" s="4">
        <v>82</v>
      </c>
      <c r="F150" s="5">
        <v>97.5</v>
      </c>
      <c r="G150" s="4">
        <f t="shared" si="2"/>
        <v>43</v>
      </c>
    </row>
    <row r="151" spans="1:7" x14ac:dyDescent="0.25">
      <c r="A151" s="1" t="s">
        <v>4194</v>
      </c>
      <c r="B151" s="1" t="s">
        <v>2533</v>
      </c>
      <c r="C151" s="4">
        <v>130</v>
      </c>
      <c r="D151" s="4">
        <v>88</v>
      </c>
      <c r="E151" s="4">
        <v>95</v>
      </c>
      <c r="F151" s="5">
        <v>98.2</v>
      </c>
      <c r="G151" s="4">
        <f t="shared" si="2"/>
        <v>42</v>
      </c>
    </row>
    <row r="152" spans="1:7" x14ac:dyDescent="0.25">
      <c r="A152" s="1" t="s">
        <v>4197</v>
      </c>
      <c r="B152" s="1" t="s">
        <v>2539</v>
      </c>
      <c r="C152" s="4">
        <v>130</v>
      </c>
      <c r="D152" s="4">
        <v>83</v>
      </c>
      <c r="E152" s="4">
        <v>61</v>
      </c>
      <c r="F152" s="5">
        <v>98.1</v>
      </c>
      <c r="G152" s="4">
        <f t="shared" si="2"/>
        <v>47</v>
      </c>
    </row>
    <row r="153" spans="1:7" x14ac:dyDescent="0.25">
      <c r="A153" s="1" t="s">
        <v>4280</v>
      </c>
      <c r="B153" s="1" t="s">
        <v>2696</v>
      </c>
      <c r="C153" s="4">
        <v>130</v>
      </c>
      <c r="D153" s="4">
        <v>84</v>
      </c>
      <c r="E153" s="4">
        <v>79</v>
      </c>
      <c r="F153" s="5">
        <v>98.6</v>
      </c>
      <c r="G153" s="4">
        <f t="shared" si="2"/>
        <v>46</v>
      </c>
    </row>
    <row r="154" spans="1:7" x14ac:dyDescent="0.25">
      <c r="A154" s="1" t="s">
        <v>4362</v>
      </c>
      <c r="B154" s="1" t="s">
        <v>2843</v>
      </c>
      <c r="C154" s="4">
        <v>130</v>
      </c>
      <c r="D154" s="4">
        <v>89</v>
      </c>
      <c r="E154" s="4">
        <v>67</v>
      </c>
      <c r="F154" s="5">
        <v>98.1</v>
      </c>
      <c r="G154" s="4">
        <f t="shared" si="2"/>
        <v>41</v>
      </c>
    </row>
    <row r="155" spans="1:7" x14ac:dyDescent="0.25">
      <c r="A155" s="1" t="s">
        <v>4383</v>
      </c>
      <c r="B155" s="1" t="s">
        <v>2881</v>
      </c>
      <c r="C155" s="4">
        <v>130</v>
      </c>
      <c r="D155" s="4">
        <v>75</v>
      </c>
      <c r="E155" s="4">
        <v>86</v>
      </c>
      <c r="F155" s="5">
        <v>97.7</v>
      </c>
      <c r="G155" s="4">
        <f t="shared" si="2"/>
        <v>55</v>
      </c>
    </row>
    <row r="156" spans="1:7" x14ac:dyDescent="0.25">
      <c r="A156" s="1" t="s">
        <v>4416</v>
      </c>
      <c r="B156" s="1" t="s">
        <v>2935</v>
      </c>
      <c r="C156" s="4">
        <v>130</v>
      </c>
      <c r="D156" s="4">
        <v>84</v>
      </c>
      <c r="E156" s="4">
        <v>80</v>
      </c>
      <c r="F156" s="5">
        <v>99.1</v>
      </c>
      <c r="G156" s="4">
        <f t="shared" si="2"/>
        <v>46</v>
      </c>
    </row>
    <row r="157" spans="1:7" x14ac:dyDescent="0.25">
      <c r="A157" s="1" t="s">
        <v>4470</v>
      </c>
      <c r="B157" s="1" t="s">
        <v>3030</v>
      </c>
      <c r="C157" s="4">
        <v>130</v>
      </c>
      <c r="D157" s="4">
        <v>71</v>
      </c>
      <c r="E157" s="4">
        <v>86</v>
      </c>
      <c r="F157" s="5">
        <v>99.2</v>
      </c>
      <c r="G157" s="4">
        <f t="shared" si="2"/>
        <v>59</v>
      </c>
    </row>
    <row r="158" spans="1:7" x14ac:dyDescent="0.25">
      <c r="A158" s="1" t="s">
        <v>3998</v>
      </c>
      <c r="B158" s="1" t="s">
        <v>2142</v>
      </c>
      <c r="C158" s="4">
        <v>129</v>
      </c>
      <c r="D158" s="4">
        <v>79</v>
      </c>
      <c r="E158" s="4">
        <v>69</v>
      </c>
      <c r="F158" s="5">
        <v>98.5</v>
      </c>
      <c r="G158" s="4">
        <f t="shared" si="2"/>
        <v>50</v>
      </c>
    </row>
    <row r="159" spans="1:7" x14ac:dyDescent="0.25">
      <c r="A159" s="1" t="s">
        <v>4018</v>
      </c>
      <c r="B159" s="1" t="s">
        <v>2189</v>
      </c>
      <c r="C159" s="4">
        <v>129</v>
      </c>
      <c r="D159" s="4">
        <v>76</v>
      </c>
      <c r="E159" s="4">
        <v>92</v>
      </c>
      <c r="F159" s="5">
        <v>97.9</v>
      </c>
      <c r="G159" s="4">
        <f t="shared" si="2"/>
        <v>53</v>
      </c>
    </row>
    <row r="160" spans="1:7" x14ac:dyDescent="0.25">
      <c r="A160" s="1" t="s">
        <v>4057</v>
      </c>
      <c r="B160" s="1" t="s">
        <v>2269</v>
      </c>
      <c r="C160" s="4">
        <v>129</v>
      </c>
      <c r="D160" s="4">
        <v>87</v>
      </c>
      <c r="E160" s="4">
        <v>73</v>
      </c>
      <c r="F160" s="5">
        <v>98.5</v>
      </c>
      <c r="G160" s="4">
        <f t="shared" si="2"/>
        <v>42</v>
      </c>
    </row>
    <row r="161" spans="1:7" x14ac:dyDescent="0.25">
      <c r="A161" s="1" t="s">
        <v>4061</v>
      </c>
      <c r="B161" s="1" t="s">
        <v>2277</v>
      </c>
      <c r="C161" s="4">
        <v>129</v>
      </c>
      <c r="D161" s="4">
        <v>71</v>
      </c>
      <c r="E161" s="4">
        <v>73</v>
      </c>
      <c r="F161" s="5">
        <v>99.1</v>
      </c>
      <c r="G161" s="4">
        <f t="shared" si="2"/>
        <v>58</v>
      </c>
    </row>
    <row r="162" spans="1:7" x14ac:dyDescent="0.25">
      <c r="A162" s="1" t="s">
        <v>4157</v>
      </c>
      <c r="B162" s="1" t="s">
        <v>2463</v>
      </c>
      <c r="C162" s="4">
        <v>129</v>
      </c>
      <c r="D162" s="4">
        <v>75</v>
      </c>
      <c r="E162" s="4">
        <v>78</v>
      </c>
      <c r="F162" s="5">
        <v>99.5</v>
      </c>
      <c r="G162" s="4">
        <f t="shared" si="2"/>
        <v>54</v>
      </c>
    </row>
    <row r="163" spans="1:7" x14ac:dyDescent="0.25">
      <c r="A163" s="1" t="s">
        <v>4168</v>
      </c>
      <c r="B163" s="1" t="s">
        <v>2484</v>
      </c>
      <c r="C163" s="4">
        <v>129</v>
      </c>
      <c r="D163" s="4">
        <v>85</v>
      </c>
      <c r="E163" s="4">
        <v>95</v>
      </c>
      <c r="F163" s="5">
        <v>97.5</v>
      </c>
      <c r="G163" s="4">
        <f t="shared" si="2"/>
        <v>44</v>
      </c>
    </row>
    <row r="164" spans="1:7" x14ac:dyDescent="0.25">
      <c r="A164" s="1" t="s">
        <v>4170</v>
      </c>
      <c r="B164" s="1" t="s">
        <v>2488</v>
      </c>
      <c r="C164" s="4">
        <v>129</v>
      </c>
      <c r="D164" s="4">
        <v>75</v>
      </c>
      <c r="E164" s="4">
        <v>85</v>
      </c>
      <c r="F164" s="5">
        <v>98.8</v>
      </c>
      <c r="G164" s="4">
        <f t="shared" si="2"/>
        <v>54</v>
      </c>
    </row>
    <row r="165" spans="1:7" x14ac:dyDescent="0.25">
      <c r="A165" s="1" t="s">
        <v>4173</v>
      </c>
      <c r="B165" s="1" t="s">
        <v>2494</v>
      </c>
      <c r="C165" s="4">
        <v>129</v>
      </c>
      <c r="D165" s="4">
        <v>73</v>
      </c>
      <c r="E165" s="4">
        <v>97</v>
      </c>
      <c r="F165" s="5">
        <v>98.1</v>
      </c>
      <c r="G165" s="4">
        <f t="shared" si="2"/>
        <v>56</v>
      </c>
    </row>
    <row r="166" spans="1:7" x14ac:dyDescent="0.25">
      <c r="A166" s="1" t="s">
        <v>4189</v>
      </c>
      <c r="B166" s="1" t="s">
        <v>2523</v>
      </c>
      <c r="C166" s="4">
        <v>129</v>
      </c>
      <c r="D166" s="4">
        <v>72</v>
      </c>
      <c r="E166" s="4">
        <v>64</v>
      </c>
      <c r="F166" s="5">
        <v>99.4</v>
      </c>
      <c r="G166" s="4">
        <f t="shared" si="2"/>
        <v>57</v>
      </c>
    </row>
    <row r="167" spans="1:7" x14ac:dyDescent="0.25">
      <c r="A167" s="1" t="s">
        <v>4215</v>
      </c>
      <c r="B167" s="1" t="s">
        <v>2574</v>
      </c>
      <c r="C167" s="4">
        <v>129</v>
      </c>
      <c r="D167" s="4">
        <v>83</v>
      </c>
      <c r="E167" s="4">
        <v>70</v>
      </c>
      <c r="F167" s="5">
        <v>99.1</v>
      </c>
      <c r="G167" s="4">
        <f t="shared" si="2"/>
        <v>46</v>
      </c>
    </row>
    <row r="168" spans="1:7" x14ac:dyDescent="0.25">
      <c r="A168" s="1" t="s">
        <v>4279</v>
      </c>
      <c r="B168" s="1" t="s">
        <v>2694</v>
      </c>
      <c r="C168" s="4">
        <v>129</v>
      </c>
      <c r="D168" s="4">
        <v>89</v>
      </c>
      <c r="E168" s="4">
        <v>74</v>
      </c>
      <c r="F168" s="5">
        <v>98.9</v>
      </c>
      <c r="G168" s="4">
        <f t="shared" si="2"/>
        <v>40</v>
      </c>
    </row>
    <row r="169" spans="1:7" x14ac:dyDescent="0.25">
      <c r="A169" s="1" t="s">
        <v>4288</v>
      </c>
      <c r="B169" s="1" t="s">
        <v>2710</v>
      </c>
      <c r="C169" s="4">
        <v>129</v>
      </c>
      <c r="D169" s="4">
        <v>75</v>
      </c>
      <c r="E169" s="4">
        <v>62</v>
      </c>
      <c r="F169" s="5">
        <v>98.2</v>
      </c>
      <c r="G169" s="4">
        <f t="shared" si="2"/>
        <v>54</v>
      </c>
    </row>
    <row r="170" spans="1:7" x14ac:dyDescent="0.25">
      <c r="A170" s="1" t="s">
        <v>4292</v>
      </c>
      <c r="B170" s="1" t="s">
        <v>2717</v>
      </c>
      <c r="C170" s="4">
        <v>129</v>
      </c>
      <c r="D170" s="4">
        <v>88</v>
      </c>
      <c r="E170" s="4">
        <v>68</v>
      </c>
      <c r="F170" s="5">
        <v>98.4</v>
      </c>
      <c r="G170" s="4">
        <f t="shared" si="2"/>
        <v>41</v>
      </c>
    </row>
    <row r="171" spans="1:7" x14ac:dyDescent="0.25">
      <c r="A171" s="1" t="s">
        <v>4312</v>
      </c>
      <c r="B171" s="1" t="s">
        <v>2753</v>
      </c>
      <c r="C171" s="4">
        <v>129</v>
      </c>
      <c r="D171" s="4">
        <v>84</v>
      </c>
      <c r="E171" s="4">
        <v>83</v>
      </c>
      <c r="F171" s="5">
        <v>97.7</v>
      </c>
      <c r="G171" s="4">
        <f t="shared" si="2"/>
        <v>45</v>
      </c>
    </row>
    <row r="172" spans="1:7" x14ac:dyDescent="0.25">
      <c r="A172" s="1" t="s">
        <v>4364</v>
      </c>
      <c r="B172" s="1" t="s">
        <v>2847</v>
      </c>
      <c r="C172" s="4">
        <v>129</v>
      </c>
      <c r="D172" s="4">
        <v>81</v>
      </c>
      <c r="E172" s="4">
        <v>94</v>
      </c>
      <c r="F172" s="5">
        <v>97.8</v>
      </c>
      <c r="G172" s="4">
        <f t="shared" si="2"/>
        <v>48</v>
      </c>
    </row>
    <row r="173" spans="1:7" x14ac:dyDescent="0.25">
      <c r="A173" s="1" t="s">
        <v>4402</v>
      </c>
      <c r="B173" s="1" t="s">
        <v>2912</v>
      </c>
      <c r="C173" s="4">
        <v>129</v>
      </c>
      <c r="D173" s="4">
        <v>81</v>
      </c>
      <c r="E173" s="4">
        <v>88</v>
      </c>
      <c r="F173" s="5">
        <v>98.9</v>
      </c>
      <c r="G173" s="4">
        <f t="shared" si="2"/>
        <v>48</v>
      </c>
    </row>
    <row r="174" spans="1:7" x14ac:dyDescent="0.25">
      <c r="A174" s="1" t="s">
        <v>4419</v>
      </c>
      <c r="B174" s="1" t="s">
        <v>2938</v>
      </c>
      <c r="C174" s="4">
        <v>129</v>
      </c>
      <c r="D174" s="4">
        <v>86</v>
      </c>
      <c r="E174" s="4">
        <v>69</v>
      </c>
      <c r="F174" s="5">
        <v>98.9</v>
      </c>
      <c r="G174" s="4">
        <f t="shared" si="2"/>
        <v>43</v>
      </c>
    </row>
    <row r="175" spans="1:7" x14ac:dyDescent="0.25">
      <c r="A175" s="1" t="s">
        <v>4420</v>
      </c>
      <c r="B175" s="1" t="s">
        <v>2940</v>
      </c>
      <c r="C175" s="4">
        <v>129</v>
      </c>
      <c r="D175" s="4">
        <v>79</v>
      </c>
      <c r="E175" s="4">
        <v>72</v>
      </c>
      <c r="F175" s="5">
        <v>98.7</v>
      </c>
      <c r="G175" s="4">
        <f t="shared" si="2"/>
        <v>50</v>
      </c>
    </row>
    <row r="176" spans="1:7" x14ac:dyDescent="0.25">
      <c r="A176" s="1" t="s">
        <v>4423</v>
      </c>
      <c r="B176" s="1" t="s">
        <v>2946</v>
      </c>
      <c r="C176" s="4">
        <v>129</v>
      </c>
      <c r="D176" s="4">
        <v>79</v>
      </c>
      <c r="E176" s="4">
        <v>77</v>
      </c>
      <c r="F176" s="5">
        <v>98.7</v>
      </c>
      <c r="G176" s="4">
        <f t="shared" si="2"/>
        <v>50</v>
      </c>
    </row>
    <row r="177" spans="1:7" x14ac:dyDescent="0.25">
      <c r="A177" s="1" t="s">
        <v>4434</v>
      </c>
      <c r="B177" s="1" t="s">
        <v>2965</v>
      </c>
      <c r="C177" s="4">
        <v>129</v>
      </c>
      <c r="D177" s="4">
        <v>77</v>
      </c>
      <c r="E177" s="4">
        <v>87</v>
      </c>
      <c r="F177" s="5">
        <v>99.2</v>
      </c>
      <c r="G177" s="4">
        <f t="shared" si="2"/>
        <v>52</v>
      </c>
    </row>
    <row r="178" spans="1:7" x14ac:dyDescent="0.25">
      <c r="A178" s="1" t="s">
        <v>4443</v>
      </c>
      <c r="B178" s="1" t="s">
        <v>2981</v>
      </c>
      <c r="C178" s="4">
        <v>129</v>
      </c>
      <c r="D178" s="4">
        <v>74</v>
      </c>
      <c r="E178" s="4">
        <v>82</v>
      </c>
      <c r="F178" s="5">
        <v>98.3</v>
      </c>
      <c r="G178" s="4">
        <f t="shared" si="2"/>
        <v>55</v>
      </c>
    </row>
    <row r="179" spans="1:7" x14ac:dyDescent="0.25">
      <c r="A179" s="1" t="s">
        <v>4445</v>
      </c>
      <c r="B179" s="1" t="s">
        <v>2985</v>
      </c>
      <c r="C179" s="4">
        <v>129</v>
      </c>
      <c r="D179" s="4">
        <v>73</v>
      </c>
      <c r="E179" s="4">
        <v>89</v>
      </c>
      <c r="F179" s="5">
        <v>98.2</v>
      </c>
      <c r="G179" s="4">
        <f t="shared" si="2"/>
        <v>56</v>
      </c>
    </row>
    <row r="180" spans="1:7" x14ac:dyDescent="0.25">
      <c r="A180" s="1" t="s">
        <v>4035</v>
      </c>
      <c r="B180" s="1" t="s">
        <v>2224</v>
      </c>
      <c r="C180" s="4">
        <v>128</v>
      </c>
      <c r="D180" s="4">
        <v>80</v>
      </c>
      <c r="E180" s="4">
        <v>84</v>
      </c>
      <c r="F180" s="5">
        <v>97.8</v>
      </c>
      <c r="G180" s="4">
        <f t="shared" si="2"/>
        <v>48</v>
      </c>
    </row>
    <row r="181" spans="1:7" x14ac:dyDescent="0.25">
      <c r="A181" s="1" t="s">
        <v>4038</v>
      </c>
      <c r="B181" s="1" t="s">
        <v>2231</v>
      </c>
      <c r="C181" s="4">
        <v>128</v>
      </c>
      <c r="D181" s="4">
        <v>90</v>
      </c>
      <c r="E181" s="4">
        <v>86</v>
      </c>
      <c r="F181" s="5">
        <v>98.1</v>
      </c>
      <c r="G181" s="4">
        <f t="shared" si="2"/>
        <v>38</v>
      </c>
    </row>
    <row r="182" spans="1:7" x14ac:dyDescent="0.25">
      <c r="A182" s="1" t="s">
        <v>4042</v>
      </c>
      <c r="B182" s="1" t="s">
        <v>2238</v>
      </c>
      <c r="C182" s="4">
        <v>128</v>
      </c>
      <c r="D182" s="4">
        <v>72</v>
      </c>
      <c r="E182" s="4">
        <v>70</v>
      </c>
      <c r="F182" s="5">
        <v>97.6</v>
      </c>
      <c r="G182" s="4">
        <f t="shared" si="2"/>
        <v>56</v>
      </c>
    </row>
    <row r="183" spans="1:7" x14ac:dyDescent="0.25">
      <c r="A183" s="1" t="s">
        <v>4052</v>
      </c>
      <c r="B183" s="1" t="s">
        <v>2260</v>
      </c>
      <c r="C183" s="4">
        <v>128</v>
      </c>
      <c r="D183" s="4">
        <v>77</v>
      </c>
      <c r="E183" s="4">
        <v>72</v>
      </c>
      <c r="F183" s="5">
        <v>97.6</v>
      </c>
      <c r="G183" s="4">
        <f t="shared" si="2"/>
        <v>51</v>
      </c>
    </row>
    <row r="184" spans="1:7" x14ac:dyDescent="0.25">
      <c r="A184" s="1" t="s">
        <v>4078</v>
      </c>
      <c r="B184" s="1" t="s">
        <v>2310</v>
      </c>
      <c r="C184" s="4">
        <v>128</v>
      </c>
      <c r="D184" s="4">
        <v>81</v>
      </c>
      <c r="E184" s="4">
        <v>88</v>
      </c>
      <c r="F184" s="5">
        <v>98.2</v>
      </c>
      <c r="G184" s="4">
        <f t="shared" si="2"/>
        <v>47</v>
      </c>
    </row>
    <row r="185" spans="1:7" x14ac:dyDescent="0.25">
      <c r="A185" s="1" t="s">
        <v>4081</v>
      </c>
      <c r="B185" s="1" t="s">
        <v>2316</v>
      </c>
      <c r="C185" s="4">
        <v>128</v>
      </c>
      <c r="D185" s="4">
        <v>82</v>
      </c>
      <c r="E185" s="4">
        <v>82</v>
      </c>
      <c r="F185" s="5">
        <v>99.1</v>
      </c>
      <c r="G185" s="4">
        <f t="shared" si="2"/>
        <v>46</v>
      </c>
    </row>
    <row r="186" spans="1:7" x14ac:dyDescent="0.25">
      <c r="A186" s="1" t="s">
        <v>4126</v>
      </c>
      <c r="B186" s="1" t="s">
        <v>2402</v>
      </c>
      <c r="C186" s="4">
        <v>128</v>
      </c>
      <c r="D186" s="4">
        <v>86</v>
      </c>
      <c r="E186" s="4">
        <v>72</v>
      </c>
      <c r="F186" s="5">
        <v>98.3</v>
      </c>
      <c r="G186" s="4">
        <f t="shared" si="2"/>
        <v>42</v>
      </c>
    </row>
    <row r="187" spans="1:7" x14ac:dyDescent="0.25">
      <c r="A187" s="1" t="s">
        <v>4128</v>
      </c>
      <c r="B187" s="1" t="s">
        <v>2406</v>
      </c>
      <c r="C187" s="4">
        <v>128</v>
      </c>
      <c r="D187" s="4">
        <v>75</v>
      </c>
      <c r="E187" s="4">
        <v>70</v>
      </c>
      <c r="F187" s="5">
        <v>97.6</v>
      </c>
      <c r="G187" s="4">
        <f t="shared" si="2"/>
        <v>53</v>
      </c>
    </row>
    <row r="188" spans="1:7" x14ac:dyDescent="0.25">
      <c r="A188" s="1" t="s">
        <v>4223</v>
      </c>
      <c r="B188" s="1" t="s">
        <v>2588</v>
      </c>
      <c r="C188" s="4">
        <v>128</v>
      </c>
      <c r="D188" s="4">
        <v>81</v>
      </c>
      <c r="E188" s="4">
        <v>97</v>
      </c>
      <c r="F188" s="5">
        <v>99.4</v>
      </c>
      <c r="G188" s="4">
        <f t="shared" si="2"/>
        <v>47</v>
      </c>
    </row>
    <row r="189" spans="1:7" x14ac:dyDescent="0.25">
      <c r="A189" s="1" t="s">
        <v>4247</v>
      </c>
      <c r="B189" s="1" t="s">
        <v>2635</v>
      </c>
      <c r="C189" s="4">
        <v>128</v>
      </c>
      <c r="D189" s="4">
        <v>74</v>
      </c>
      <c r="E189" s="4">
        <v>80</v>
      </c>
      <c r="F189" s="5">
        <v>98.8</v>
      </c>
      <c r="G189" s="4">
        <f t="shared" si="2"/>
        <v>54</v>
      </c>
    </row>
    <row r="190" spans="1:7" x14ac:dyDescent="0.25">
      <c r="A190" s="1" t="s">
        <v>4263</v>
      </c>
      <c r="B190" s="1" t="s">
        <v>2666</v>
      </c>
      <c r="C190" s="4">
        <v>128</v>
      </c>
      <c r="D190" s="4">
        <v>83</v>
      </c>
      <c r="E190" s="4">
        <v>77</v>
      </c>
      <c r="F190" s="5">
        <v>99.1</v>
      </c>
      <c r="G190" s="4">
        <f t="shared" si="2"/>
        <v>45</v>
      </c>
    </row>
    <row r="191" spans="1:7" x14ac:dyDescent="0.25">
      <c r="A191" s="1" t="s">
        <v>4272</v>
      </c>
      <c r="B191" s="1" t="s">
        <v>2682</v>
      </c>
      <c r="C191" s="4">
        <v>128</v>
      </c>
      <c r="D191" s="4">
        <v>81</v>
      </c>
      <c r="E191" s="4">
        <v>70</v>
      </c>
      <c r="F191" s="5">
        <v>99</v>
      </c>
      <c r="G191" s="4">
        <f t="shared" si="2"/>
        <v>47</v>
      </c>
    </row>
    <row r="192" spans="1:7" x14ac:dyDescent="0.25">
      <c r="A192" s="1" t="s">
        <v>4332</v>
      </c>
      <c r="B192" s="1" t="s">
        <v>2789</v>
      </c>
      <c r="C192" s="4">
        <v>128</v>
      </c>
      <c r="D192" s="4">
        <v>80</v>
      </c>
      <c r="E192" s="4">
        <v>70</v>
      </c>
      <c r="F192" s="5">
        <v>99.5</v>
      </c>
      <c r="G192" s="4">
        <f t="shared" si="2"/>
        <v>48</v>
      </c>
    </row>
    <row r="193" spans="1:7" x14ac:dyDescent="0.25">
      <c r="A193" s="1" t="s">
        <v>4349</v>
      </c>
      <c r="B193" s="1" t="s">
        <v>2820</v>
      </c>
      <c r="C193" s="4">
        <v>128</v>
      </c>
      <c r="D193" s="4">
        <v>73</v>
      </c>
      <c r="E193" s="4">
        <v>67</v>
      </c>
      <c r="F193" s="5">
        <v>97.8</v>
      </c>
      <c r="G193" s="4">
        <f t="shared" si="2"/>
        <v>55</v>
      </c>
    </row>
    <row r="194" spans="1:7" x14ac:dyDescent="0.25">
      <c r="A194" s="1" t="s">
        <v>4374</v>
      </c>
      <c r="B194" s="1" t="s">
        <v>2866</v>
      </c>
      <c r="C194" s="4">
        <v>128</v>
      </c>
      <c r="D194" s="4">
        <v>83</v>
      </c>
      <c r="E194" s="4">
        <v>87</v>
      </c>
      <c r="F194" s="5">
        <v>98</v>
      </c>
      <c r="G194" s="4">
        <f t="shared" ref="G194:G257" si="3">C194-D194</f>
        <v>45</v>
      </c>
    </row>
    <row r="195" spans="1:7" x14ac:dyDescent="0.25">
      <c r="A195" s="1" t="s">
        <v>4382</v>
      </c>
      <c r="B195" s="1" t="s">
        <v>2880</v>
      </c>
      <c r="C195" s="4">
        <v>128</v>
      </c>
      <c r="D195" s="4">
        <v>72</v>
      </c>
      <c r="E195" s="4">
        <v>67</v>
      </c>
      <c r="F195" s="5">
        <v>98.2</v>
      </c>
      <c r="G195" s="4">
        <f t="shared" si="3"/>
        <v>56</v>
      </c>
    </row>
    <row r="196" spans="1:7" x14ac:dyDescent="0.25">
      <c r="A196" s="1" t="s">
        <v>4034</v>
      </c>
      <c r="B196" s="1" t="s">
        <v>2222</v>
      </c>
      <c r="C196" s="4">
        <v>127</v>
      </c>
      <c r="D196" s="4">
        <v>90</v>
      </c>
      <c r="E196" s="4">
        <v>62</v>
      </c>
      <c r="F196" s="5">
        <v>99.1</v>
      </c>
      <c r="G196" s="4">
        <f t="shared" si="3"/>
        <v>37</v>
      </c>
    </row>
    <row r="197" spans="1:7" x14ac:dyDescent="0.25">
      <c r="A197" s="1" t="s">
        <v>4046</v>
      </c>
      <c r="B197" s="1" t="s">
        <v>2246</v>
      </c>
      <c r="C197" s="4">
        <v>127</v>
      </c>
      <c r="D197" s="4">
        <v>79</v>
      </c>
      <c r="E197" s="4">
        <v>82</v>
      </c>
      <c r="F197" s="5">
        <v>98.3</v>
      </c>
      <c r="G197" s="4">
        <f t="shared" si="3"/>
        <v>48</v>
      </c>
    </row>
    <row r="198" spans="1:7" x14ac:dyDescent="0.25">
      <c r="A198" s="1" t="s">
        <v>4060</v>
      </c>
      <c r="B198" s="1" t="s">
        <v>2275</v>
      </c>
      <c r="C198" s="4">
        <v>127</v>
      </c>
      <c r="D198" s="4">
        <v>82</v>
      </c>
      <c r="E198" s="4">
        <v>91</v>
      </c>
      <c r="F198" s="5">
        <v>97.6</v>
      </c>
      <c r="G198" s="4">
        <f t="shared" si="3"/>
        <v>45</v>
      </c>
    </row>
    <row r="199" spans="1:7" x14ac:dyDescent="0.25">
      <c r="A199" s="1" t="s">
        <v>4062</v>
      </c>
      <c r="B199" s="1" t="s">
        <v>2279</v>
      </c>
      <c r="C199" s="4">
        <v>127</v>
      </c>
      <c r="D199" s="4">
        <v>76</v>
      </c>
      <c r="E199" s="4">
        <v>75</v>
      </c>
      <c r="F199" s="5">
        <v>97.7</v>
      </c>
      <c r="G199" s="4">
        <f t="shared" si="3"/>
        <v>51</v>
      </c>
    </row>
    <row r="200" spans="1:7" x14ac:dyDescent="0.25">
      <c r="A200" s="1" t="s">
        <v>4098</v>
      </c>
      <c r="B200" s="1" t="s">
        <v>2350</v>
      </c>
      <c r="C200" s="4">
        <v>127</v>
      </c>
      <c r="D200" s="4">
        <v>80</v>
      </c>
      <c r="E200" s="4">
        <v>96</v>
      </c>
      <c r="F200" s="5">
        <v>98.3</v>
      </c>
      <c r="G200" s="4">
        <f t="shared" si="3"/>
        <v>47</v>
      </c>
    </row>
    <row r="201" spans="1:7" x14ac:dyDescent="0.25">
      <c r="A201" s="1" t="s">
        <v>4227</v>
      </c>
      <c r="B201" s="1" t="s">
        <v>2596</v>
      </c>
      <c r="C201" s="4">
        <v>127</v>
      </c>
      <c r="D201" s="4">
        <v>78</v>
      </c>
      <c r="E201" s="4">
        <v>63</v>
      </c>
      <c r="F201" s="5">
        <v>97.7</v>
      </c>
      <c r="G201" s="4">
        <f t="shared" si="3"/>
        <v>49</v>
      </c>
    </row>
    <row r="202" spans="1:7" x14ac:dyDescent="0.25">
      <c r="A202" s="1" t="s">
        <v>4229</v>
      </c>
      <c r="B202" s="1" t="s">
        <v>2600</v>
      </c>
      <c r="C202" s="4">
        <v>127</v>
      </c>
      <c r="D202" s="4">
        <v>78</v>
      </c>
      <c r="E202" s="4">
        <v>90</v>
      </c>
      <c r="F202" s="5">
        <v>97.7</v>
      </c>
      <c r="G202" s="4">
        <f t="shared" si="3"/>
        <v>49</v>
      </c>
    </row>
    <row r="203" spans="1:7" x14ac:dyDescent="0.25">
      <c r="A203" s="1" t="s">
        <v>4236</v>
      </c>
      <c r="B203" s="1" t="s">
        <v>2614</v>
      </c>
      <c r="C203" s="4">
        <v>127</v>
      </c>
      <c r="D203" s="4">
        <v>81</v>
      </c>
      <c r="E203" s="4">
        <v>63</v>
      </c>
      <c r="F203" s="5">
        <v>99.1</v>
      </c>
      <c r="G203" s="4">
        <f t="shared" si="3"/>
        <v>46</v>
      </c>
    </row>
    <row r="204" spans="1:7" x14ac:dyDescent="0.25">
      <c r="A204" s="1" t="s">
        <v>4241</v>
      </c>
      <c r="B204" s="1" t="s">
        <v>2623</v>
      </c>
      <c r="C204" s="4">
        <v>127</v>
      </c>
      <c r="D204" s="4">
        <v>70</v>
      </c>
      <c r="E204" s="4">
        <v>94</v>
      </c>
      <c r="F204" s="5">
        <v>98.1</v>
      </c>
      <c r="G204" s="4">
        <f t="shared" si="3"/>
        <v>57</v>
      </c>
    </row>
    <row r="205" spans="1:7" x14ac:dyDescent="0.25">
      <c r="A205" s="1" t="s">
        <v>4340</v>
      </c>
      <c r="B205" s="1" t="s">
        <v>2803</v>
      </c>
      <c r="C205" s="4">
        <v>127</v>
      </c>
      <c r="D205" s="4">
        <v>86</v>
      </c>
      <c r="E205" s="4">
        <v>72</v>
      </c>
      <c r="F205" s="5">
        <v>98</v>
      </c>
      <c r="G205" s="4">
        <f t="shared" si="3"/>
        <v>41</v>
      </c>
    </row>
    <row r="206" spans="1:7" x14ac:dyDescent="0.25">
      <c r="A206" s="1" t="s">
        <v>4378</v>
      </c>
      <c r="B206" s="1" t="s">
        <v>2873</v>
      </c>
      <c r="C206" s="4">
        <v>127</v>
      </c>
      <c r="D206" s="4">
        <v>73</v>
      </c>
      <c r="E206" s="4">
        <v>90</v>
      </c>
      <c r="F206" s="5">
        <v>97.7</v>
      </c>
      <c r="G206" s="4">
        <f t="shared" si="3"/>
        <v>54</v>
      </c>
    </row>
    <row r="207" spans="1:7" x14ac:dyDescent="0.25">
      <c r="A207" s="1" t="s">
        <v>4441</v>
      </c>
      <c r="B207" s="1" t="s">
        <v>2978</v>
      </c>
      <c r="C207" s="4">
        <v>127</v>
      </c>
      <c r="D207" s="4">
        <v>72</v>
      </c>
      <c r="E207" s="4">
        <v>83</v>
      </c>
      <c r="F207" s="5">
        <v>98.8</v>
      </c>
      <c r="G207" s="4">
        <f t="shared" si="3"/>
        <v>55</v>
      </c>
    </row>
    <row r="208" spans="1:7" x14ac:dyDescent="0.25">
      <c r="A208" s="1" t="s">
        <v>4452</v>
      </c>
      <c r="B208" s="1" t="s">
        <v>2996</v>
      </c>
      <c r="C208" s="4">
        <v>127</v>
      </c>
      <c r="D208" s="4">
        <v>83</v>
      </c>
      <c r="E208" s="4">
        <v>67</v>
      </c>
      <c r="F208" s="5">
        <v>97.9</v>
      </c>
      <c r="G208" s="4">
        <f t="shared" si="3"/>
        <v>44</v>
      </c>
    </row>
    <row r="209" spans="1:7" x14ac:dyDescent="0.25">
      <c r="A209" s="1" t="s">
        <v>4024</v>
      </c>
      <c r="B209" s="1" t="s">
        <v>2203</v>
      </c>
      <c r="C209" s="4">
        <v>126</v>
      </c>
      <c r="D209" s="4">
        <v>71</v>
      </c>
      <c r="E209" s="4">
        <v>86</v>
      </c>
      <c r="F209" s="5">
        <v>98.4</v>
      </c>
      <c r="G209" s="4">
        <f t="shared" si="3"/>
        <v>55</v>
      </c>
    </row>
    <row r="210" spans="1:7" x14ac:dyDescent="0.25">
      <c r="A210" s="1" t="s">
        <v>4056</v>
      </c>
      <c r="B210" s="1" t="s">
        <v>2268</v>
      </c>
      <c r="C210" s="4">
        <v>126</v>
      </c>
      <c r="D210" s="4">
        <v>89</v>
      </c>
      <c r="E210" s="4">
        <v>89</v>
      </c>
      <c r="F210" s="5">
        <v>98.7</v>
      </c>
      <c r="G210" s="4">
        <f t="shared" si="3"/>
        <v>37</v>
      </c>
    </row>
    <row r="211" spans="1:7" x14ac:dyDescent="0.25">
      <c r="A211" s="1" t="s">
        <v>4066</v>
      </c>
      <c r="B211" s="1" t="s">
        <v>2286</v>
      </c>
      <c r="C211" s="4">
        <v>126</v>
      </c>
      <c r="D211" s="4">
        <v>71</v>
      </c>
      <c r="E211" s="4">
        <v>100</v>
      </c>
      <c r="F211" s="5">
        <v>99.4</v>
      </c>
      <c r="G211" s="4">
        <f t="shared" si="3"/>
        <v>55</v>
      </c>
    </row>
    <row r="212" spans="1:7" x14ac:dyDescent="0.25">
      <c r="A212" s="1" t="s">
        <v>4082</v>
      </c>
      <c r="B212" s="1" t="s">
        <v>2319</v>
      </c>
      <c r="C212" s="4">
        <v>126</v>
      </c>
      <c r="D212" s="4">
        <v>87</v>
      </c>
      <c r="E212" s="4">
        <v>73</v>
      </c>
      <c r="F212" s="5">
        <v>98.5</v>
      </c>
      <c r="G212" s="4">
        <f t="shared" si="3"/>
        <v>39</v>
      </c>
    </row>
    <row r="213" spans="1:7" x14ac:dyDescent="0.25">
      <c r="A213" s="1" t="s">
        <v>4122</v>
      </c>
      <c r="B213" s="1" t="s">
        <v>2396</v>
      </c>
      <c r="C213" s="4">
        <v>126</v>
      </c>
      <c r="D213" s="4">
        <v>85</v>
      </c>
      <c r="E213" s="4">
        <v>77</v>
      </c>
      <c r="F213" s="5">
        <v>98.6</v>
      </c>
      <c r="G213" s="4">
        <f t="shared" si="3"/>
        <v>41</v>
      </c>
    </row>
    <row r="214" spans="1:7" x14ac:dyDescent="0.25">
      <c r="A214" s="1" t="s">
        <v>4133</v>
      </c>
      <c r="B214" s="1" t="s">
        <v>2416</v>
      </c>
      <c r="C214" s="4">
        <v>126</v>
      </c>
      <c r="D214" s="4">
        <v>86</v>
      </c>
      <c r="E214" s="4">
        <v>98</v>
      </c>
      <c r="F214" s="5">
        <v>99.2</v>
      </c>
      <c r="G214" s="4">
        <f t="shared" si="3"/>
        <v>40</v>
      </c>
    </row>
    <row r="215" spans="1:7" x14ac:dyDescent="0.25">
      <c r="A215" s="1" t="s">
        <v>4150</v>
      </c>
      <c r="B215" s="1" t="s">
        <v>2449</v>
      </c>
      <c r="C215" s="4">
        <v>126</v>
      </c>
      <c r="D215" s="4">
        <v>80</v>
      </c>
      <c r="E215" s="4">
        <v>70</v>
      </c>
      <c r="F215" s="5">
        <v>98.5</v>
      </c>
      <c r="G215" s="4">
        <f t="shared" si="3"/>
        <v>46</v>
      </c>
    </row>
    <row r="216" spans="1:7" x14ac:dyDescent="0.25">
      <c r="A216" s="1" t="s">
        <v>4185</v>
      </c>
      <c r="B216" s="1" t="s">
        <v>2515</v>
      </c>
      <c r="C216" s="4">
        <v>126</v>
      </c>
      <c r="D216" s="4">
        <v>85</v>
      </c>
      <c r="E216" s="4">
        <v>87</v>
      </c>
      <c r="F216" s="5">
        <v>98.2</v>
      </c>
      <c r="G216" s="4">
        <f t="shared" si="3"/>
        <v>41</v>
      </c>
    </row>
    <row r="217" spans="1:7" x14ac:dyDescent="0.25">
      <c r="A217" s="1" t="s">
        <v>4196</v>
      </c>
      <c r="B217" s="1" t="s">
        <v>2537</v>
      </c>
      <c r="C217" s="4">
        <v>126</v>
      </c>
      <c r="D217" s="4">
        <v>85</v>
      </c>
      <c r="E217" s="4">
        <v>78</v>
      </c>
      <c r="F217" s="5">
        <v>97.7</v>
      </c>
      <c r="G217" s="4">
        <f t="shared" si="3"/>
        <v>41</v>
      </c>
    </row>
    <row r="218" spans="1:7" x14ac:dyDescent="0.25">
      <c r="A218" s="1" t="s">
        <v>4221</v>
      </c>
      <c r="B218" s="1" t="s">
        <v>2585</v>
      </c>
      <c r="C218" s="4">
        <v>126</v>
      </c>
      <c r="D218" s="4">
        <v>80</v>
      </c>
      <c r="E218" s="4">
        <v>84</v>
      </c>
      <c r="F218" s="5">
        <v>99.2</v>
      </c>
      <c r="G218" s="4">
        <f t="shared" si="3"/>
        <v>46</v>
      </c>
    </row>
    <row r="219" spans="1:7" x14ac:dyDescent="0.25">
      <c r="A219" s="1" t="s">
        <v>4232</v>
      </c>
      <c r="B219" s="1" t="s">
        <v>2606</v>
      </c>
      <c r="C219" s="4">
        <v>126</v>
      </c>
      <c r="D219" s="4">
        <v>74</v>
      </c>
      <c r="E219" s="4">
        <v>71</v>
      </c>
      <c r="F219" s="5">
        <v>99.4</v>
      </c>
      <c r="G219" s="4">
        <f t="shared" si="3"/>
        <v>52</v>
      </c>
    </row>
    <row r="220" spans="1:7" x14ac:dyDescent="0.25">
      <c r="A220" s="1" t="s">
        <v>4255</v>
      </c>
      <c r="B220" s="1" t="s">
        <v>2650</v>
      </c>
      <c r="C220" s="4">
        <v>126</v>
      </c>
      <c r="D220" s="4">
        <v>75</v>
      </c>
      <c r="E220" s="4">
        <v>98</v>
      </c>
      <c r="F220" s="5">
        <v>98</v>
      </c>
      <c r="G220" s="4">
        <f t="shared" si="3"/>
        <v>51</v>
      </c>
    </row>
    <row r="221" spans="1:7" x14ac:dyDescent="0.25">
      <c r="A221" s="1" t="s">
        <v>4260</v>
      </c>
      <c r="B221" s="1" t="s">
        <v>2660</v>
      </c>
      <c r="C221" s="4">
        <v>126</v>
      </c>
      <c r="D221" s="4">
        <v>70</v>
      </c>
      <c r="E221" s="4">
        <v>82</v>
      </c>
      <c r="F221" s="5">
        <v>98.2</v>
      </c>
      <c r="G221" s="4">
        <f t="shared" si="3"/>
        <v>56</v>
      </c>
    </row>
    <row r="222" spans="1:7" x14ac:dyDescent="0.25">
      <c r="A222" s="1" t="s">
        <v>4283</v>
      </c>
      <c r="B222" s="1" t="s">
        <v>2701</v>
      </c>
      <c r="C222" s="4">
        <v>126</v>
      </c>
      <c r="D222" s="4">
        <v>89</v>
      </c>
      <c r="E222" s="4">
        <v>76</v>
      </c>
      <c r="F222" s="5">
        <v>98.4</v>
      </c>
      <c r="G222" s="4">
        <f t="shared" si="3"/>
        <v>37</v>
      </c>
    </row>
    <row r="223" spans="1:7" x14ac:dyDescent="0.25">
      <c r="A223" s="1" t="s">
        <v>4285</v>
      </c>
      <c r="B223" s="1" t="s">
        <v>2704</v>
      </c>
      <c r="C223" s="4">
        <v>126</v>
      </c>
      <c r="D223" s="4">
        <v>75</v>
      </c>
      <c r="E223" s="4">
        <v>87</v>
      </c>
      <c r="F223" s="5">
        <v>97.8</v>
      </c>
      <c r="G223" s="4">
        <f t="shared" si="3"/>
        <v>51</v>
      </c>
    </row>
    <row r="224" spans="1:7" x14ac:dyDescent="0.25">
      <c r="A224" s="1" t="s">
        <v>4289</v>
      </c>
      <c r="B224" s="1" t="s">
        <v>2712</v>
      </c>
      <c r="C224" s="4">
        <v>126</v>
      </c>
      <c r="D224" s="4">
        <v>84</v>
      </c>
      <c r="E224" s="4">
        <v>81</v>
      </c>
      <c r="F224" s="5">
        <v>97.8</v>
      </c>
      <c r="G224" s="4">
        <f t="shared" si="3"/>
        <v>42</v>
      </c>
    </row>
    <row r="225" spans="1:7" x14ac:dyDescent="0.25">
      <c r="A225" s="1" t="s">
        <v>4299</v>
      </c>
      <c r="B225" s="1" t="s">
        <v>2730</v>
      </c>
      <c r="C225" s="4">
        <v>126</v>
      </c>
      <c r="D225" s="4">
        <v>87</v>
      </c>
      <c r="E225" s="4">
        <v>66</v>
      </c>
      <c r="F225" s="5">
        <v>98.2</v>
      </c>
      <c r="G225" s="4">
        <f t="shared" si="3"/>
        <v>39</v>
      </c>
    </row>
    <row r="226" spans="1:7" x14ac:dyDescent="0.25">
      <c r="A226" s="1" t="s">
        <v>4325</v>
      </c>
      <c r="B226" s="1" t="s">
        <v>2778</v>
      </c>
      <c r="C226" s="4">
        <v>126</v>
      </c>
      <c r="D226" s="4">
        <v>70</v>
      </c>
      <c r="E226" s="4">
        <v>74</v>
      </c>
      <c r="F226" s="5">
        <v>97.7</v>
      </c>
      <c r="G226" s="4">
        <f t="shared" si="3"/>
        <v>56</v>
      </c>
    </row>
    <row r="227" spans="1:7" x14ac:dyDescent="0.25">
      <c r="A227" s="1" t="s">
        <v>4366</v>
      </c>
      <c r="B227" s="1" t="s">
        <v>2851</v>
      </c>
      <c r="C227" s="4">
        <v>126</v>
      </c>
      <c r="D227" s="4">
        <v>72</v>
      </c>
      <c r="E227" s="4">
        <v>85</v>
      </c>
      <c r="F227" s="5">
        <v>97.9</v>
      </c>
      <c r="G227" s="4">
        <f t="shared" si="3"/>
        <v>54</v>
      </c>
    </row>
    <row r="228" spans="1:7" x14ac:dyDescent="0.25">
      <c r="A228" s="1" t="s">
        <v>4385</v>
      </c>
      <c r="B228" s="1" t="s">
        <v>2884</v>
      </c>
      <c r="C228" s="4">
        <v>126</v>
      </c>
      <c r="D228" s="4">
        <v>77</v>
      </c>
      <c r="E228" s="4">
        <v>88</v>
      </c>
      <c r="F228" s="5">
        <v>97.5</v>
      </c>
      <c r="G228" s="4">
        <f t="shared" si="3"/>
        <v>49</v>
      </c>
    </row>
    <row r="229" spans="1:7" x14ac:dyDescent="0.25">
      <c r="A229" s="1" t="s">
        <v>4392</v>
      </c>
      <c r="B229" s="1" t="s">
        <v>2893</v>
      </c>
      <c r="C229" s="4">
        <v>126</v>
      </c>
      <c r="D229" s="4">
        <v>71</v>
      </c>
      <c r="E229" s="4">
        <v>74</v>
      </c>
      <c r="F229" s="5">
        <v>97.7</v>
      </c>
      <c r="G229" s="4">
        <f t="shared" si="3"/>
        <v>55</v>
      </c>
    </row>
    <row r="230" spans="1:7" x14ac:dyDescent="0.25">
      <c r="A230" s="1" t="s">
        <v>4398</v>
      </c>
      <c r="B230" s="1" t="s">
        <v>2905</v>
      </c>
      <c r="C230" s="4">
        <v>126</v>
      </c>
      <c r="D230" s="4">
        <v>88</v>
      </c>
      <c r="E230" s="4">
        <v>80</v>
      </c>
      <c r="F230" s="5">
        <v>97.7</v>
      </c>
      <c r="G230" s="4">
        <f t="shared" si="3"/>
        <v>38</v>
      </c>
    </row>
    <row r="231" spans="1:7" x14ac:dyDescent="0.25">
      <c r="A231" s="1" t="s">
        <v>4437</v>
      </c>
      <c r="B231" s="1" t="s">
        <v>2971</v>
      </c>
      <c r="C231" s="4">
        <v>126</v>
      </c>
      <c r="D231" s="4">
        <v>71</v>
      </c>
      <c r="E231" s="4">
        <v>76</v>
      </c>
      <c r="F231" s="5">
        <v>97.6</v>
      </c>
      <c r="G231" s="4">
        <f t="shared" si="3"/>
        <v>55</v>
      </c>
    </row>
    <row r="232" spans="1:7" x14ac:dyDescent="0.25">
      <c r="A232" s="1" t="s">
        <v>4454</v>
      </c>
      <c r="B232" s="1" t="s">
        <v>3000</v>
      </c>
      <c r="C232" s="4">
        <v>126</v>
      </c>
      <c r="D232" s="4">
        <v>84</v>
      </c>
      <c r="E232" s="4">
        <v>67</v>
      </c>
      <c r="F232" s="5">
        <v>98.5</v>
      </c>
      <c r="G232" s="4">
        <f t="shared" si="3"/>
        <v>42</v>
      </c>
    </row>
    <row r="233" spans="1:7" x14ac:dyDescent="0.25">
      <c r="A233" s="1" t="s">
        <v>4472</v>
      </c>
      <c r="B233" s="1" t="s">
        <v>3034</v>
      </c>
      <c r="C233" s="4">
        <v>126</v>
      </c>
      <c r="D233" s="4">
        <v>73</v>
      </c>
      <c r="E233" s="4">
        <v>70</v>
      </c>
      <c r="F233" s="5">
        <v>99.3</v>
      </c>
      <c r="G233" s="4">
        <f t="shared" si="3"/>
        <v>53</v>
      </c>
    </row>
    <row r="234" spans="1:7" x14ac:dyDescent="0.25">
      <c r="A234" s="1" t="s">
        <v>3983</v>
      </c>
      <c r="B234" s="1" t="s">
        <v>2098</v>
      </c>
      <c r="C234" s="4">
        <v>125</v>
      </c>
      <c r="D234" s="4">
        <v>73</v>
      </c>
      <c r="E234" s="4">
        <v>99</v>
      </c>
      <c r="F234" s="5">
        <v>98.6</v>
      </c>
      <c r="G234" s="4">
        <f t="shared" si="3"/>
        <v>52</v>
      </c>
    </row>
    <row r="235" spans="1:7" x14ac:dyDescent="0.25">
      <c r="A235" s="1" t="s">
        <v>3988</v>
      </c>
      <c r="B235" s="1" t="s">
        <v>2115</v>
      </c>
      <c r="C235" s="4">
        <v>125</v>
      </c>
      <c r="D235" s="4">
        <v>74</v>
      </c>
      <c r="E235" s="4">
        <v>94</v>
      </c>
      <c r="F235" s="5">
        <v>98.2</v>
      </c>
      <c r="G235" s="4">
        <f t="shared" si="3"/>
        <v>51</v>
      </c>
    </row>
    <row r="236" spans="1:7" x14ac:dyDescent="0.25">
      <c r="A236" s="1" t="s">
        <v>4014</v>
      </c>
      <c r="B236" s="1" t="s">
        <v>2179</v>
      </c>
      <c r="C236" s="4">
        <v>125</v>
      </c>
      <c r="D236" s="4">
        <v>84</v>
      </c>
      <c r="E236" s="4">
        <v>69</v>
      </c>
      <c r="F236" s="5">
        <v>99.1</v>
      </c>
      <c r="G236" s="4">
        <f t="shared" si="3"/>
        <v>41</v>
      </c>
    </row>
    <row r="237" spans="1:7" x14ac:dyDescent="0.25">
      <c r="A237" s="1" t="s">
        <v>4092</v>
      </c>
      <c r="B237" s="1" t="s">
        <v>2338</v>
      </c>
      <c r="C237" s="4">
        <v>125</v>
      </c>
      <c r="D237" s="4">
        <v>87</v>
      </c>
      <c r="E237" s="4">
        <v>67</v>
      </c>
      <c r="F237" s="5">
        <v>97.7</v>
      </c>
      <c r="G237" s="4">
        <f t="shared" si="3"/>
        <v>38</v>
      </c>
    </row>
    <row r="238" spans="1:7" x14ac:dyDescent="0.25">
      <c r="A238" s="1" t="s">
        <v>4109</v>
      </c>
      <c r="B238" s="1" t="s">
        <v>2371</v>
      </c>
      <c r="C238" s="4">
        <v>125</v>
      </c>
      <c r="D238" s="4">
        <v>85</v>
      </c>
      <c r="E238" s="4">
        <v>76</v>
      </c>
      <c r="F238" s="5">
        <v>99.3</v>
      </c>
      <c r="G238" s="4">
        <f t="shared" si="3"/>
        <v>40</v>
      </c>
    </row>
    <row r="239" spans="1:7" x14ac:dyDescent="0.25">
      <c r="A239" s="1" t="s">
        <v>4120</v>
      </c>
      <c r="B239" s="1" t="s">
        <v>2392</v>
      </c>
      <c r="C239" s="4">
        <v>125</v>
      </c>
      <c r="D239" s="4">
        <v>77</v>
      </c>
      <c r="E239" s="4">
        <v>90</v>
      </c>
      <c r="F239" s="5">
        <v>98.3</v>
      </c>
      <c r="G239" s="4">
        <f t="shared" si="3"/>
        <v>48</v>
      </c>
    </row>
    <row r="240" spans="1:7" x14ac:dyDescent="0.25">
      <c r="A240" s="1" t="s">
        <v>4171</v>
      </c>
      <c r="B240" s="1" t="s">
        <v>2490</v>
      </c>
      <c r="C240" s="4">
        <v>125</v>
      </c>
      <c r="D240" s="4">
        <v>81</v>
      </c>
      <c r="E240" s="4">
        <v>75</v>
      </c>
      <c r="F240" s="5">
        <v>97.9</v>
      </c>
      <c r="G240" s="4">
        <f t="shared" si="3"/>
        <v>44</v>
      </c>
    </row>
    <row r="241" spans="1:7" x14ac:dyDescent="0.25">
      <c r="A241" s="1" t="s">
        <v>4195</v>
      </c>
      <c r="B241" s="1" t="s">
        <v>2535</v>
      </c>
      <c r="C241" s="4">
        <v>125</v>
      </c>
      <c r="D241" s="4">
        <v>82</v>
      </c>
      <c r="E241" s="4">
        <v>92</v>
      </c>
      <c r="F241" s="5">
        <v>99.3</v>
      </c>
      <c r="G241" s="4">
        <f t="shared" si="3"/>
        <v>43</v>
      </c>
    </row>
    <row r="242" spans="1:7" x14ac:dyDescent="0.25">
      <c r="A242" s="1" t="s">
        <v>4226</v>
      </c>
      <c r="B242" s="1" t="s">
        <v>2594</v>
      </c>
      <c r="C242" s="4">
        <v>125</v>
      </c>
      <c r="D242" s="4">
        <v>72</v>
      </c>
      <c r="E242" s="4">
        <v>86</v>
      </c>
      <c r="F242" s="5">
        <v>98.3</v>
      </c>
      <c r="G242" s="4">
        <f t="shared" si="3"/>
        <v>53</v>
      </c>
    </row>
    <row r="243" spans="1:7" x14ac:dyDescent="0.25">
      <c r="A243" s="1" t="s">
        <v>4240</v>
      </c>
      <c r="B243" s="1" t="s">
        <v>2621</v>
      </c>
      <c r="C243" s="4">
        <v>125</v>
      </c>
      <c r="D243" s="4">
        <v>81</v>
      </c>
      <c r="E243" s="4">
        <v>95</v>
      </c>
      <c r="F243" s="5">
        <v>97.6</v>
      </c>
      <c r="G243" s="4">
        <f t="shared" si="3"/>
        <v>44</v>
      </c>
    </row>
    <row r="244" spans="1:7" x14ac:dyDescent="0.25">
      <c r="A244" s="1" t="s">
        <v>4314</v>
      </c>
      <c r="B244" s="1" t="s">
        <v>2757</v>
      </c>
      <c r="C244" s="4">
        <v>125</v>
      </c>
      <c r="D244" s="4">
        <v>76</v>
      </c>
      <c r="E244" s="4">
        <v>67</v>
      </c>
      <c r="F244" s="5">
        <v>98.5</v>
      </c>
      <c r="G244" s="4">
        <f t="shared" si="3"/>
        <v>49</v>
      </c>
    </row>
    <row r="245" spans="1:7" x14ac:dyDescent="0.25">
      <c r="A245" s="1" t="s">
        <v>4353</v>
      </c>
      <c r="B245" s="1" t="s">
        <v>2828</v>
      </c>
      <c r="C245" s="4">
        <v>125</v>
      </c>
      <c r="D245" s="4">
        <v>86</v>
      </c>
      <c r="E245" s="4">
        <v>79</v>
      </c>
      <c r="F245" s="5">
        <v>97.6</v>
      </c>
      <c r="G245" s="4">
        <f t="shared" si="3"/>
        <v>39</v>
      </c>
    </row>
    <row r="246" spans="1:7" x14ac:dyDescent="0.25">
      <c r="A246" s="1" t="s">
        <v>4360</v>
      </c>
      <c r="B246" s="1" t="s">
        <v>2839</v>
      </c>
      <c r="C246" s="4">
        <v>125</v>
      </c>
      <c r="D246" s="4">
        <v>76</v>
      </c>
      <c r="E246" s="4">
        <v>88</v>
      </c>
      <c r="F246" s="5">
        <v>98.9</v>
      </c>
      <c r="G246" s="4">
        <f t="shared" si="3"/>
        <v>49</v>
      </c>
    </row>
    <row r="247" spans="1:7" x14ac:dyDescent="0.25">
      <c r="A247" s="1" t="s">
        <v>4375</v>
      </c>
      <c r="B247" s="1" t="s">
        <v>2867</v>
      </c>
      <c r="C247" s="4">
        <v>125</v>
      </c>
      <c r="D247" s="4">
        <v>77</v>
      </c>
      <c r="E247" s="4">
        <v>95</v>
      </c>
      <c r="F247" s="5">
        <v>99.5</v>
      </c>
      <c r="G247" s="4">
        <f t="shared" si="3"/>
        <v>48</v>
      </c>
    </row>
    <row r="248" spans="1:7" x14ac:dyDescent="0.25">
      <c r="A248" s="1" t="s">
        <v>4413</v>
      </c>
      <c r="B248" s="1" t="s">
        <v>2931</v>
      </c>
      <c r="C248" s="4">
        <v>125</v>
      </c>
      <c r="D248" s="4">
        <v>78</v>
      </c>
      <c r="E248" s="4">
        <v>72</v>
      </c>
      <c r="F248" s="5">
        <v>98.1</v>
      </c>
      <c r="G248" s="4">
        <f t="shared" si="3"/>
        <v>47</v>
      </c>
    </row>
    <row r="249" spans="1:7" x14ac:dyDescent="0.25">
      <c r="A249" s="1" t="s">
        <v>4442</v>
      </c>
      <c r="B249" s="1" t="s">
        <v>2980</v>
      </c>
      <c r="C249" s="4">
        <v>125</v>
      </c>
      <c r="D249" s="4">
        <v>73</v>
      </c>
      <c r="E249" s="4">
        <v>78</v>
      </c>
      <c r="F249" s="5">
        <v>99</v>
      </c>
      <c r="G249" s="4">
        <f t="shared" si="3"/>
        <v>52</v>
      </c>
    </row>
    <row r="250" spans="1:7" x14ac:dyDescent="0.25">
      <c r="A250" s="1" t="s">
        <v>3987</v>
      </c>
      <c r="B250" s="1" t="s">
        <v>2112</v>
      </c>
      <c r="C250" s="4">
        <v>124</v>
      </c>
      <c r="D250" s="4">
        <v>79</v>
      </c>
      <c r="E250" s="4">
        <v>79</v>
      </c>
      <c r="F250" s="5">
        <v>99.2</v>
      </c>
      <c r="G250" s="4">
        <f t="shared" si="3"/>
        <v>45</v>
      </c>
    </row>
    <row r="251" spans="1:7" x14ac:dyDescent="0.25">
      <c r="A251" s="1" t="s">
        <v>3995</v>
      </c>
      <c r="B251" s="1" t="s">
        <v>2134</v>
      </c>
      <c r="C251" s="4">
        <v>124</v>
      </c>
      <c r="D251" s="4">
        <v>89</v>
      </c>
      <c r="E251" s="4">
        <v>60</v>
      </c>
      <c r="F251" s="5">
        <v>99</v>
      </c>
      <c r="G251" s="4">
        <f t="shared" si="3"/>
        <v>35</v>
      </c>
    </row>
    <row r="252" spans="1:7" x14ac:dyDescent="0.25">
      <c r="A252" s="1" t="s">
        <v>4004</v>
      </c>
      <c r="B252" s="1" t="s">
        <v>2156</v>
      </c>
      <c r="C252" s="4">
        <v>124</v>
      </c>
      <c r="D252" s="4">
        <v>83</v>
      </c>
      <c r="E252" s="4">
        <v>78</v>
      </c>
      <c r="F252" s="5">
        <v>98.4</v>
      </c>
      <c r="G252" s="4">
        <f t="shared" si="3"/>
        <v>41</v>
      </c>
    </row>
    <row r="253" spans="1:7" x14ac:dyDescent="0.25">
      <c r="A253" s="1" t="s">
        <v>4010</v>
      </c>
      <c r="B253" s="1" t="s">
        <v>2171</v>
      </c>
      <c r="C253" s="4">
        <v>124</v>
      </c>
      <c r="D253" s="4">
        <v>70</v>
      </c>
      <c r="E253" s="4">
        <v>63</v>
      </c>
      <c r="F253" s="5">
        <v>99.5</v>
      </c>
      <c r="G253" s="4">
        <f t="shared" si="3"/>
        <v>54</v>
      </c>
    </row>
    <row r="254" spans="1:7" x14ac:dyDescent="0.25">
      <c r="A254" s="1" t="s">
        <v>4013</v>
      </c>
      <c r="B254" s="1" t="s">
        <v>2177</v>
      </c>
      <c r="C254" s="4">
        <v>124</v>
      </c>
      <c r="D254" s="4">
        <v>77</v>
      </c>
      <c r="E254" s="4">
        <v>63</v>
      </c>
      <c r="F254" s="5">
        <v>99.2</v>
      </c>
      <c r="G254" s="4">
        <f t="shared" si="3"/>
        <v>47</v>
      </c>
    </row>
    <row r="255" spans="1:7" x14ac:dyDescent="0.25">
      <c r="A255" s="1" t="s">
        <v>4028</v>
      </c>
      <c r="B255" s="1" t="s">
        <v>2209</v>
      </c>
      <c r="C255" s="4">
        <v>124</v>
      </c>
      <c r="D255" s="4">
        <v>75</v>
      </c>
      <c r="E255" s="4">
        <v>97</v>
      </c>
      <c r="F255" s="5">
        <v>98.6</v>
      </c>
      <c r="G255" s="4">
        <f t="shared" si="3"/>
        <v>49</v>
      </c>
    </row>
    <row r="256" spans="1:7" x14ac:dyDescent="0.25">
      <c r="A256" s="1" t="s">
        <v>4085</v>
      </c>
      <c r="B256" s="1" t="s">
        <v>2324</v>
      </c>
      <c r="C256" s="4">
        <v>124</v>
      </c>
      <c r="D256" s="4">
        <v>82</v>
      </c>
      <c r="E256" s="4">
        <v>79</v>
      </c>
      <c r="F256" s="5">
        <v>98.5</v>
      </c>
      <c r="G256" s="4">
        <f t="shared" si="3"/>
        <v>42</v>
      </c>
    </row>
    <row r="257" spans="1:7" x14ac:dyDescent="0.25">
      <c r="A257" s="1" t="s">
        <v>4125</v>
      </c>
      <c r="B257" s="1" t="s">
        <v>2400</v>
      </c>
      <c r="C257" s="4">
        <v>124</v>
      </c>
      <c r="D257" s="4">
        <v>84</v>
      </c>
      <c r="E257" s="4">
        <v>66</v>
      </c>
      <c r="F257" s="5">
        <v>98.6</v>
      </c>
      <c r="G257" s="4">
        <f t="shared" si="3"/>
        <v>40</v>
      </c>
    </row>
    <row r="258" spans="1:7" x14ac:dyDescent="0.25">
      <c r="A258" s="1" t="s">
        <v>4152</v>
      </c>
      <c r="B258" s="1" t="s">
        <v>2453</v>
      </c>
      <c r="C258" s="4">
        <v>124</v>
      </c>
      <c r="D258" s="4">
        <v>88</v>
      </c>
      <c r="E258" s="4">
        <v>65</v>
      </c>
      <c r="F258" s="5">
        <v>98.1</v>
      </c>
      <c r="G258" s="4">
        <f t="shared" ref="G258:G321" si="4">C258-D258</f>
        <v>36</v>
      </c>
    </row>
    <row r="259" spans="1:7" x14ac:dyDescent="0.25">
      <c r="A259" s="1" t="s">
        <v>4177</v>
      </c>
      <c r="B259" s="1" t="s">
        <v>2501</v>
      </c>
      <c r="C259" s="4">
        <v>124</v>
      </c>
      <c r="D259" s="4">
        <v>89</v>
      </c>
      <c r="E259" s="4">
        <v>91</v>
      </c>
      <c r="F259" s="5">
        <v>97.9</v>
      </c>
      <c r="G259" s="4">
        <f t="shared" si="4"/>
        <v>35</v>
      </c>
    </row>
    <row r="260" spans="1:7" x14ac:dyDescent="0.25">
      <c r="A260" s="1" t="s">
        <v>4191</v>
      </c>
      <c r="B260" s="1" t="s">
        <v>2527</v>
      </c>
      <c r="C260" s="4">
        <v>124</v>
      </c>
      <c r="D260" s="4">
        <v>79</v>
      </c>
      <c r="E260" s="4">
        <v>87</v>
      </c>
      <c r="F260" s="5">
        <v>99.2</v>
      </c>
      <c r="G260" s="4">
        <f t="shared" si="4"/>
        <v>45</v>
      </c>
    </row>
    <row r="261" spans="1:7" x14ac:dyDescent="0.25">
      <c r="A261" s="1" t="s">
        <v>4244</v>
      </c>
      <c r="B261" s="1" t="s">
        <v>2629</v>
      </c>
      <c r="C261" s="4">
        <v>124</v>
      </c>
      <c r="D261" s="4">
        <v>86</v>
      </c>
      <c r="E261" s="4">
        <v>88</v>
      </c>
      <c r="F261" s="5">
        <v>97.5</v>
      </c>
      <c r="G261" s="4">
        <f t="shared" si="4"/>
        <v>38</v>
      </c>
    </row>
    <row r="262" spans="1:7" x14ac:dyDescent="0.25">
      <c r="A262" s="1" t="s">
        <v>4346</v>
      </c>
      <c r="B262" s="1" t="s">
        <v>2814</v>
      </c>
      <c r="C262" s="4">
        <v>124</v>
      </c>
      <c r="D262" s="4">
        <v>89</v>
      </c>
      <c r="E262" s="4">
        <v>85</v>
      </c>
      <c r="F262" s="5">
        <v>97.8</v>
      </c>
      <c r="G262" s="4">
        <f t="shared" si="4"/>
        <v>35</v>
      </c>
    </row>
    <row r="263" spans="1:7" x14ac:dyDescent="0.25">
      <c r="A263" s="1" t="s">
        <v>4348</v>
      </c>
      <c r="B263" s="1" t="s">
        <v>2818</v>
      </c>
      <c r="C263" s="4">
        <v>124</v>
      </c>
      <c r="D263" s="4">
        <v>70</v>
      </c>
      <c r="E263" s="4">
        <v>81</v>
      </c>
      <c r="F263" s="5">
        <v>98.5</v>
      </c>
      <c r="G263" s="4">
        <f t="shared" si="4"/>
        <v>54</v>
      </c>
    </row>
    <row r="264" spans="1:7" x14ac:dyDescent="0.25">
      <c r="A264" s="1" t="s">
        <v>4380</v>
      </c>
      <c r="B264" s="1" t="s">
        <v>2876</v>
      </c>
      <c r="C264" s="4">
        <v>124</v>
      </c>
      <c r="D264" s="4">
        <v>71</v>
      </c>
      <c r="E264" s="4">
        <v>76</v>
      </c>
      <c r="F264" s="5">
        <v>97.8</v>
      </c>
      <c r="G264" s="4">
        <f t="shared" si="4"/>
        <v>53</v>
      </c>
    </row>
    <row r="265" spans="1:7" x14ac:dyDescent="0.25">
      <c r="A265" s="1" t="s">
        <v>4438</v>
      </c>
      <c r="B265" s="1" t="s">
        <v>2973</v>
      </c>
      <c r="C265" s="4">
        <v>124</v>
      </c>
      <c r="D265" s="4">
        <v>80</v>
      </c>
      <c r="E265" s="4">
        <v>84</v>
      </c>
      <c r="F265" s="5">
        <v>99.1</v>
      </c>
      <c r="G265" s="4">
        <f t="shared" si="4"/>
        <v>44</v>
      </c>
    </row>
    <row r="266" spans="1:7" x14ac:dyDescent="0.25">
      <c r="A266" s="1" t="s">
        <v>3984</v>
      </c>
      <c r="B266" s="1" t="s">
        <v>2101</v>
      </c>
      <c r="C266" s="4">
        <v>123</v>
      </c>
      <c r="D266" s="4">
        <v>74</v>
      </c>
      <c r="E266" s="4">
        <v>64</v>
      </c>
      <c r="F266" s="5">
        <v>98.9</v>
      </c>
      <c r="G266" s="4">
        <f t="shared" si="4"/>
        <v>49</v>
      </c>
    </row>
    <row r="267" spans="1:7" x14ac:dyDescent="0.25">
      <c r="A267" s="1" t="s">
        <v>4069</v>
      </c>
      <c r="B267" s="1" t="s">
        <v>2292</v>
      </c>
      <c r="C267" s="4">
        <v>123</v>
      </c>
      <c r="D267" s="4">
        <v>71</v>
      </c>
      <c r="E267" s="4">
        <v>75</v>
      </c>
      <c r="F267" s="5">
        <v>98.6</v>
      </c>
      <c r="G267" s="4">
        <f t="shared" si="4"/>
        <v>52</v>
      </c>
    </row>
    <row r="268" spans="1:7" x14ac:dyDescent="0.25">
      <c r="A268" s="1" t="s">
        <v>4090</v>
      </c>
      <c r="B268" s="1" t="s">
        <v>2334</v>
      </c>
      <c r="C268" s="4">
        <v>123</v>
      </c>
      <c r="D268" s="4">
        <v>70</v>
      </c>
      <c r="E268" s="4">
        <v>62</v>
      </c>
      <c r="F268" s="5">
        <v>97.6</v>
      </c>
      <c r="G268" s="4">
        <f t="shared" si="4"/>
        <v>53</v>
      </c>
    </row>
    <row r="269" spans="1:7" x14ac:dyDescent="0.25">
      <c r="A269" s="1" t="s">
        <v>4093</v>
      </c>
      <c r="B269" s="1" t="s">
        <v>2340</v>
      </c>
      <c r="C269" s="4">
        <v>123</v>
      </c>
      <c r="D269" s="4">
        <v>86</v>
      </c>
      <c r="E269" s="4">
        <v>92</v>
      </c>
      <c r="F269" s="5">
        <v>98.3</v>
      </c>
      <c r="G269" s="4">
        <f t="shared" si="4"/>
        <v>37</v>
      </c>
    </row>
    <row r="270" spans="1:7" x14ac:dyDescent="0.25">
      <c r="A270" s="1" t="s">
        <v>4117</v>
      </c>
      <c r="B270" s="1" t="s">
        <v>2386</v>
      </c>
      <c r="C270" s="4">
        <v>123</v>
      </c>
      <c r="D270" s="4">
        <v>79</v>
      </c>
      <c r="E270" s="4">
        <v>81</v>
      </c>
      <c r="F270" s="5">
        <v>98.6</v>
      </c>
      <c r="G270" s="4">
        <f t="shared" si="4"/>
        <v>44</v>
      </c>
    </row>
    <row r="271" spans="1:7" x14ac:dyDescent="0.25">
      <c r="A271" s="1" t="s">
        <v>4129</v>
      </c>
      <c r="B271" s="1" t="s">
        <v>2408</v>
      </c>
      <c r="C271" s="4">
        <v>123</v>
      </c>
      <c r="D271" s="4">
        <v>89</v>
      </c>
      <c r="E271" s="4">
        <v>87</v>
      </c>
      <c r="F271" s="5">
        <v>97.7</v>
      </c>
      <c r="G271" s="4">
        <f t="shared" si="4"/>
        <v>34</v>
      </c>
    </row>
    <row r="272" spans="1:7" x14ac:dyDescent="0.25">
      <c r="A272" s="1" t="s">
        <v>4142</v>
      </c>
      <c r="B272" s="1" t="s">
        <v>2433</v>
      </c>
      <c r="C272" s="4">
        <v>123</v>
      </c>
      <c r="D272" s="4">
        <v>85</v>
      </c>
      <c r="E272" s="4">
        <v>60</v>
      </c>
      <c r="F272" s="5">
        <v>99.4</v>
      </c>
      <c r="G272" s="4">
        <f t="shared" si="4"/>
        <v>38</v>
      </c>
    </row>
    <row r="273" spans="1:7" x14ac:dyDescent="0.25">
      <c r="A273" s="1" t="s">
        <v>4167</v>
      </c>
      <c r="B273" s="1" t="s">
        <v>2482</v>
      </c>
      <c r="C273" s="4">
        <v>123</v>
      </c>
      <c r="D273" s="4">
        <v>88</v>
      </c>
      <c r="E273" s="4">
        <v>74</v>
      </c>
      <c r="F273" s="5">
        <v>98.3</v>
      </c>
      <c r="G273" s="4">
        <f t="shared" si="4"/>
        <v>35</v>
      </c>
    </row>
    <row r="274" spans="1:7" x14ac:dyDescent="0.25">
      <c r="A274" s="1" t="s">
        <v>4202</v>
      </c>
      <c r="B274" s="1" t="s">
        <v>2549</v>
      </c>
      <c r="C274" s="4">
        <v>123</v>
      </c>
      <c r="D274" s="4">
        <v>87</v>
      </c>
      <c r="E274" s="4">
        <v>81</v>
      </c>
      <c r="F274" s="5">
        <v>98.4</v>
      </c>
      <c r="G274" s="4">
        <f t="shared" si="4"/>
        <v>36</v>
      </c>
    </row>
    <row r="275" spans="1:7" x14ac:dyDescent="0.25">
      <c r="A275" s="1" t="s">
        <v>4246</v>
      </c>
      <c r="B275" s="1" t="s">
        <v>2633</v>
      </c>
      <c r="C275" s="4">
        <v>123</v>
      </c>
      <c r="D275" s="4">
        <v>86</v>
      </c>
      <c r="E275" s="4">
        <v>95</v>
      </c>
      <c r="F275" s="5">
        <v>98.8</v>
      </c>
      <c r="G275" s="4">
        <f t="shared" si="4"/>
        <v>37</v>
      </c>
    </row>
    <row r="276" spans="1:7" x14ac:dyDescent="0.25">
      <c r="A276" s="1" t="s">
        <v>4275</v>
      </c>
      <c r="B276" s="1" t="s">
        <v>2687</v>
      </c>
      <c r="C276" s="4">
        <v>123</v>
      </c>
      <c r="D276" s="4">
        <v>70</v>
      </c>
      <c r="E276" s="4">
        <v>91</v>
      </c>
      <c r="F276" s="5">
        <v>97.5</v>
      </c>
      <c r="G276" s="4">
        <f t="shared" si="4"/>
        <v>53</v>
      </c>
    </row>
    <row r="277" spans="1:7" x14ac:dyDescent="0.25">
      <c r="A277" s="1" t="s">
        <v>4305</v>
      </c>
      <c r="B277" s="1" t="s">
        <v>2740</v>
      </c>
      <c r="C277" s="4">
        <v>123</v>
      </c>
      <c r="D277" s="4">
        <v>73</v>
      </c>
      <c r="E277" s="4">
        <v>74</v>
      </c>
      <c r="F277" s="5">
        <v>98.4</v>
      </c>
      <c r="G277" s="4">
        <f t="shared" si="4"/>
        <v>50</v>
      </c>
    </row>
    <row r="278" spans="1:7" x14ac:dyDescent="0.25">
      <c r="A278" s="1" t="s">
        <v>4315</v>
      </c>
      <c r="B278" s="1" t="s">
        <v>2759</v>
      </c>
      <c r="C278" s="4">
        <v>123</v>
      </c>
      <c r="D278" s="4">
        <v>88</v>
      </c>
      <c r="E278" s="4">
        <v>86</v>
      </c>
      <c r="F278" s="5">
        <v>98.6</v>
      </c>
      <c r="G278" s="4">
        <f t="shared" si="4"/>
        <v>35</v>
      </c>
    </row>
    <row r="279" spans="1:7" x14ac:dyDescent="0.25">
      <c r="A279" s="1" t="s">
        <v>4342</v>
      </c>
      <c r="B279" s="1" t="s">
        <v>2807</v>
      </c>
      <c r="C279" s="4">
        <v>123</v>
      </c>
      <c r="D279" s="4">
        <v>78</v>
      </c>
      <c r="E279" s="4">
        <v>82</v>
      </c>
      <c r="F279" s="5">
        <v>99.2</v>
      </c>
      <c r="G279" s="4">
        <f t="shared" si="4"/>
        <v>45</v>
      </c>
    </row>
    <row r="280" spans="1:7" x14ac:dyDescent="0.25">
      <c r="A280" s="1" t="s">
        <v>4350</v>
      </c>
      <c r="B280" s="1" t="s">
        <v>2822</v>
      </c>
      <c r="C280" s="4">
        <v>123</v>
      </c>
      <c r="D280" s="4">
        <v>70</v>
      </c>
      <c r="E280" s="4">
        <v>79</v>
      </c>
      <c r="F280" s="5">
        <v>98.8</v>
      </c>
      <c r="G280" s="4">
        <f t="shared" si="4"/>
        <v>53</v>
      </c>
    </row>
    <row r="281" spans="1:7" x14ac:dyDescent="0.25">
      <c r="A281" s="1" t="s">
        <v>4372</v>
      </c>
      <c r="B281" s="1" t="s">
        <v>2862</v>
      </c>
      <c r="C281" s="4">
        <v>123</v>
      </c>
      <c r="D281" s="4">
        <v>85</v>
      </c>
      <c r="E281" s="4">
        <v>71</v>
      </c>
      <c r="F281" s="5">
        <v>98.7</v>
      </c>
      <c r="G281" s="4">
        <f t="shared" si="4"/>
        <v>38</v>
      </c>
    </row>
    <row r="282" spans="1:7" x14ac:dyDescent="0.25">
      <c r="A282" s="1" t="s">
        <v>4386</v>
      </c>
      <c r="B282" s="1" t="s">
        <v>2885</v>
      </c>
      <c r="C282" s="4">
        <v>123</v>
      </c>
      <c r="D282" s="4">
        <v>72</v>
      </c>
      <c r="E282" s="4">
        <v>92</v>
      </c>
      <c r="F282" s="5">
        <v>98.3</v>
      </c>
      <c r="G282" s="4">
        <f t="shared" si="4"/>
        <v>51</v>
      </c>
    </row>
    <row r="283" spans="1:7" x14ac:dyDescent="0.25">
      <c r="A283" s="1" t="s">
        <v>4395</v>
      </c>
      <c r="B283" s="1" t="s">
        <v>2899</v>
      </c>
      <c r="C283" s="4">
        <v>123</v>
      </c>
      <c r="D283" s="4">
        <v>84</v>
      </c>
      <c r="E283" s="4">
        <v>100</v>
      </c>
      <c r="F283" s="5">
        <v>98.8</v>
      </c>
      <c r="G283" s="4">
        <f t="shared" si="4"/>
        <v>39</v>
      </c>
    </row>
    <row r="284" spans="1:7" x14ac:dyDescent="0.25">
      <c r="A284" s="1" t="s">
        <v>4001</v>
      </c>
      <c r="B284" s="1" t="s">
        <v>2149</v>
      </c>
      <c r="C284" s="4">
        <v>122</v>
      </c>
      <c r="D284" s="4">
        <v>81</v>
      </c>
      <c r="E284" s="4">
        <v>60</v>
      </c>
      <c r="F284" s="5">
        <v>98.7</v>
      </c>
      <c r="G284" s="4">
        <f t="shared" si="4"/>
        <v>41</v>
      </c>
    </row>
    <row r="285" spans="1:7" x14ac:dyDescent="0.25">
      <c r="A285" s="1" t="s">
        <v>4032</v>
      </c>
      <c r="B285" s="1" t="s">
        <v>2218</v>
      </c>
      <c r="C285" s="4">
        <v>122</v>
      </c>
      <c r="D285" s="4">
        <v>83</v>
      </c>
      <c r="E285" s="4">
        <v>77</v>
      </c>
      <c r="F285" s="5">
        <v>98.5</v>
      </c>
      <c r="G285" s="4">
        <f t="shared" si="4"/>
        <v>39</v>
      </c>
    </row>
    <row r="286" spans="1:7" x14ac:dyDescent="0.25">
      <c r="A286" s="1" t="s">
        <v>4068</v>
      </c>
      <c r="B286" s="1" t="s">
        <v>2290</v>
      </c>
      <c r="C286" s="4">
        <v>122</v>
      </c>
      <c r="D286" s="4">
        <v>86</v>
      </c>
      <c r="E286" s="4">
        <v>100</v>
      </c>
      <c r="F286" s="5">
        <v>99.2</v>
      </c>
      <c r="G286" s="4">
        <f t="shared" si="4"/>
        <v>36</v>
      </c>
    </row>
    <row r="287" spans="1:7" x14ac:dyDescent="0.25">
      <c r="A287" s="1" t="s">
        <v>4073</v>
      </c>
      <c r="B287" s="1" t="s">
        <v>2300</v>
      </c>
      <c r="C287" s="4">
        <v>122</v>
      </c>
      <c r="D287" s="4">
        <v>77</v>
      </c>
      <c r="E287" s="4">
        <v>85</v>
      </c>
      <c r="F287" s="5">
        <v>97.6</v>
      </c>
      <c r="G287" s="4">
        <f t="shared" si="4"/>
        <v>45</v>
      </c>
    </row>
    <row r="288" spans="1:7" x14ac:dyDescent="0.25">
      <c r="A288" s="1" t="s">
        <v>4112</v>
      </c>
      <c r="B288" s="1" t="s">
        <v>2376</v>
      </c>
      <c r="C288" s="4">
        <v>122</v>
      </c>
      <c r="D288" s="4">
        <v>82</v>
      </c>
      <c r="E288" s="4">
        <v>95</v>
      </c>
      <c r="F288" s="5">
        <v>98.5</v>
      </c>
      <c r="G288" s="4">
        <f t="shared" si="4"/>
        <v>40</v>
      </c>
    </row>
    <row r="289" spans="1:7" x14ac:dyDescent="0.25">
      <c r="A289" s="1" t="s">
        <v>4124</v>
      </c>
      <c r="B289" s="1" t="s">
        <v>2399</v>
      </c>
      <c r="C289" s="4">
        <v>122</v>
      </c>
      <c r="D289" s="4">
        <v>74</v>
      </c>
      <c r="E289" s="4">
        <v>79</v>
      </c>
      <c r="F289" s="5">
        <v>97.7</v>
      </c>
      <c r="G289" s="4">
        <f t="shared" si="4"/>
        <v>48</v>
      </c>
    </row>
    <row r="290" spans="1:7" x14ac:dyDescent="0.25">
      <c r="A290" s="1" t="s">
        <v>4159</v>
      </c>
      <c r="B290" s="1" t="s">
        <v>2467</v>
      </c>
      <c r="C290" s="4">
        <v>122</v>
      </c>
      <c r="D290" s="4">
        <v>71</v>
      </c>
      <c r="E290" s="4">
        <v>75</v>
      </c>
      <c r="F290" s="5">
        <v>98.1</v>
      </c>
      <c r="G290" s="4">
        <f t="shared" si="4"/>
        <v>51</v>
      </c>
    </row>
    <row r="291" spans="1:7" x14ac:dyDescent="0.25">
      <c r="A291" s="1" t="s">
        <v>4184</v>
      </c>
      <c r="B291" s="1" t="s">
        <v>2513</v>
      </c>
      <c r="C291" s="4">
        <v>122</v>
      </c>
      <c r="D291" s="4">
        <v>87</v>
      </c>
      <c r="E291" s="4">
        <v>91</v>
      </c>
      <c r="F291" s="5">
        <v>97.8</v>
      </c>
      <c r="G291" s="4">
        <f t="shared" si="4"/>
        <v>35</v>
      </c>
    </row>
    <row r="292" spans="1:7" x14ac:dyDescent="0.25">
      <c r="A292" s="1" t="s">
        <v>4199</v>
      </c>
      <c r="B292" s="1" t="s">
        <v>2543</v>
      </c>
      <c r="C292" s="4">
        <v>122</v>
      </c>
      <c r="D292" s="4">
        <v>82</v>
      </c>
      <c r="E292" s="4">
        <v>72</v>
      </c>
      <c r="F292" s="5">
        <v>98.5</v>
      </c>
      <c r="G292" s="4">
        <f t="shared" si="4"/>
        <v>40</v>
      </c>
    </row>
    <row r="293" spans="1:7" x14ac:dyDescent="0.25">
      <c r="A293" s="1" t="s">
        <v>4262</v>
      </c>
      <c r="B293" s="1" t="s">
        <v>2664</v>
      </c>
      <c r="C293" s="4">
        <v>122</v>
      </c>
      <c r="D293" s="4">
        <v>90</v>
      </c>
      <c r="E293" s="4">
        <v>80</v>
      </c>
      <c r="F293" s="5">
        <v>97.7</v>
      </c>
      <c r="G293" s="4">
        <f t="shared" si="4"/>
        <v>32</v>
      </c>
    </row>
    <row r="294" spans="1:7" x14ac:dyDescent="0.25">
      <c r="A294" s="1" t="s">
        <v>4267</v>
      </c>
      <c r="B294" s="1" t="s">
        <v>2674</v>
      </c>
      <c r="C294" s="4">
        <v>122</v>
      </c>
      <c r="D294" s="4">
        <v>84</v>
      </c>
      <c r="E294" s="4">
        <v>78</v>
      </c>
      <c r="F294" s="5">
        <v>98.6</v>
      </c>
      <c r="G294" s="4">
        <f t="shared" si="4"/>
        <v>38</v>
      </c>
    </row>
    <row r="295" spans="1:7" x14ac:dyDescent="0.25">
      <c r="A295" s="1" t="s">
        <v>4277</v>
      </c>
      <c r="B295" s="1" t="s">
        <v>2690</v>
      </c>
      <c r="C295" s="4">
        <v>122</v>
      </c>
      <c r="D295" s="4">
        <v>78</v>
      </c>
      <c r="E295" s="4">
        <v>92</v>
      </c>
      <c r="F295" s="5">
        <v>97.8</v>
      </c>
      <c r="G295" s="4">
        <f t="shared" si="4"/>
        <v>44</v>
      </c>
    </row>
    <row r="296" spans="1:7" x14ac:dyDescent="0.25">
      <c r="A296" s="1" t="s">
        <v>4306</v>
      </c>
      <c r="B296" s="1" t="s">
        <v>2742</v>
      </c>
      <c r="C296" s="4">
        <v>122</v>
      </c>
      <c r="D296" s="4">
        <v>80</v>
      </c>
      <c r="E296" s="4">
        <v>100</v>
      </c>
      <c r="F296" s="5">
        <v>97.6</v>
      </c>
      <c r="G296" s="4">
        <f t="shared" si="4"/>
        <v>42</v>
      </c>
    </row>
    <row r="297" spans="1:7" x14ac:dyDescent="0.25">
      <c r="A297" s="1" t="s">
        <v>4324</v>
      </c>
      <c r="B297" s="1" t="s">
        <v>2776</v>
      </c>
      <c r="C297" s="4">
        <v>122</v>
      </c>
      <c r="D297" s="4">
        <v>79</v>
      </c>
      <c r="E297" s="4">
        <v>60</v>
      </c>
      <c r="F297" s="5">
        <v>98.4</v>
      </c>
      <c r="G297" s="4">
        <f t="shared" si="4"/>
        <v>43</v>
      </c>
    </row>
    <row r="298" spans="1:7" x14ac:dyDescent="0.25">
      <c r="A298" s="1" t="s">
        <v>4352</v>
      </c>
      <c r="B298" s="1" t="s">
        <v>2826</v>
      </c>
      <c r="C298" s="4">
        <v>122</v>
      </c>
      <c r="D298" s="4">
        <v>80</v>
      </c>
      <c r="E298" s="4">
        <v>78</v>
      </c>
      <c r="F298" s="5">
        <v>98.5</v>
      </c>
      <c r="G298" s="4">
        <f t="shared" si="4"/>
        <v>42</v>
      </c>
    </row>
    <row r="299" spans="1:7" x14ac:dyDescent="0.25">
      <c r="A299" s="1" t="s">
        <v>4355</v>
      </c>
      <c r="B299" s="1" t="s">
        <v>2831</v>
      </c>
      <c r="C299" s="4">
        <v>122</v>
      </c>
      <c r="D299" s="4">
        <v>79</v>
      </c>
      <c r="E299" s="4">
        <v>94</v>
      </c>
      <c r="F299" s="5">
        <v>99.4</v>
      </c>
      <c r="G299" s="4">
        <f t="shared" si="4"/>
        <v>43</v>
      </c>
    </row>
    <row r="300" spans="1:7" x14ac:dyDescent="0.25">
      <c r="A300" s="1" t="s">
        <v>4432</v>
      </c>
      <c r="B300" s="1" t="s">
        <v>2961</v>
      </c>
      <c r="C300" s="4">
        <v>122</v>
      </c>
      <c r="D300" s="4">
        <v>77</v>
      </c>
      <c r="E300" s="4">
        <v>97</v>
      </c>
      <c r="F300" s="5">
        <v>97.5</v>
      </c>
      <c r="G300" s="4">
        <f t="shared" si="4"/>
        <v>45</v>
      </c>
    </row>
    <row r="301" spans="1:7" x14ac:dyDescent="0.25">
      <c r="A301" s="1" t="s">
        <v>4448</v>
      </c>
      <c r="B301" s="1" t="s">
        <v>2989</v>
      </c>
      <c r="C301" s="4">
        <v>122</v>
      </c>
      <c r="D301" s="4">
        <v>82</v>
      </c>
      <c r="E301" s="4">
        <v>100</v>
      </c>
      <c r="F301" s="5">
        <v>97.7</v>
      </c>
      <c r="G301" s="4">
        <f t="shared" si="4"/>
        <v>40</v>
      </c>
    </row>
    <row r="302" spans="1:7" x14ac:dyDescent="0.25">
      <c r="A302" s="1" t="s">
        <v>4462</v>
      </c>
      <c r="B302" s="1" t="s">
        <v>3014</v>
      </c>
      <c r="C302" s="4">
        <v>122</v>
      </c>
      <c r="D302" s="4">
        <v>78</v>
      </c>
      <c r="E302" s="4">
        <v>64</v>
      </c>
      <c r="F302" s="5">
        <v>97.6</v>
      </c>
      <c r="G302" s="4">
        <f t="shared" si="4"/>
        <v>44</v>
      </c>
    </row>
    <row r="303" spans="1:7" x14ac:dyDescent="0.25">
      <c r="A303" s="1" t="s">
        <v>4106</v>
      </c>
      <c r="B303" s="1" t="s">
        <v>2365</v>
      </c>
      <c r="C303" s="4">
        <v>121</v>
      </c>
      <c r="D303" s="4">
        <v>78</v>
      </c>
      <c r="E303" s="4">
        <v>61</v>
      </c>
      <c r="F303" s="5">
        <v>98</v>
      </c>
      <c r="G303" s="4">
        <f t="shared" si="4"/>
        <v>43</v>
      </c>
    </row>
    <row r="304" spans="1:7" x14ac:dyDescent="0.25">
      <c r="A304" s="1" t="s">
        <v>4110</v>
      </c>
      <c r="B304" s="1" t="s">
        <v>2372</v>
      </c>
      <c r="C304" s="4">
        <v>121</v>
      </c>
      <c r="D304" s="4">
        <v>75</v>
      </c>
      <c r="E304" s="4">
        <v>61</v>
      </c>
      <c r="F304" s="5">
        <v>97.6</v>
      </c>
      <c r="G304" s="4">
        <f t="shared" si="4"/>
        <v>46</v>
      </c>
    </row>
    <row r="305" spans="1:7" x14ac:dyDescent="0.25">
      <c r="A305" s="1" t="s">
        <v>4115</v>
      </c>
      <c r="B305" s="1" t="s">
        <v>2382</v>
      </c>
      <c r="C305" s="4">
        <v>121</v>
      </c>
      <c r="D305" s="4">
        <v>89</v>
      </c>
      <c r="E305" s="4">
        <v>93</v>
      </c>
      <c r="F305" s="5">
        <v>98.8</v>
      </c>
      <c r="G305" s="4">
        <f t="shared" si="4"/>
        <v>32</v>
      </c>
    </row>
    <row r="306" spans="1:7" x14ac:dyDescent="0.25">
      <c r="A306" s="1" t="s">
        <v>4121</v>
      </c>
      <c r="B306" s="1" t="s">
        <v>2394</v>
      </c>
      <c r="C306" s="4">
        <v>121</v>
      </c>
      <c r="D306" s="4">
        <v>88</v>
      </c>
      <c r="E306" s="4">
        <v>71</v>
      </c>
      <c r="F306" s="5">
        <v>97.7</v>
      </c>
      <c r="G306" s="4">
        <f t="shared" si="4"/>
        <v>33</v>
      </c>
    </row>
    <row r="307" spans="1:7" x14ac:dyDescent="0.25">
      <c r="A307" s="1" t="s">
        <v>4211</v>
      </c>
      <c r="B307" s="1" t="s">
        <v>2566</v>
      </c>
      <c r="C307" s="4">
        <v>121</v>
      </c>
      <c r="D307" s="4">
        <v>80</v>
      </c>
      <c r="E307" s="4">
        <v>61</v>
      </c>
      <c r="F307" s="5">
        <v>98.2</v>
      </c>
      <c r="G307" s="4">
        <f t="shared" si="4"/>
        <v>41</v>
      </c>
    </row>
    <row r="308" spans="1:7" x14ac:dyDescent="0.25">
      <c r="A308" s="1" t="s">
        <v>4369</v>
      </c>
      <c r="B308" s="1" t="s">
        <v>2857</v>
      </c>
      <c r="C308" s="4">
        <v>121</v>
      </c>
      <c r="D308" s="4">
        <v>77</v>
      </c>
      <c r="E308" s="4">
        <v>78</v>
      </c>
      <c r="F308" s="5">
        <v>99</v>
      </c>
      <c r="G308" s="4">
        <f t="shared" si="4"/>
        <v>44</v>
      </c>
    </row>
    <row r="309" spans="1:7" x14ac:dyDescent="0.25">
      <c r="A309" s="1" t="s">
        <v>4370</v>
      </c>
      <c r="B309" s="1" t="s">
        <v>2858</v>
      </c>
      <c r="C309" s="4">
        <v>121</v>
      </c>
      <c r="D309" s="4">
        <v>78</v>
      </c>
      <c r="E309" s="4">
        <v>61</v>
      </c>
      <c r="F309" s="5">
        <v>98.2</v>
      </c>
      <c r="G309" s="4">
        <f t="shared" si="4"/>
        <v>43</v>
      </c>
    </row>
    <row r="310" spans="1:7" x14ac:dyDescent="0.25">
      <c r="A310" s="1" t="s">
        <v>4427</v>
      </c>
      <c r="B310" s="1" t="s">
        <v>2953</v>
      </c>
      <c r="C310" s="4">
        <v>121</v>
      </c>
      <c r="D310" s="4">
        <v>81</v>
      </c>
      <c r="E310" s="4">
        <v>82</v>
      </c>
      <c r="F310" s="5">
        <v>99.3</v>
      </c>
      <c r="G310" s="4">
        <f t="shared" si="4"/>
        <v>40</v>
      </c>
    </row>
    <row r="311" spans="1:7" x14ac:dyDescent="0.25">
      <c r="A311" s="1" t="s">
        <v>4431</v>
      </c>
      <c r="B311" s="1" t="s">
        <v>2959</v>
      </c>
      <c r="C311" s="4">
        <v>121</v>
      </c>
      <c r="D311" s="4">
        <v>72</v>
      </c>
      <c r="E311" s="4">
        <v>94</v>
      </c>
      <c r="F311" s="5">
        <v>97.8</v>
      </c>
      <c r="G311" s="4">
        <f t="shared" si="4"/>
        <v>49</v>
      </c>
    </row>
    <row r="312" spans="1:7" x14ac:dyDescent="0.25">
      <c r="A312" s="1" t="s">
        <v>4459</v>
      </c>
      <c r="B312" s="1" t="s">
        <v>3009</v>
      </c>
      <c r="C312" s="4">
        <v>121</v>
      </c>
      <c r="D312" s="4">
        <v>70</v>
      </c>
      <c r="E312" s="4">
        <v>90</v>
      </c>
      <c r="F312" s="5">
        <v>97.6</v>
      </c>
      <c r="G312" s="4">
        <f t="shared" si="4"/>
        <v>51</v>
      </c>
    </row>
    <row r="313" spans="1:7" x14ac:dyDescent="0.25">
      <c r="A313" s="1" t="s">
        <v>4463</v>
      </c>
      <c r="B313" s="1" t="s">
        <v>3016</v>
      </c>
      <c r="C313" s="4">
        <v>121</v>
      </c>
      <c r="D313" s="4">
        <v>80</v>
      </c>
      <c r="E313" s="4">
        <v>62</v>
      </c>
      <c r="F313" s="5">
        <v>98.8</v>
      </c>
      <c r="G313" s="4">
        <f t="shared" si="4"/>
        <v>41</v>
      </c>
    </row>
    <row r="314" spans="1:7" x14ac:dyDescent="0.25">
      <c r="A314" s="1" t="s">
        <v>3985</v>
      </c>
      <c r="B314" s="1" t="s">
        <v>2105</v>
      </c>
      <c r="C314" s="4">
        <v>120</v>
      </c>
      <c r="D314" s="4">
        <v>71</v>
      </c>
      <c r="E314" s="4">
        <v>98</v>
      </c>
      <c r="F314" s="5">
        <v>98.3</v>
      </c>
      <c r="G314" s="4">
        <f t="shared" si="4"/>
        <v>49</v>
      </c>
    </row>
    <row r="315" spans="1:7" x14ac:dyDescent="0.25">
      <c r="A315" s="1" t="s">
        <v>4012</v>
      </c>
      <c r="B315" s="1" t="s">
        <v>2175</v>
      </c>
      <c r="C315" s="4">
        <v>120</v>
      </c>
      <c r="D315" s="4">
        <v>72</v>
      </c>
      <c r="E315" s="4">
        <v>93</v>
      </c>
      <c r="F315" s="5">
        <v>98.4</v>
      </c>
      <c r="G315" s="4">
        <f t="shared" si="4"/>
        <v>48</v>
      </c>
    </row>
    <row r="316" spans="1:7" x14ac:dyDescent="0.25">
      <c r="A316" s="1" t="s">
        <v>4141</v>
      </c>
      <c r="B316" s="1" t="s">
        <v>2431</v>
      </c>
      <c r="C316" s="4">
        <v>120</v>
      </c>
      <c r="D316" s="4">
        <v>74</v>
      </c>
      <c r="E316" s="4">
        <v>72</v>
      </c>
      <c r="F316" s="5">
        <v>99.3</v>
      </c>
      <c r="G316" s="4">
        <f t="shared" si="4"/>
        <v>46</v>
      </c>
    </row>
    <row r="317" spans="1:7" x14ac:dyDescent="0.25">
      <c r="A317" s="1" t="s">
        <v>4161</v>
      </c>
      <c r="B317" s="1" t="s">
        <v>2471</v>
      </c>
      <c r="C317" s="4">
        <v>120</v>
      </c>
      <c r="D317" s="4">
        <v>76</v>
      </c>
      <c r="E317" s="4">
        <v>88</v>
      </c>
      <c r="F317" s="5">
        <v>97.6</v>
      </c>
      <c r="G317" s="4">
        <f t="shared" si="4"/>
        <v>44</v>
      </c>
    </row>
    <row r="318" spans="1:7" x14ac:dyDescent="0.25">
      <c r="A318" s="1" t="s">
        <v>4222</v>
      </c>
      <c r="B318" s="1" t="s">
        <v>2586</v>
      </c>
      <c r="C318" s="4">
        <v>120</v>
      </c>
      <c r="D318" s="4">
        <v>72</v>
      </c>
      <c r="E318" s="4">
        <v>65</v>
      </c>
      <c r="F318" s="5">
        <v>99.1</v>
      </c>
      <c r="G318" s="4">
        <f t="shared" si="4"/>
        <v>48</v>
      </c>
    </row>
    <row r="319" spans="1:7" x14ac:dyDescent="0.25">
      <c r="A319" s="1" t="s">
        <v>4231</v>
      </c>
      <c r="B319" s="1" t="s">
        <v>2604</v>
      </c>
      <c r="C319" s="4">
        <v>120</v>
      </c>
      <c r="D319" s="4">
        <v>71</v>
      </c>
      <c r="E319" s="4">
        <v>96</v>
      </c>
      <c r="F319" s="5">
        <v>99.4</v>
      </c>
      <c r="G319" s="4">
        <f t="shared" si="4"/>
        <v>49</v>
      </c>
    </row>
    <row r="320" spans="1:7" x14ac:dyDescent="0.25">
      <c r="A320" s="1" t="s">
        <v>4293</v>
      </c>
      <c r="B320" s="1" t="s">
        <v>2719</v>
      </c>
      <c r="C320" s="4">
        <v>120</v>
      </c>
      <c r="D320" s="4">
        <v>81</v>
      </c>
      <c r="E320" s="4">
        <v>98</v>
      </c>
      <c r="F320" s="5">
        <v>98.5</v>
      </c>
      <c r="G320" s="4">
        <f t="shared" si="4"/>
        <v>39</v>
      </c>
    </row>
    <row r="321" spans="1:7" x14ac:dyDescent="0.25">
      <c r="A321" s="1" t="s">
        <v>4296</v>
      </c>
      <c r="B321" s="1" t="s">
        <v>2724</v>
      </c>
      <c r="C321" s="4">
        <v>120</v>
      </c>
      <c r="D321" s="4">
        <v>85</v>
      </c>
      <c r="E321" s="4">
        <v>92</v>
      </c>
      <c r="F321" s="5">
        <v>97.8</v>
      </c>
      <c r="G321" s="4">
        <f t="shared" si="4"/>
        <v>35</v>
      </c>
    </row>
    <row r="322" spans="1:7" x14ac:dyDescent="0.25">
      <c r="A322" s="1" t="s">
        <v>4309</v>
      </c>
      <c r="B322" s="1" t="s">
        <v>2747</v>
      </c>
      <c r="C322" s="4">
        <v>120</v>
      </c>
      <c r="D322" s="4">
        <v>74</v>
      </c>
      <c r="E322" s="4">
        <v>60</v>
      </c>
      <c r="F322" s="5">
        <v>98.8</v>
      </c>
      <c r="G322" s="4">
        <f t="shared" ref="G322:G385" si="5">C322-D322</f>
        <v>46</v>
      </c>
    </row>
    <row r="323" spans="1:7" x14ac:dyDescent="0.25">
      <c r="A323" s="1" t="s">
        <v>4367</v>
      </c>
      <c r="B323" s="1" t="s">
        <v>2853</v>
      </c>
      <c r="C323" s="4">
        <v>120</v>
      </c>
      <c r="D323" s="4">
        <v>85</v>
      </c>
      <c r="E323" s="4">
        <v>72</v>
      </c>
      <c r="F323" s="5">
        <v>99.2</v>
      </c>
      <c r="G323" s="4">
        <f t="shared" si="5"/>
        <v>35</v>
      </c>
    </row>
    <row r="324" spans="1:7" x14ac:dyDescent="0.25">
      <c r="A324" s="1" t="s">
        <v>4376</v>
      </c>
      <c r="B324" s="1" t="s">
        <v>2869</v>
      </c>
      <c r="C324" s="4">
        <v>120</v>
      </c>
      <c r="D324" s="4">
        <v>74</v>
      </c>
      <c r="E324" s="4">
        <v>71</v>
      </c>
      <c r="F324" s="5">
        <v>99.2</v>
      </c>
      <c r="G324" s="4">
        <f t="shared" si="5"/>
        <v>46</v>
      </c>
    </row>
    <row r="325" spans="1:7" x14ac:dyDescent="0.25">
      <c r="A325" s="1" t="s">
        <v>4409</v>
      </c>
      <c r="B325" s="1" t="s">
        <v>2924</v>
      </c>
      <c r="C325" s="4">
        <v>120</v>
      </c>
      <c r="D325" s="4">
        <v>72</v>
      </c>
      <c r="E325" s="4">
        <v>88</v>
      </c>
      <c r="F325" s="5">
        <v>99.3</v>
      </c>
      <c r="G325" s="4">
        <f t="shared" si="5"/>
        <v>48</v>
      </c>
    </row>
    <row r="326" spans="1:7" x14ac:dyDescent="0.25">
      <c r="A326" s="1" t="s">
        <v>4429</v>
      </c>
      <c r="B326" s="1" t="s">
        <v>2956</v>
      </c>
      <c r="C326" s="4">
        <v>120</v>
      </c>
      <c r="D326" s="4">
        <v>75</v>
      </c>
      <c r="E326" s="4">
        <v>67</v>
      </c>
      <c r="F326" s="5">
        <v>97.9</v>
      </c>
      <c r="G326" s="4">
        <f t="shared" si="5"/>
        <v>45</v>
      </c>
    </row>
    <row r="327" spans="1:7" x14ac:dyDescent="0.25">
      <c r="A327" s="1" t="s">
        <v>4430</v>
      </c>
      <c r="B327" s="1" t="s">
        <v>2957</v>
      </c>
      <c r="C327" s="4">
        <v>120</v>
      </c>
      <c r="D327" s="4">
        <v>85</v>
      </c>
      <c r="E327" s="4">
        <v>69</v>
      </c>
      <c r="F327" s="5">
        <v>98.1</v>
      </c>
      <c r="G327" s="4">
        <f t="shared" si="5"/>
        <v>35</v>
      </c>
    </row>
    <row r="328" spans="1:7" x14ac:dyDescent="0.25">
      <c r="A328" s="1" t="s">
        <v>4450</v>
      </c>
      <c r="B328" s="1" t="s">
        <v>2992</v>
      </c>
      <c r="C328" s="4">
        <v>120</v>
      </c>
      <c r="D328" s="4">
        <v>81</v>
      </c>
      <c r="E328" s="4">
        <v>87</v>
      </c>
      <c r="F328" s="5">
        <v>98.6</v>
      </c>
      <c r="G328" s="4">
        <f t="shared" si="5"/>
        <v>39</v>
      </c>
    </row>
    <row r="329" spans="1:7" x14ac:dyDescent="0.25">
      <c r="A329" s="1" t="s">
        <v>4466</v>
      </c>
      <c r="B329" s="1" t="s">
        <v>3022</v>
      </c>
      <c r="C329" s="4">
        <v>120</v>
      </c>
      <c r="D329" s="4">
        <v>89</v>
      </c>
      <c r="E329" s="4">
        <v>69</v>
      </c>
      <c r="F329" s="5">
        <v>98.1</v>
      </c>
      <c r="G329" s="4">
        <f t="shared" si="5"/>
        <v>31</v>
      </c>
    </row>
    <row r="330" spans="1:7" x14ac:dyDescent="0.25">
      <c r="A330" s="1" t="s">
        <v>4094</v>
      </c>
      <c r="B330" s="1" t="s">
        <v>2342</v>
      </c>
      <c r="C330" s="4">
        <v>119</v>
      </c>
      <c r="D330" s="4">
        <v>76</v>
      </c>
      <c r="E330" s="4">
        <v>93</v>
      </c>
      <c r="F330" s="5">
        <v>98.6</v>
      </c>
      <c r="G330" s="4">
        <f t="shared" si="5"/>
        <v>43</v>
      </c>
    </row>
    <row r="331" spans="1:7" x14ac:dyDescent="0.25">
      <c r="A331" s="1" t="s">
        <v>4153</v>
      </c>
      <c r="B331" s="1" t="s">
        <v>2455</v>
      </c>
      <c r="C331" s="4">
        <v>119</v>
      </c>
      <c r="D331" s="4">
        <v>80</v>
      </c>
      <c r="E331" s="4">
        <v>97</v>
      </c>
      <c r="F331" s="5">
        <v>97.8</v>
      </c>
      <c r="G331" s="4">
        <f t="shared" si="5"/>
        <v>39</v>
      </c>
    </row>
    <row r="332" spans="1:7" x14ac:dyDescent="0.25">
      <c r="A332" s="1" t="s">
        <v>4209</v>
      </c>
      <c r="B332" s="1" t="s">
        <v>2562</v>
      </c>
      <c r="C332" s="4">
        <v>119</v>
      </c>
      <c r="D332" s="4">
        <v>87</v>
      </c>
      <c r="E332" s="4">
        <v>60</v>
      </c>
      <c r="F332" s="5">
        <v>98.9</v>
      </c>
      <c r="G332" s="4">
        <f t="shared" si="5"/>
        <v>32</v>
      </c>
    </row>
    <row r="333" spans="1:7" x14ac:dyDescent="0.25">
      <c r="A333" s="1" t="s">
        <v>4238</v>
      </c>
      <c r="B333" s="1" t="s">
        <v>2617</v>
      </c>
      <c r="C333" s="4">
        <v>119</v>
      </c>
      <c r="D333" s="4">
        <v>81</v>
      </c>
      <c r="E333" s="4">
        <v>81</v>
      </c>
      <c r="F333" s="5">
        <v>98.3</v>
      </c>
      <c r="G333" s="4">
        <f t="shared" si="5"/>
        <v>38</v>
      </c>
    </row>
    <row r="334" spans="1:7" x14ac:dyDescent="0.25">
      <c r="A334" s="1" t="s">
        <v>4242</v>
      </c>
      <c r="B334" s="1" t="s">
        <v>2625</v>
      </c>
      <c r="C334" s="4">
        <v>119</v>
      </c>
      <c r="D334" s="4">
        <v>81</v>
      </c>
      <c r="E334" s="4">
        <v>100</v>
      </c>
      <c r="F334" s="5">
        <v>98.9</v>
      </c>
      <c r="G334" s="4">
        <f t="shared" si="5"/>
        <v>38</v>
      </c>
    </row>
    <row r="335" spans="1:7" x14ac:dyDescent="0.25">
      <c r="A335" s="1" t="s">
        <v>4259</v>
      </c>
      <c r="B335" s="1" t="s">
        <v>2658</v>
      </c>
      <c r="C335" s="4">
        <v>119</v>
      </c>
      <c r="D335" s="4">
        <v>87</v>
      </c>
      <c r="E335" s="4">
        <v>94</v>
      </c>
      <c r="F335" s="5">
        <v>97.8</v>
      </c>
      <c r="G335" s="4">
        <f t="shared" si="5"/>
        <v>32</v>
      </c>
    </row>
    <row r="336" spans="1:7" x14ac:dyDescent="0.25">
      <c r="A336" s="1" t="s">
        <v>4291</v>
      </c>
      <c r="B336" s="1" t="s">
        <v>2716</v>
      </c>
      <c r="C336" s="4">
        <v>119</v>
      </c>
      <c r="D336" s="4">
        <v>83</v>
      </c>
      <c r="E336" s="4">
        <v>63</v>
      </c>
      <c r="F336" s="5">
        <v>99</v>
      </c>
      <c r="G336" s="4">
        <f t="shared" si="5"/>
        <v>36</v>
      </c>
    </row>
    <row r="337" spans="1:7" x14ac:dyDescent="0.25">
      <c r="A337" s="1" t="s">
        <v>4307</v>
      </c>
      <c r="B337" s="1" t="s">
        <v>2743</v>
      </c>
      <c r="C337" s="4">
        <v>119</v>
      </c>
      <c r="D337" s="4">
        <v>86</v>
      </c>
      <c r="E337" s="4">
        <v>76</v>
      </c>
      <c r="F337" s="5">
        <v>97.7</v>
      </c>
      <c r="G337" s="4">
        <f t="shared" si="5"/>
        <v>33</v>
      </c>
    </row>
    <row r="338" spans="1:7" x14ac:dyDescent="0.25">
      <c r="A338" s="1" t="s">
        <v>4361</v>
      </c>
      <c r="B338" s="1" t="s">
        <v>2841</v>
      </c>
      <c r="C338" s="4">
        <v>119</v>
      </c>
      <c r="D338" s="4">
        <v>74</v>
      </c>
      <c r="E338" s="4">
        <v>71</v>
      </c>
      <c r="F338" s="5">
        <v>98.8</v>
      </c>
      <c r="G338" s="4">
        <f t="shared" si="5"/>
        <v>45</v>
      </c>
    </row>
    <row r="339" spans="1:7" x14ac:dyDescent="0.25">
      <c r="A339" s="1" t="s">
        <v>4396</v>
      </c>
      <c r="B339" s="1" t="s">
        <v>2901</v>
      </c>
      <c r="C339" s="4">
        <v>119</v>
      </c>
      <c r="D339" s="4">
        <v>71</v>
      </c>
      <c r="E339" s="4">
        <v>94</v>
      </c>
      <c r="F339" s="5">
        <v>99.3</v>
      </c>
      <c r="G339" s="4">
        <f t="shared" si="5"/>
        <v>48</v>
      </c>
    </row>
    <row r="340" spans="1:7" x14ac:dyDescent="0.25">
      <c r="A340" s="1" t="s">
        <v>4428</v>
      </c>
      <c r="B340" s="1" t="s">
        <v>2954</v>
      </c>
      <c r="C340" s="4">
        <v>119</v>
      </c>
      <c r="D340" s="4">
        <v>75</v>
      </c>
      <c r="E340" s="4">
        <v>71</v>
      </c>
      <c r="F340" s="5">
        <v>98.7</v>
      </c>
      <c r="G340" s="4">
        <f t="shared" si="5"/>
        <v>44</v>
      </c>
    </row>
    <row r="341" spans="1:7" x14ac:dyDescent="0.25">
      <c r="A341" s="1" t="s">
        <v>4008</v>
      </c>
      <c r="B341" s="1" t="s">
        <v>2166</v>
      </c>
      <c r="C341" s="4">
        <v>118</v>
      </c>
      <c r="D341" s="4">
        <v>70</v>
      </c>
      <c r="E341" s="4">
        <v>74</v>
      </c>
      <c r="F341" s="5">
        <v>99.3</v>
      </c>
      <c r="G341" s="4">
        <f t="shared" si="5"/>
        <v>48</v>
      </c>
    </row>
    <row r="342" spans="1:7" x14ac:dyDescent="0.25">
      <c r="A342" s="1" t="s">
        <v>4036</v>
      </c>
      <c r="B342" s="1" t="s">
        <v>2226</v>
      </c>
      <c r="C342" s="4">
        <v>118</v>
      </c>
      <c r="D342" s="4">
        <v>89</v>
      </c>
      <c r="E342" s="4">
        <v>91</v>
      </c>
      <c r="F342" s="5">
        <v>99</v>
      </c>
      <c r="G342" s="4">
        <f t="shared" si="5"/>
        <v>29</v>
      </c>
    </row>
    <row r="343" spans="1:7" x14ac:dyDescent="0.25">
      <c r="A343" s="1" t="s">
        <v>4050</v>
      </c>
      <c r="B343" s="1" t="s">
        <v>2255</v>
      </c>
      <c r="C343" s="4">
        <v>118</v>
      </c>
      <c r="D343" s="4">
        <v>78</v>
      </c>
      <c r="E343" s="4">
        <v>61</v>
      </c>
      <c r="F343" s="5">
        <v>99.1</v>
      </c>
      <c r="G343" s="4">
        <f t="shared" si="5"/>
        <v>40</v>
      </c>
    </row>
    <row r="344" spans="1:7" x14ac:dyDescent="0.25">
      <c r="A344" s="1" t="s">
        <v>4088</v>
      </c>
      <c r="B344" s="1" t="s">
        <v>2330</v>
      </c>
      <c r="C344" s="4">
        <v>118</v>
      </c>
      <c r="D344" s="4">
        <v>73</v>
      </c>
      <c r="E344" s="4">
        <v>61</v>
      </c>
      <c r="F344" s="5">
        <v>99.1</v>
      </c>
      <c r="G344" s="4">
        <f t="shared" si="5"/>
        <v>45</v>
      </c>
    </row>
    <row r="345" spans="1:7" x14ac:dyDescent="0.25">
      <c r="A345" s="1" t="s">
        <v>4096</v>
      </c>
      <c r="B345" s="1" t="s">
        <v>2346</v>
      </c>
      <c r="C345" s="4">
        <v>118</v>
      </c>
      <c r="D345" s="4">
        <v>78</v>
      </c>
      <c r="E345" s="4">
        <v>62</v>
      </c>
      <c r="F345" s="5">
        <v>98.3</v>
      </c>
      <c r="G345" s="4">
        <f t="shared" si="5"/>
        <v>40</v>
      </c>
    </row>
    <row r="346" spans="1:7" x14ac:dyDescent="0.25">
      <c r="A346" s="1" t="s">
        <v>4107</v>
      </c>
      <c r="B346" s="1" t="s">
        <v>2367</v>
      </c>
      <c r="C346" s="4">
        <v>118</v>
      </c>
      <c r="D346" s="4">
        <v>82</v>
      </c>
      <c r="E346" s="4">
        <v>89</v>
      </c>
      <c r="F346" s="5">
        <v>98.8</v>
      </c>
      <c r="G346" s="4">
        <f t="shared" si="5"/>
        <v>36</v>
      </c>
    </row>
    <row r="347" spans="1:7" x14ac:dyDescent="0.25">
      <c r="A347" s="1" t="s">
        <v>4140</v>
      </c>
      <c r="B347" s="1" t="s">
        <v>2429</v>
      </c>
      <c r="C347" s="4">
        <v>118</v>
      </c>
      <c r="D347" s="4">
        <v>71</v>
      </c>
      <c r="E347" s="4">
        <v>99</v>
      </c>
      <c r="F347" s="5">
        <v>99</v>
      </c>
      <c r="G347" s="4">
        <f t="shared" si="5"/>
        <v>47</v>
      </c>
    </row>
    <row r="348" spans="1:7" x14ac:dyDescent="0.25">
      <c r="A348" s="1" t="s">
        <v>4164</v>
      </c>
      <c r="B348" s="1" t="s">
        <v>2477</v>
      </c>
      <c r="C348" s="4">
        <v>118</v>
      </c>
      <c r="D348" s="4">
        <v>88</v>
      </c>
      <c r="E348" s="4">
        <v>87</v>
      </c>
      <c r="F348" s="5">
        <v>98.5</v>
      </c>
      <c r="G348" s="4">
        <f t="shared" si="5"/>
        <v>30</v>
      </c>
    </row>
    <row r="349" spans="1:7" x14ac:dyDescent="0.25">
      <c r="A349" s="1" t="s">
        <v>4190</v>
      </c>
      <c r="B349" s="1" t="s">
        <v>2525</v>
      </c>
      <c r="C349" s="4">
        <v>118</v>
      </c>
      <c r="D349" s="4">
        <v>78</v>
      </c>
      <c r="E349" s="4">
        <v>83</v>
      </c>
      <c r="F349" s="5">
        <v>99.2</v>
      </c>
      <c r="G349" s="4">
        <f t="shared" si="5"/>
        <v>40</v>
      </c>
    </row>
    <row r="350" spans="1:7" x14ac:dyDescent="0.25">
      <c r="A350" s="1" t="s">
        <v>4207</v>
      </c>
      <c r="B350" s="1" t="s">
        <v>2558</v>
      </c>
      <c r="C350" s="4">
        <v>118</v>
      </c>
      <c r="D350" s="4">
        <v>77</v>
      </c>
      <c r="E350" s="4">
        <v>99</v>
      </c>
      <c r="F350" s="5">
        <v>99.1</v>
      </c>
      <c r="G350" s="4">
        <f t="shared" si="5"/>
        <v>41</v>
      </c>
    </row>
    <row r="351" spans="1:7" x14ac:dyDescent="0.25">
      <c r="A351" s="1" t="s">
        <v>4233</v>
      </c>
      <c r="B351" s="1" t="s">
        <v>2608</v>
      </c>
      <c r="C351" s="4">
        <v>118</v>
      </c>
      <c r="D351" s="4">
        <v>82</v>
      </c>
      <c r="E351" s="4">
        <v>74</v>
      </c>
      <c r="F351" s="5">
        <v>98.4</v>
      </c>
      <c r="G351" s="4">
        <f t="shared" si="5"/>
        <v>36</v>
      </c>
    </row>
    <row r="352" spans="1:7" x14ac:dyDescent="0.25">
      <c r="A352" s="1" t="s">
        <v>4329</v>
      </c>
      <c r="B352" s="1" t="s">
        <v>2784</v>
      </c>
      <c r="C352" s="4">
        <v>118</v>
      </c>
      <c r="D352" s="4">
        <v>70</v>
      </c>
      <c r="E352" s="4">
        <v>96</v>
      </c>
      <c r="F352" s="5">
        <v>98.9</v>
      </c>
      <c r="G352" s="4">
        <f t="shared" si="5"/>
        <v>48</v>
      </c>
    </row>
    <row r="353" spans="1:7" x14ac:dyDescent="0.25">
      <c r="A353" s="1" t="s">
        <v>4358</v>
      </c>
      <c r="B353" s="1" t="s">
        <v>2836</v>
      </c>
      <c r="C353" s="4">
        <v>118</v>
      </c>
      <c r="D353" s="4">
        <v>81</v>
      </c>
      <c r="E353" s="4">
        <v>78</v>
      </c>
      <c r="F353" s="5">
        <v>98</v>
      </c>
      <c r="G353" s="4">
        <f t="shared" si="5"/>
        <v>37</v>
      </c>
    </row>
    <row r="354" spans="1:7" x14ac:dyDescent="0.25">
      <c r="A354" s="1" t="s">
        <v>4363</v>
      </c>
      <c r="B354" s="1" t="s">
        <v>2845</v>
      </c>
      <c r="C354" s="4">
        <v>118</v>
      </c>
      <c r="D354" s="4">
        <v>70</v>
      </c>
      <c r="E354" s="4">
        <v>91</v>
      </c>
      <c r="F354" s="5">
        <v>99</v>
      </c>
      <c r="G354" s="4">
        <f t="shared" si="5"/>
        <v>48</v>
      </c>
    </row>
    <row r="355" spans="1:7" x14ac:dyDescent="0.25">
      <c r="A355" s="1" t="s">
        <v>4379</v>
      </c>
      <c r="B355" s="1" t="s">
        <v>2874</v>
      </c>
      <c r="C355" s="4">
        <v>118</v>
      </c>
      <c r="D355" s="4">
        <v>88</v>
      </c>
      <c r="E355" s="4">
        <v>64</v>
      </c>
      <c r="F355" s="5">
        <v>97.6</v>
      </c>
      <c r="G355" s="4">
        <f t="shared" si="5"/>
        <v>30</v>
      </c>
    </row>
    <row r="356" spans="1:7" x14ac:dyDescent="0.25">
      <c r="A356" s="1" t="s">
        <v>4387</v>
      </c>
      <c r="B356" s="1" t="s">
        <v>2886</v>
      </c>
      <c r="C356" s="4">
        <v>118</v>
      </c>
      <c r="D356" s="4">
        <v>84</v>
      </c>
      <c r="E356" s="4">
        <v>80</v>
      </c>
      <c r="F356" s="5">
        <v>98.5</v>
      </c>
      <c r="G356" s="4">
        <f t="shared" si="5"/>
        <v>34</v>
      </c>
    </row>
    <row r="357" spans="1:7" x14ac:dyDescent="0.25">
      <c r="A357" s="1" t="s">
        <v>4390</v>
      </c>
      <c r="B357" s="1" t="s">
        <v>2890</v>
      </c>
      <c r="C357" s="4">
        <v>118</v>
      </c>
      <c r="D357" s="4">
        <v>86</v>
      </c>
      <c r="E357" s="4">
        <v>100</v>
      </c>
      <c r="F357" s="5">
        <v>99.4</v>
      </c>
      <c r="G357" s="4">
        <f t="shared" si="5"/>
        <v>32</v>
      </c>
    </row>
    <row r="358" spans="1:7" x14ac:dyDescent="0.25">
      <c r="A358" s="1" t="s">
        <v>4403</v>
      </c>
      <c r="B358" s="1" t="s">
        <v>2914</v>
      </c>
      <c r="C358" s="4">
        <v>118</v>
      </c>
      <c r="D358" s="4">
        <v>84</v>
      </c>
      <c r="E358" s="4">
        <v>65</v>
      </c>
      <c r="F358" s="5">
        <v>98.1</v>
      </c>
      <c r="G358" s="4">
        <f t="shared" si="5"/>
        <v>34</v>
      </c>
    </row>
    <row r="359" spans="1:7" x14ac:dyDescent="0.25">
      <c r="A359" s="1" t="s">
        <v>4418</v>
      </c>
      <c r="B359" s="1" t="s">
        <v>2937</v>
      </c>
      <c r="C359" s="4">
        <v>118</v>
      </c>
      <c r="D359" s="4">
        <v>80</v>
      </c>
      <c r="E359" s="4">
        <v>78</v>
      </c>
      <c r="F359" s="5">
        <v>98.1</v>
      </c>
      <c r="G359" s="4">
        <f t="shared" si="5"/>
        <v>38</v>
      </c>
    </row>
    <row r="360" spans="1:7" x14ac:dyDescent="0.25">
      <c r="A360" s="1" t="s">
        <v>4478</v>
      </c>
      <c r="B360" s="1" t="s">
        <v>3045</v>
      </c>
      <c r="C360" s="4">
        <v>118</v>
      </c>
      <c r="D360" s="4">
        <v>74</v>
      </c>
      <c r="E360" s="4">
        <v>97</v>
      </c>
      <c r="F360" s="5">
        <v>98.7</v>
      </c>
      <c r="G360" s="4">
        <f t="shared" si="5"/>
        <v>44</v>
      </c>
    </row>
    <row r="361" spans="1:7" x14ac:dyDescent="0.25">
      <c r="A361" s="1" t="s">
        <v>4011</v>
      </c>
      <c r="B361" s="1" t="s">
        <v>2173</v>
      </c>
      <c r="C361" s="4">
        <v>117</v>
      </c>
      <c r="D361" s="4">
        <v>77</v>
      </c>
      <c r="E361" s="4">
        <v>79</v>
      </c>
      <c r="F361" s="5">
        <v>98.1</v>
      </c>
      <c r="G361" s="4">
        <f t="shared" si="5"/>
        <v>40</v>
      </c>
    </row>
    <row r="362" spans="1:7" x14ac:dyDescent="0.25">
      <c r="A362" s="1" t="s">
        <v>4021</v>
      </c>
      <c r="B362" s="1" t="s">
        <v>2195</v>
      </c>
      <c r="C362" s="4">
        <v>117</v>
      </c>
      <c r="D362" s="4">
        <v>83</v>
      </c>
      <c r="E362" s="4">
        <v>91</v>
      </c>
      <c r="F362" s="5">
        <v>98.6</v>
      </c>
      <c r="G362" s="4">
        <f t="shared" si="5"/>
        <v>34</v>
      </c>
    </row>
    <row r="363" spans="1:7" x14ac:dyDescent="0.25">
      <c r="A363" s="1" t="s">
        <v>4022</v>
      </c>
      <c r="B363" s="1" t="s">
        <v>2198</v>
      </c>
      <c r="C363" s="4">
        <v>117</v>
      </c>
      <c r="D363" s="4">
        <v>85</v>
      </c>
      <c r="E363" s="4">
        <v>94</v>
      </c>
      <c r="F363" s="5">
        <v>98</v>
      </c>
      <c r="G363" s="4">
        <f t="shared" si="5"/>
        <v>32</v>
      </c>
    </row>
    <row r="364" spans="1:7" x14ac:dyDescent="0.25">
      <c r="A364" s="1" t="s">
        <v>4044</v>
      </c>
      <c r="B364" s="1" t="s">
        <v>2242</v>
      </c>
      <c r="C364" s="4">
        <v>117</v>
      </c>
      <c r="D364" s="4">
        <v>78</v>
      </c>
      <c r="E364" s="4">
        <v>76</v>
      </c>
      <c r="F364" s="5">
        <v>99.2</v>
      </c>
      <c r="G364" s="4">
        <f t="shared" si="5"/>
        <v>39</v>
      </c>
    </row>
    <row r="365" spans="1:7" x14ac:dyDescent="0.25">
      <c r="A365" s="1" t="s">
        <v>4080</v>
      </c>
      <c r="B365" s="1" t="s">
        <v>2314</v>
      </c>
      <c r="C365" s="4">
        <v>117</v>
      </c>
      <c r="D365" s="4">
        <v>70</v>
      </c>
      <c r="E365" s="4">
        <v>77</v>
      </c>
      <c r="F365" s="5">
        <v>99.3</v>
      </c>
      <c r="G365" s="4">
        <f t="shared" si="5"/>
        <v>47</v>
      </c>
    </row>
    <row r="366" spans="1:7" x14ac:dyDescent="0.25">
      <c r="A366" s="1" t="s">
        <v>4104</v>
      </c>
      <c r="B366" s="1" t="s">
        <v>2361</v>
      </c>
      <c r="C366" s="4">
        <v>117</v>
      </c>
      <c r="D366" s="4">
        <v>87</v>
      </c>
      <c r="E366" s="4">
        <v>81</v>
      </c>
      <c r="F366" s="5">
        <v>98.4</v>
      </c>
      <c r="G366" s="4">
        <f t="shared" si="5"/>
        <v>30</v>
      </c>
    </row>
    <row r="367" spans="1:7" x14ac:dyDescent="0.25">
      <c r="A367" s="1" t="s">
        <v>4165</v>
      </c>
      <c r="B367" s="1" t="s">
        <v>2479</v>
      </c>
      <c r="C367" s="4">
        <v>117</v>
      </c>
      <c r="D367" s="4">
        <v>89</v>
      </c>
      <c r="E367" s="4">
        <v>74</v>
      </c>
      <c r="F367" s="5">
        <v>98</v>
      </c>
      <c r="G367" s="4">
        <f t="shared" si="5"/>
        <v>28</v>
      </c>
    </row>
    <row r="368" spans="1:7" x14ac:dyDescent="0.25">
      <c r="A368" s="1" t="s">
        <v>4188</v>
      </c>
      <c r="B368" s="1" t="s">
        <v>2521</v>
      </c>
      <c r="C368" s="4">
        <v>117</v>
      </c>
      <c r="D368" s="4">
        <v>82</v>
      </c>
      <c r="E368" s="4">
        <v>88</v>
      </c>
      <c r="F368" s="5">
        <v>97.6</v>
      </c>
      <c r="G368" s="4">
        <f t="shared" si="5"/>
        <v>35</v>
      </c>
    </row>
    <row r="369" spans="1:7" x14ac:dyDescent="0.25">
      <c r="A369" s="1" t="s">
        <v>4204</v>
      </c>
      <c r="B369" s="1" t="s">
        <v>2553</v>
      </c>
      <c r="C369" s="4">
        <v>117</v>
      </c>
      <c r="D369" s="4">
        <v>85</v>
      </c>
      <c r="E369" s="4">
        <v>93</v>
      </c>
      <c r="F369" s="5">
        <v>98.7</v>
      </c>
      <c r="G369" s="4">
        <f t="shared" si="5"/>
        <v>32</v>
      </c>
    </row>
    <row r="370" spans="1:7" x14ac:dyDescent="0.25">
      <c r="A370" s="1" t="s">
        <v>4327</v>
      </c>
      <c r="B370" s="1" t="s">
        <v>2781</v>
      </c>
      <c r="C370" s="4">
        <v>117</v>
      </c>
      <c r="D370" s="4">
        <v>76</v>
      </c>
      <c r="E370" s="4">
        <v>65</v>
      </c>
      <c r="F370" s="5">
        <v>99.3</v>
      </c>
      <c r="G370" s="4">
        <f t="shared" si="5"/>
        <v>41</v>
      </c>
    </row>
    <row r="371" spans="1:7" x14ac:dyDescent="0.25">
      <c r="A371" s="1" t="s">
        <v>4336</v>
      </c>
      <c r="B371" s="1" t="s">
        <v>2796</v>
      </c>
      <c r="C371" s="4">
        <v>117</v>
      </c>
      <c r="D371" s="4">
        <v>80</v>
      </c>
      <c r="E371" s="4">
        <v>61</v>
      </c>
      <c r="F371" s="5">
        <v>98.7</v>
      </c>
      <c r="G371" s="4">
        <f t="shared" si="5"/>
        <v>37</v>
      </c>
    </row>
    <row r="372" spans="1:7" x14ac:dyDescent="0.25">
      <c r="A372" s="1" t="s">
        <v>4339</v>
      </c>
      <c r="B372" s="1" t="s">
        <v>2802</v>
      </c>
      <c r="C372" s="4">
        <v>117</v>
      </c>
      <c r="D372" s="4">
        <v>89</v>
      </c>
      <c r="E372" s="4">
        <v>75</v>
      </c>
      <c r="F372" s="5">
        <v>97.5</v>
      </c>
      <c r="G372" s="4">
        <f t="shared" si="5"/>
        <v>28</v>
      </c>
    </row>
    <row r="373" spans="1:7" x14ac:dyDescent="0.25">
      <c r="A373" s="1" t="s">
        <v>4388</v>
      </c>
      <c r="B373" s="1" t="s">
        <v>2888</v>
      </c>
      <c r="C373" s="4">
        <v>117</v>
      </c>
      <c r="D373" s="4">
        <v>73</v>
      </c>
      <c r="E373" s="4">
        <v>75</v>
      </c>
      <c r="F373" s="5">
        <v>98.5</v>
      </c>
      <c r="G373" s="4">
        <f t="shared" si="5"/>
        <v>44</v>
      </c>
    </row>
    <row r="374" spans="1:7" x14ac:dyDescent="0.25">
      <c r="A374" s="1" t="s">
        <v>4393</v>
      </c>
      <c r="B374" s="1" t="s">
        <v>2895</v>
      </c>
      <c r="C374" s="4">
        <v>117</v>
      </c>
      <c r="D374" s="4">
        <v>70</v>
      </c>
      <c r="E374" s="4">
        <v>99</v>
      </c>
      <c r="F374" s="5">
        <v>97.5</v>
      </c>
      <c r="G374" s="4">
        <f t="shared" si="5"/>
        <v>47</v>
      </c>
    </row>
    <row r="375" spans="1:7" x14ac:dyDescent="0.25">
      <c r="A375" s="1" t="s">
        <v>4404</v>
      </c>
      <c r="B375" s="1" t="s">
        <v>2916</v>
      </c>
      <c r="C375" s="4">
        <v>117</v>
      </c>
      <c r="D375" s="4">
        <v>89</v>
      </c>
      <c r="E375" s="4">
        <v>94</v>
      </c>
      <c r="F375" s="5">
        <v>98.9</v>
      </c>
      <c r="G375" s="4">
        <f t="shared" si="5"/>
        <v>28</v>
      </c>
    </row>
    <row r="376" spans="1:7" x14ac:dyDescent="0.25">
      <c r="A376" s="1" t="s">
        <v>4440</v>
      </c>
      <c r="B376" s="1" t="s">
        <v>2977</v>
      </c>
      <c r="C376" s="4">
        <v>117</v>
      </c>
      <c r="D376" s="4">
        <v>76</v>
      </c>
      <c r="E376" s="4">
        <v>100</v>
      </c>
      <c r="F376" s="5">
        <v>97.6</v>
      </c>
      <c r="G376" s="4">
        <f t="shared" si="5"/>
        <v>41</v>
      </c>
    </row>
    <row r="377" spans="1:7" x14ac:dyDescent="0.25">
      <c r="A377" s="1" t="s">
        <v>4457</v>
      </c>
      <c r="B377" s="1" t="s">
        <v>3006</v>
      </c>
      <c r="C377" s="4">
        <v>117</v>
      </c>
      <c r="D377" s="4">
        <v>83</v>
      </c>
      <c r="E377" s="4">
        <v>73</v>
      </c>
      <c r="F377" s="5">
        <v>99</v>
      </c>
      <c r="G377" s="4">
        <f t="shared" si="5"/>
        <v>34</v>
      </c>
    </row>
    <row r="378" spans="1:7" x14ac:dyDescent="0.25">
      <c r="A378" s="1" t="s">
        <v>3986</v>
      </c>
      <c r="B378" s="1" t="s">
        <v>2109</v>
      </c>
      <c r="C378" s="4">
        <v>116</v>
      </c>
      <c r="D378" s="4">
        <v>77</v>
      </c>
      <c r="E378" s="4">
        <v>94</v>
      </c>
      <c r="F378" s="5">
        <v>97.8</v>
      </c>
      <c r="G378" s="4">
        <f t="shared" si="5"/>
        <v>39</v>
      </c>
    </row>
    <row r="379" spans="1:7" x14ac:dyDescent="0.25">
      <c r="A379" s="1" t="s">
        <v>3989</v>
      </c>
      <c r="B379" s="1" t="s">
        <v>2118</v>
      </c>
      <c r="C379" s="4">
        <v>116</v>
      </c>
      <c r="D379" s="4">
        <v>82</v>
      </c>
      <c r="E379" s="4">
        <v>83</v>
      </c>
      <c r="F379" s="5">
        <v>98.7</v>
      </c>
      <c r="G379" s="4">
        <f t="shared" si="5"/>
        <v>34</v>
      </c>
    </row>
    <row r="380" spans="1:7" x14ac:dyDescent="0.25">
      <c r="A380" s="1" t="s">
        <v>3999</v>
      </c>
      <c r="B380" s="1" t="s">
        <v>2144</v>
      </c>
      <c r="C380" s="4">
        <v>116</v>
      </c>
      <c r="D380" s="4">
        <v>74</v>
      </c>
      <c r="E380" s="4">
        <v>96</v>
      </c>
      <c r="F380" s="5">
        <v>97.7</v>
      </c>
      <c r="G380" s="4">
        <f t="shared" si="5"/>
        <v>42</v>
      </c>
    </row>
    <row r="381" spans="1:7" x14ac:dyDescent="0.25">
      <c r="A381" s="1" t="s">
        <v>4076</v>
      </c>
      <c r="B381" s="1" t="s">
        <v>2306</v>
      </c>
      <c r="C381" s="4">
        <v>116</v>
      </c>
      <c r="D381" s="4">
        <v>88</v>
      </c>
      <c r="E381" s="4">
        <v>74</v>
      </c>
      <c r="F381" s="5">
        <v>99.1</v>
      </c>
      <c r="G381" s="4">
        <f t="shared" si="5"/>
        <v>28</v>
      </c>
    </row>
    <row r="382" spans="1:7" x14ac:dyDescent="0.25">
      <c r="A382" s="1" t="s">
        <v>4100</v>
      </c>
      <c r="B382" s="1" t="s">
        <v>2354</v>
      </c>
      <c r="C382" s="4">
        <v>116</v>
      </c>
      <c r="D382" s="4">
        <v>79</v>
      </c>
      <c r="E382" s="4">
        <v>87</v>
      </c>
      <c r="F382" s="5">
        <v>98.2</v>
      </c>
      <c r="G382" s="4">
        <f t="shared" si="5"/>
        <v>37</v>
      </c>
    </row>
    <row r="383" spans="1:7" x14ac:dyDescent="0.25">
      <c r="A383" s="1" t="s">
        <v>4144</v>
      </c>
      <c r="B383" s="1" t="s">
        <v>2437</v>
      </c>
      <c r="C383" s="4">
        <v>116</v>
      </c>
      <c r="D383" s="4">
        <v>75</v>
      </c>
      <c r="E383" s="4">
        <v>72</v>
      </c>
      <c r="F383" s="5">
        <v>98.1</v>
      </c>
      <c r="G383" s="4">
        <f t="shared" si="5"/>
        <v>41</v>
      </c>
    </row>
    <row r="384" spans="1:7" x14ac:dyDescent="0.25">
      <c r="A384" s="1" t="s">
        <v>4266</v>
      </c>
      <c r="B384" s="1" t="s">
        <v>2672</v>
      </c>
      <c r="C384" s="4">
        <v>116</v>
      </c>
      <c r="D384" s="4">
        <v>90</v>
      </c>
      <c r="E384" s="4">
        <v>68</v>
      </c>
      <c r="F384" s="5">
        <v>99.5</v>
      </c>
      <c r="G384" s="4">
        <f t="shared" si="5"/>
        <v>26</v>
      </c>
    </row>
    <row r="385" spans="1:7" x14ac:dyDescent="0.25">
      <c r="A385" s="1" t="s">
        <v>4274</v>
      </c>
      <c r="B385" s="1" t="s">
        <v>2685</v>
      </c>
      <c r="C385" s="4">
        <v>116</v>
      </c>
      <c r="D385" s="4">
        <v>79</v>
      </c>
      <c r="E385" s="4">
        <v>88</v>
      </c>
      <c r="F385" s="5">
        <v>97.6</v>
      </c>
      <c r="G385" s="4">
        <f t="shared" si="5"/>
        <v>37</v>
      </c>
    </row>
    <row r="386" spans="1:7" x14ac:dyDescent="0.25">
      <c r="A386" s="1" t="s">
        <v>4326</v>
      </c>
      <c r="B386" s="1" t="s">
        <v>2779</v>
      </c>
      <c r="C386" s="4">
        <v>116</v>
      </c>
      <c r="D386" s="4">
        <v>86</v>
      </c>
      <c r="E386" s="4">
        <v>75</v>
      </c>
      <c r="F386" s="5">
        <v>98.2</v>
      </c>
      <c r="G386" s="4">
        <f t="shared" ref="G386:G449" si="6">C386-D386</f>
        <v>30</v>
      </c>
    </row>
    <row r="387" spans="1:7" x14ac:dyDescent="0.25">
      <c r="A387" s="1" t="s">
        <v>4330</v>
      </c>
      <c r="B387" s="1" t="s">
        <v>2785</v>
      </c>
      <c r="C387" s="4">
        <v>116</v>
      </c>
      <c r="D387" s="4">
        <v>79</v>
      </c>
      <c r="E387" s="4">
        <v>84</v>
      </c>
      <c r="F387" s="5">
        <v>98.9</v>
      </c>
      <c r="G387" s="4">
        <f t="shared" si="6"/>
        <v>37</v>
      </c>
    </row>
    <row r="388" spans="1:7" x14ac:dyDescent="0.25">
      <c r="A388" s="1" t="s">
        <v>4333</v>
      </c>
      <c r="B388" s="1" t="s">
        <v>2791</v>
      </c>
      <c r="C388" s="4">
        <v>116</v>
      </c>
      <c r="D388" s="4">
        <v>72</v>
      </c>
      <c r="E388" s="4">
        <v>78</v>
      </c>
      <c r="F388" s="5">
        <v>98.3</v>
      </c>
      <c r="G388" s="4">
        <f t="shared" si="6"/>
        <v>44</v>
      </c>
    </row>
    <row r="389" spans="1:7" x14ac:dyDescent="0.25">
      <c r="A389" s="1" t="s">
        <v>4394</v>
      </c>
      <c r="B389" s="1" t="s">
        <v>2897</v>
      </c>
      <c r="C389" s="4">
        <v>116</v>
      </c>
      <c r="D389" s="4">
        <v>70</v>
      </c>
      <c r="E389" s="4">
        <v>69</v>
      </c>
      <c r="F389" s="5">
        <v>99</v>
      </c>
      <c r="G389" s="4">
        <f t="shared" si="6"/>
        <v>46</v>
      </c>
    </row>
    <row r="390" spans="1:7" x14ac:dyDescent="0.25">
      <c r="A390" s="1" t="s">
        <v>4410</v>
      </c>
      <c r="B390" s="1" t="s">
        <v>2925</v>
      </c>
      <c r="C390" s="4">
        <v>116</v>
      </c>
      <c r="D390" s="4">
        <v>78</v>
      </c>
      <c r="E390" s="4">
        <v>86</v>
      </c>
      <c r="F390" s="5">
        <v>98.5</v>
      </c>
      <c r="G390" s="4">
        <f t="shared" si="6"/>
        <v>38</v>
      </c>
    </row>
    <row r="391" spans="1:7" x14ac:dyDescent="0.25">
      <c r="A391" s="1" t="s">
        <v>4417</v>
      </c>
      <c r="B391" s="1" t="s">
        <v>2936</v>
      </c>
      <c r="C391" s="4">
        <v>116</v>
      </c>
      <c r="D391" s="4">
        <v>82</v>
      </c>
      <c r="E391" s="4">
        <v>92</v>
      </c>
      <c r="F391" s="5">
        <v>98.4</v>
      </c>
      <c r="G391" s="4">
        <f t="shared" si="6"/>
        <v>34</v>
      </c>
    </row>
    <row r="392" spans="1:7" x14ac:dyDescent="0.25">
      <c r="A392" s="1" t="s">
        <v>4444</v>
      </c>
      <c r="B392" s="1" t="s">
        <v>2983</v>
      </c>
      <c r="C392" s="4">
        <v>116</v>
      </c>
      <c r="D392" s="4">
        <v>85</v>
      </c>
      <c r="E392" s="4">
        <v>93</v>
      </c>
      <c r="F392" s="5">
        <v>97.7</v>
      </c>
      <c r="G392" s="4">
        <f t="shared" si="6"/>
        <v>31</v>
      </c>
    </row>
    <row r="393" spans="1:7" x14ac:dyDescent="0.25">
      <c r="A393" s="1" t="s">
        <v>4458</v>
      </c>
      <c r="B393" s="1" t="s">
        <v>3007</v>
      </c>
      <c r="C393" s="4">
        <v>116</v>
      </c>
      <c r="D393" s="4">
        <v>71</v>
      </c>
      <c r="E393" s="4">
        <v>98</v>
      </c>
      <c r="F393" s="5">
        <v>98.3</v>
      </c>
      <c r="G393" s="4">
        <f t="shared" si="6"/>
        <v>45</v>
      </c>
    </row>
    <row r="394" spans="1:7" x14ac:dyDescent="0.25">
      <c r="A394" s="1" t="s">
        <v>4464</v>
      </c>
      <c r="B394" s="1" t="s">
        <v>3018</v>
      </c>
      <c r="C394" s="4">
        <v>116</v>
      </c>
      <c r="D394" s="4">
        <v>78</v>
      </c>
      <c r="E394" s="4">
        <v>64</v>
      </c>
      <c r="F394" s="5">
        <v>99</v>
      </c>
      <c r="G394" s="4">
        <f t="shared" si="6"/>
        <v>38</v>
      </c>
    </row>
    <row r="395" spans="1:7" x14ac:dyDescent="0.25">
      <c r="A395" s="1" t="s">
        <v>3990</v>
      </c>
      <c r="B395" s="1" t="s">
        <v>2120</v>
      </c>
      <c r="C395" s="4">
        <v>115</v>
      </c>
      <c r="D395" s="4">
        <v>85</v>
      </c>
      <c r="E395" s="4">
        <v>93</v>
      </c>
      <c r="F395" s="5">
        <v>97.8</v>
      </c>
      <c r="G395" s="4">
        <f t="shared" si="6"/>
        <v>30</v>
      </c>
    </row>
    <row r="396" spans="1:7" x14ac:dyDescent="0.25">
      <c r="A396" s="1" t="s">
        <v>3996</v>
      </c>
      <c r="B396" s="1" t="s">
        <v>2137</v>
      </c>
      <c r="C396" s="4">
        <v>115</v>
      </c>
      <c r="D396" s="4">
        <v>74</v>
      </c>
      <c r="E396" s="4">
        <v>89</v>
      </c>
      <c r="F396" s="5">
        <v>98.6</v>
      </c>
      <c r="G396" s="4">
        <f t="shared" si="6"/>
        <v>41</v>
      </c>
    </row>
    <row r="397" spans="1:7" x14ac:dyDescent="0.25">
      <c r="A397" s="1" t="s">
        <v>4053</v>
      </c>
      <c r="B397" s="1" t="s">
        <v>2262</v>
      </c>
      <c r="C397" s="4">
        <v>115</v>
      </c>
      <c r="D397" s="4">
        <v>80</v>
      </c>
      <c r="E397" s="4">
        <v>65</v>
      </c>
      <c r="F397" s="5">
        <v>97.5</v>
      </c>
      <c r="G397" s="4">
        <f t="shared" si="6"/>
        <v>35</v>
      </c>
    </row>
    <row r="398" spans="1:7" x14ac:dyDescent="0.25">
      <c r="A398" s="1" t="s">
        <v>4064</v>
      </c>
      <c r="B398" s="1" t="s">
        <v>2283</v>
      </c>
      <c r="C398" s="4">
        <v>115</v>
      </c>
      <c r="D398" s="4">
        <v>74</v>
      </c>
      <c r="E398" s="4">
        <v>63</v>
      </c>
      <c r="F398" s="5">
        <v>97.7</v>
      </c>
      <c r="G398" s="4">
        <f t="shared" si="6"/>
        <v>41</v>
      </c>
    </row>
    <row r="399" spans="1:7" x14ac:dyDescent="0.25">
      <c r="A399" s="1" t="s">
        <v>4067</v>
      </c>
      <c r="B399" s="1" t="s">
        <v>2288</v>
      </c>
      <c r="C399" s="4">
        <v>115</v>
      </c>
      <c r="D399" s="4">
        <v>85</v>
      </c>
      <c r="E399" s="4">
        <v>65</v>
      </c>
      <c r="F399" s="5">
        <v>98.8</v>
      </c>
      <c r="G399" s="4">
        <f t="shared" si="6"/>
        <v>30</v>
      </c>
    </row>
    <row r="400" spans="1:7" x14ac:dyDescent="0.25">
      <c r="A400" s="1" t="s">
        <v>4095</v>
      </c>
      <c r="B400" s="1" t="s">
        <v>2344</v>
      </c>
      <c r="C400" s="4">
        <v>115</v>
      </c>
      <c r="D400" s="4">
        <v>81</v>
      </c>
      <c r="E400" s="4">
        <v>84</v>
      </c>
      <c r="F400" s="5">
        <v>97.9</v>
      </c>
      <c r="G400" s="4">
        <f t="shared" si="6"/>
        <v>34</v>
      </c>
    </row>
    <row r="401" spans="1:7" x14ac:dyDescent="0.25">
      <c r="A401" s="1" t="s">
        <v>4103</v>
      </c>
      <c r="B401" s="1" t="s">
        <v>2359</v>
      </c>
      <c r="C401" s="4">
        <v>115</v>
      </c>
      <c r="D401" s="4">
        <v>84</v>
      </c>
      <c r="E401" s="4">
        <v>66</v>
      </c>
      <c r="F401" s="5">
        <v>97.9</v>
      </c>
      <c r="G401" s="4">
        <f t="shared" si="6"/>
        <v>31</v>
      </c>
    </row>
    <row r="402" spans="1:7" x14ac:dyDescent="0.25">
      <c r="A402" s="1" t="s">
        <v>4131</v>
      </c>
      <c r="B402" s="1" t="s">
        <v>2412</v>
      </c>
      <c r="C402" s="4">
        <v>115</v>
      </c>
      <c r="D402" s="4">
        <v>85</v>
      </c>
      <c r="E402" s="4">
        <v>93</v>
      </c>
      <c r="F402" s="5">
        <v>98.7</v>
      </c>
      <c r="G402" s="4">
        <f t="shared" si="6"/>
        <v>30</v>
      </c>
    </row>
    <row r="403" spans="1:7" x14ac:dyDescent="0.25">
      <c r="A403" s="1" t="s">
        <v>4169</v>
      </c>
      <c r="B403" s="1" t="s">
        <v>2486</v>
      </c>
      <c r="C403" s="4">
        <v>115</v>
      </c>
      <c r="D403" s="4">
        <v>88</v>
      </c>
      <c r="E403" s="4">
        <v>92</v>
      </c>
      <c r="F403" s="5">
        <v>98</v>
      </c>
      <c r="G403" s="4">
        <f t="shared" si="6"/>
        <v>27</v>
      </c>
    </row>
    <row r="404" spans="1:7" x14ac:dyDescent="0.25">
      <c r="A404" s="1" t="s">
        <v>4183</v>
      </c>
      <c r="B404" s="1" t="s">
        <v>2511</v>
      </c>
      <c r="C404" s="4">
        <v>115</v>
      </c>
      <c r="D404" s="4">
        <v>81</v>
      </c>
      <c r="E404" s="4">
        <v>82</v>
      </c>
      <c r="F404" s="5">
        <v>97.6</v>
      </c>
      <c r="G404" s="4">
        <f t="shared" si="6"/>
        <v>34</v>
      </c>
    </row>
    <row r="405" spans="1:7" x14ac:dyDescent="0.25">
      <c r="A405" s="1" t="s">
        <v>4219</v>
      </c>
      <c r="B405" s="1" t="s">
        <v>2582</v>
      </c>
      <c r="C405" s="4">
        <v>115</v>
      </c>
      <c r="D405" s="4">
        <v>83</v>
      </c>
      <c r="E405" s="4">
        <v>65</v>
      </c>
      <c r="F405" s="5">
        <v>99.4</v>
      </c>
      <c r="G405" s="4">
        <f t="shared" si="6"/>
        <v>32</v>
      </c>
    </row>
    <row r="406" spans="1:7" x14ac:dyDescent="0.25">
      <c r="A406" s="1" t="s">
        <v>4269</v>
      </c>
      <c r="B406" s="1" t="s">
        <v>2677</v>
      </c>
      <c r="C406" s="4">
        <v>115</v>
      </c>
      <c r="D406" s="4">
        <v>73</v>
      </c>
      <c r="E406" s="4">
        <v>94</v>
      </c>
      <c r="F406" s="5">
        <v>97.8</v>
      </c>
      <c r="G406" s="4">
        <f t="shared" si="6"/>
        <v>42</v>
      </c>
    </row>
    <row r="407" spans="1:7" x14ac:dyDescent="0.25">
      <c r="A407" s="1" t="s">
        <v>4351</v>
      </c>
      <c r="B407" s="1" t="s">
        <v>2824</v>
      </c>
      <c r="C407" s="4">
        <v>115</v>
      </c>
      <c r="D407" s="4">
        <v>85</v>
      </c>
      <c r="E407" s="4">
        <v>87</v>
      </c>
      <c r="F407" s="5">
        <v>99</v>
      </c>
      <c r="G407" s="4">
        <f t="shared" si="6"/>
        <v>30</v>
      </c>
    </row>
    <row r="408" spans="1:7" x14ac:dyDescent="0.25">
      <c r="A408" s="1" t="s">
        <v>4371</v>
      </c>
      <c r="B408" s="1" t="s">
        <v>2860</v>
      </c>
      <c r="C408" s="4">
        <v>115</v>
      </c>
      <c r="D408" s="4">
        <v>90</v>
      </c>
      <c r="E408" s="4">
        <v>68</v>
      </c>
      <c r="F408" s="5">
        <v>99</v>
      </c>
      <c r="G408" s="4">
        <f t="shared" si="6"/>
        <v>25</v>
      </c>
    </row>
    <row r="409" spans="1:7" x14ac:dyDescent="0.25">
      <c r="A409" s="1" t="s">
        <v>4384</v>
      </c>
      <c r="B409" s="1" t="s">
        <v>2882</v>
      </c>
      <c r="C409" s="4">
        <v>115</v>
      </c>
      <c r="D409" s="4">
        <v>74</v>
      </c>
      <c r="E409" s="4">
        <v>88</v>
      </c>
      <c r="F409" s="5">
        <v>98.7</v>
      </c>
      <c r="G409" s="4">
        <f t="shared" si="6"/>
        <v>41</v>
      </c>
    </row>
    <row r="410" spans="1:7" x14ac:dyDescent="0.25">
      <c r="A410" s="1" t="s">
        <v>4399</v>
      </c>
      <c r="B410" s="1" t="s">
        <v>2907</v>
      </c>
      <c r="C410" s="4">
        <v>115</v>
      </c>
      <c r="D410" s="4">
        <v>81</v>
      </c>
      <c r="E410" s="4">
        <v>98</v>
      </c>
      <c r="F410" s="5">
        <v>97.8</v>
      </c>
      <c r="G410" s="4">
        <f t="shared" si="6"/>
        <v>34</v>
      </c>
    </row>
    <row r="411" spans="1:7" x14ac:dyDescent="0.25">
      <c r="A411" s="1" t="s">
        <v>4451</v>
      </c>
      <c r="B411" s="1" t="s">
        <v>2994</v>
      </c>
      <c r="C411" s="4">
        <v>115</v>
      </c>
      <c r="D411" s="4">
        <v>75</v>
      </c>
      <c r="E411" s="4">
        <v>96</v>
      </c>
      <c r="F411" s="5">
        <v>99.2</v>
      </c>
      <c r="G411" s="4">
        <f t="shared" si="6"/>
        <v>40</v>
      </c>
    </row>
    <row r="412" spans="1:7" x14ac:dyDescent="0.25">
      <c r="A412" s="1" t="s">
        <v>4474</v>
      </c>
      <c r="B412" s="1" t="s">
        <v>3038</v>
      </c>
      <c r="C412" s="4">
        <v>115</v>
      </c>
      <c r="D412" s="4">
        <v>82</v>
      </c>
      <c r="E412" s="4">
        <v>89</v>
      </c>
      <c r="F412" s="5">
        <v>98.6</v>
      </c>
      <c r="G412" s="4">
        <f t="shared" si="6"/>
        <v>33</v>
      </c>
    </row>
    <row r="413" spans="1:7" x14ac:dyDescent="0.25">
      <c r="A413" s="1" t="s">
        <v>4479</v>
      </c>
      <c r="B413" s="1" t="s">
        <v>3047</v>
      </c>
      <c r="C413" s="4">
        <v>115</v>
      </c>
      <c r="D413" s="4">
        <v>76</v>
      </c>
      <c r="E413" s="4">
        <v>77</v>
      </c>
      <c r="F413" s="5">
        <v>97.9</v>
      </c>
      <c r="G413" s="4">
        <f t="shared" si="6"/>
        <v>39</v>
      </c>
    </row>
    <row r="414" spans="1:7" x14ac:dyDescent="0.25">
      <c r="A414" s="1" t="s">
        <v>4079</v>
      </c>
      <c r="B414" s="1" t="s">
        <v>2312</v>
      </c>
      <c r="C414" s="4">
        <v>114</v>
      </c>
      <c r="D414" s="4">
        <v>71</v>
      </c>
      <c r="E414" s="4">
        <v>65</v>
      </c>
      <c r="F414" s="5">
        <v>99.1</v>
      </c>
      <c r="G414" s="4">
        <f t="shared" si="6"/>
        <v>43</v>
      </c>
    </row>
    <row r="415" spans="1:7" x14ac:dyDescent="0.25">
      <c r="A415" s="1" t="s">
        <v>4108</v>
      </c>
      <c r="B415" s="1" t="s">
        <v>2369</v>
      </c>
      <c r="C415" s="4">
        <v>114</v>
      </c>
      <c r="D415" s="4">
        <v>90</v>
      </c>
      <c r="E415" s="4">
        <v>65</v>
      </c>
      <c r="F415" s="5">
        <v>99</v>
      </c>
      <c r="G415" s="4">
        <f t="shared" si="6"/>
        <v>24</v>
      </c>
    </row>
    <row r="416" spans="1:7" x14ac:dyDescent="0.25">
      <c r="A416" s="1" t="s">
        <v>4118</v>
      </c>
      <c r="B416" s="1" t="s">
        <v>2388</v>
      </c>
      <c r="C416" s="4">
        <v>114</v>
      </c>
      <c r="D416" s="4">
        <v>82</v>
      </c>
      <c r="E416" s="4">
        <v>80</v>
      </c>
      <c r="F416" s="5">
        <v>98.2</v>
      </c>
      <c r="G416" s="4">
        <f t="shared" si="6"/>
        <v>32</v>
      </c>
    </row>
    <row r="417" spans="1:7" x14ac:dyDescent="0.25">
      <c r="A417" s="1" t="s">
        <v>4127</v>
      </c>
      <c r="B417" s="1" t="s">
        <v>2404</v>
      </c>
      <c r="C417" s="4">
        <v>114</v>
      </c>
      <c r="D417" s="4">
        <v>80</v>
      </c>
      <c r="E417" s="4">
        <v>84</v>
      </c>
      <c r="F417" s="5">
        <v>97.6</v>
      </c>
      <c r="G417" s="4">
        <f t="shared" si="6"/>
        <v>34</v>
      </c>
    </row>
    <row r="418" spans="1:7" x14ac:dyDescent="0.25">
      <c r="A418" s="1" t="s">
        <v>4130</v>
      </c>
      <c r="B418" s="1" t="s">
        <v>2410</v>
      </c>
      <c r="C418" s="4">
        <v>114</v>
      </c>
      <c r="D418" s="4">
        <v>85</v>
      </c>
      <c r="E418" s="4">
        <v>70</v>
      </c>
      <c r="F418" s="5">
        <v>99.3</v>
      </c>
      <c r="G418" s="4">
        <f t="shared" si="6"/>
        <v>29</v>
      </c>
    </row>
    <row r="419" spans="1:7" x14ac:dyDescent="0.25">
      <c r="A419" s="1" t="s">
        <v>4135</v>
      </c>
      <c r="B419" s="1" t="s">
        <v>2420</v>
      </c>
      <c r="C419" s="4">
        <v>114</v>
      </c>
      <c r="D419" s="4">
        <v>75</v>
      </c>
      <c r="E419" s="4">
        <v>83</v>
      </c>
      <c r="F419" s="5">
        <v>98.2</v>
      </c>
      <c r="G419" s="4">
        <f t="shared" si="6"/>
        <v>39</v>
      </c>
    </row>
    <row r="420" spans="1:7" x14ac:dyDescent="0.25">
      <c r="A420" s="1" t="s">
        <v>4155</v>
      </c>
      <c r="B420" s="1" t="s">
        <v>2459</v>
      </c>
      <c r="C420" s="4">
        <v>114</v>
      </c>
      <c r="D420" s="4">
        <v>81</v>
      </c>
      <c r="E420" s="4">
        <v>77</v>
      </c>
      <c r="F420" s="5">
        <v>98</v>
      </c>
      <c r="G420" s="4">
        <f t="shared" si="6"/>
        <v>33</v>
      </c>
    </row>
    <row r="421" spans="1:7" x14ac:dyDescent="0.25">
      <c r="A421" s="1" t="s">
        <v>4160</v>
      </c>
      <c r="B421" s="1" t="s">
        <v>2469</v>
      </c>
      <c r="C421" s="4">
        <v>114</v>
      </c>
      <c r="D421" s="4">
        <v>82</v>
      </c>
      <c r="E421" s="4">
        <v>76</v>
      </c>
      <c r="F421" s="5">
        <v>97.6</v>
      </c>
      <c r="G421" s="4">
        <f t="shared" si="6"/>
        <v>32</v>
      </c>
    </row>
    <row r="422" spans="1:7" x14ac:dyDescent="0.25">
      <c r="A422" s="1" t="s">
        <v>4206</v>
      </c>
      <c r="B422" s="1" t="s">
        <v>2556</v>
      </c>
      <c r="C422" s="4">
        <v>114</v>
      </c>
      <c r="D422" s="4">
        <v>89</v>
      </c>
      <c r="E422" s="4">
        <v>67</v>
      </c>
      <c r="F422" s="5">
        <v>99.3</v>
      </c>
      <c r="G422" s="4">
        <f t="shared" si="6"/>
        <v>25</v>
      </c>
    </row>
    <row r="423" spans="1:7" x14ac:dyDescent="0.25">
      <c r="A423" s="1" t="s">
        <v>4212</v>
      </c>
      <c r="B423" s="1" t="s">
        <v>2568</v>
      </c>
      <c r="C423" s="4">
        <v>114</v>
      </c>
      <c r="D423" s="4">
        <v>78</v>
      </c>
      <c r="E423" s="4">
        <v>67</v>
      </c>
      <c r="F423" s="5">
        <v>98.9</v>
      </c>
      <c r="G423" s="4">
        <f t="shared" si="6"/>
        <v>36</v>
      </c>
    </row>
    <row r="424" spans="1:7" x14ac:dyDescent="0.25">
      <c r="A424" s="1" t="s">
        <v>4301</v>
      </c>
      <c r="B424" s="1" t="s">
        <v>2733</v>
      </c>
      <c r="C424" s="4">
        <v>114</v>
      </c>
      <c r="D424" s="4">
        <v>70</v>
      </c>
      <c r="E424" s="4">
        <v>66</v>
      </c>
      <c r="F424" s="5">
        <v>99.1</v>
      </c>
      <c r="G424" s="4">
        <f t="shared" si="6"/>
        <v>44</v>
      </c>
    </row>
    <row r="425" spans="1:7" x14ac:dyDescent="0.25">
      <c r="A425" s="1" t="s">
        <v>4316</v>
      </c>
      <c r="B425" s="1" t="s">
        <v>2761</v>
      </c>
      <c r="C425" s="4">
        <v>114</v>
      </c>
      <c r="D425" s="4">
        <v>83</v>
      </c>
      <c r="E425" s="4">
        <v>66</v>
      </c>
      <c r="F425" s="5">
        <v>98.4</v>
      </c>
      <c r="G425" s="4">
        <f t="shared" si="6"/>
        <v>31</v>
      </c>
    </row>
    <row r="426" spans="1:7" x14ac:dyDescent="0.25">
      <c r="A426" s="1" t="s">
        <v>4328</v>
      </c>
      <c r="B426" s="1" t="s">
        <v>2783</v>
      </c>
      <c r="C426" s="4">
        <v>114</v>
      </c>
      <c r="D426" s="4">
        <v>73</v>
      </c>
      <c r="E426" s="4">
        <v>84</v>
      </c>
      <c r="F426" s="5">
        <v>98.1</v>
      </c>
      <c r="G426" s="4">
        <f t="shared" si="6"/>
        <v>41</v>
      </c>
    </row>
    <row r="427" spans="1:7" x14ac:dyDescent="0.25">
      <c r="A427" s="1" t="s">
        <v>4345</v>
      </c>
      <c r="B427" s="1" t="s">
        <v>2812</v>
      </c>
      <c r="C427" s="4">
        <v>114</v>
      </c>
      <c r="D427" s="4">
        <v>89</v>
      </c>
      <c r="E427" s="4">
        <v>63</v>
      </c>
      <c r="F427" s="5">
        <v>98.7</v>
      </c>
      <c r="G427" s="4">
        <f t="shared" si="6"/>
        <v>25</v>
      </c>
    </row>
    <row r="428" spans="1:7" x14ac:dyDescent="0.25">
      <c r="A428" s="1" t="s">
        <v>4377</v>
      </c>
      <c r="B428" s="1" t="s">
        <v>2871</v>
      </c>
      <c r="C428" s="4">
        <v>114</v>
      </c>
      <c r="D428" s="4">
        <v>74</v>
      </c>
      <c r="E428" s="4">
        <v>83</v>
      </c>
      <c r="F428" s="5">
        <v>97.6</v>
      </c>
      <c r="G428" s="4">
        <f t="shared" si="6"/>
        <v>40</v>
      </c>
    </row>
    <row r="429" spans="1:7" x14ac:dyDescent="0.25">
      <c r="A429" s="1" t="s">
        <v>4401</v>
      </c>
      <c r="B429" s="1" t="s">
        <v>2911</v>
      </c>
      <c r="C429" s="4">
        <v>114</v>
      </c>
      <c r="D429" s="4">
        <v>87</v>
      </c>
      <c r="E429" s="4">
        <v>77</v>
      </c>
      <c r="F429" s="5">
        <v>98.7</v>
      </c>
      <c r="G429" s="4">
        <f t="shared" si="6"/>
        <v>27</v>
      </c>
    </row>
    <row r="430" spans="1:7" x14ac:dyDescent="0.25">
      <c r="A430" s="1" t="s">
        <v>4407</v>
      </c>
      <c r="B430" s="1" t="s">
        <v>2920</v>
      </c>
      <c r="C430" s="4">
        <v>114</v>
      </c>
      <c r="D430" s="4">
        <v>77</v>
      </c>
      <c r="E430" s="4">
        <v>62</v>
      </c>
      <c r="F430" s="5">
        <v>98</v>
      </c>
      <c r="G430" s="4">
        <f t="shared" si="6"/>
        <v>37</v>
      </c>
    </row>
    <row r="431" spans="1:7" x14ac:dyDescent="0.25">
      <c r="A431" s="1" t="s">
        <v>4408</v>
      </c>
      <c r="B431" s="1" t="s">
        <v>2922</v>
      </c>
      <c r="C431" s="4">
        <v>114</v>
      </c>
      <c r="D431" s="4">
        <v>80</v>
      </c>
      <c r="E431" s="4">
        <v>81</v>
      </c>
      <c r="F431" s="5">
        <v>98.4</v>
      </c>
      <c r="G431" s="4">
        <f t="shared" si="6"/>
        <v>34</v>
      </c>
    </row>
    <row r="432" spans="1:7" x14ac:dyDescent="0.25">
      <c r="A432" s="1" t="s">
        <v>4016</v>
      </c>
      <c r="B432" s="1" t="s">
        <v>2184</v>
      </c>
      <c r="C432" s="4">
        <v>113</v>
      </c>
      <c r="D432" s="4">
        <v>84</v>
      </c>
      <c r="E432" s="4">
        <v>66</v>
      </c>
      <c r="F432" s="5">
        <v>97.9</v>
      </c>
      <c r="G432" s="4">
        <f t="shared" si="6"/>
        <v>29</v>
      </c>
    </row>
    <row r="433" spans="1:7" x14ac:dyDescent="0.25">
      <c r="A433" s="1" t="s">
        <v>4055</v>
      </c>
      <c r="B433" s="1" t="s">
        <v>2266</v>
      </c>
      <c r="C433" s="4">
        <v>113</v>
      </c>
      <c r="D433" s="4">
        <v>79</v>
      </c>
      <c r="E433" s="4">
        <v>68</v>
      </c>
      <c r="F433" s="5">
        <v>99.1</v>
      </c>
      <c r="G433" s="4">
        <f t="shared" si="6"/>
        <v>34</v>
      </c>
    </row>
    <row r="434" spans="1:7" x14ac:dyDescent="0.25">
      <c r="A434" s="1" t="s">
        <v>4083</v>
      </c>
      <c r="B434" s="1" t="s">
        <v>2321</v>
      </c>
      <c r="C434" s="4">
        <v>113</v>
      </c>
      <c r="D434" s="4">
        <v>80</v>
      </c>
      <c r="E434" s="4">
        <v>60</v>
      </c>
      <c r="F434" s="5">
        <v>98</v>
      </c>
      <c r="G434" s="4">
        <f t="shared" si="6"/>
        <v>33</v>
      </c>
    </row>
    <row r="435" spans="1:7" x14ac:dyDescent="0.25">
      <c r="A435" s="1" t="s">
        <v>4105</v>
      </c>
      <c r="B435" s="1" t="s">
        <v>2363</v>
      </c>
      <c r="C435" s="4">
        <v>113</v>
      </c>
      <c r="D435" s="4">
        <v>74</v>
      </c>
      <c r="E435" s="4">
        <v>73</v>
      </c>
      <c r="F435" s="5">
        <v>99</v>
      </c>
      <c r="G435" s="4">
        <f t="shared" si="6"/>
        <v>39</v>
      </c>
    </row>
    <row r="436" spans="1:7" x14ac:dyDescent="0.25">
      <c r="A436" s="1" t="s">
        <v>4132</v>
      </c>
      <c r="B436" s="1" t="s">
        <v>2414</v>
      </c>
      <c r="C436" s="4">
        <v>113</v>
      </c>
      <c r="D436" s="4">
        <v>79</v>
      </c>
      <c r="E436" s="4">
        <v>91</v>
      </c>
      <c r="F436" s="5">
        <v>98.3</v>
      </c>
      <c r="G436" s="4">
        <f t="shared" si="6"/>
        <v>34</v>
      </c>
    </row>
    <row r="437" spans="1:7" x14ac:dyDescent="0.25">
      <c r="A437" s="1" t="s">
        <v>4149</v>
      </c>
      <c r="B437" s="1" t="s">
        <v>2447</v>
      </c>
      <c r="C437" s="4">
        <v>113</v>
      </c>
      <c r="D437" s="4">
        <v>73</v>
      </c>
      <c r="E437" s="4">
        <v>91</v>
      </c>
      <c r="F437" s="5">
        <v>97.6</v>
      </c>
      <c r="G437" s="4">
        <f t="shared" si="6"/>
        <v>40</v>
      </c>
    </row>
    <row r="438" spans="1:7" x14ac:dyDescent="0.25">
      <c r="A438" s="1" t="s">
        <v>4258</v>
      </c>
      <c r="B438" s="1" t="s">
        <v>2656</v>
      </c>
      <c r="C438" s="4">
        <v>113</v>
      </c>
      <c r="D438" s="4">
        <v>81</v>
      </c>
      <c r="E438" s="4">
        <v>94</v>
      </c>
      <c r="F438" s="5">
        <v>98.3</v>
      </c>
      <c r="G438" s="4">
        <f t="shared" si="6"/>
        <v>32</v>
      </c>
    </row>
    <row r="439" spans="1:7" x14ac:dyDescent="0.25">
      <c r="A439" s="1" t="s">
        <v>4265</v>
      </c>
      <c r="B439" s="1" t="s">
        <v>2670</v>
      </c>
      <c r="C439" s="4">
        <v>113</v>
      </c>
      <c r="D439" s="4">
        <v>74</v>
      </c>
      <c r="E439" s="4">
        <v>88</v>
      </c>
      <c r="F439" s="5">
        <v>98.4</v>
      </c>
      <c r="G439" s="4">
        <f t="shared" si="6"/>
        <v>39</v>
      </c>
    </row>
    <row r="440" spans="1:7" x14ac:dyDescent="0.25">
      <c r="A440" s="1" t="s">
        <v>4284</v>
      </c>
      <c r="B440" s="1" t="s">
        <v>2703</v>
      </c>
      <c r="C440" s="4">
        <v>113</v>
      </c>
      <c r="D440" s="4">
        <v>81</v>
      </c>
      <c r="E440" s="4">
        <v>86</v>
      </c>
      <c r="F440" s="5">
        <v>98.9</v>
      </c>
      <c r="G440" s="4">
        <f t="shared" si="6"/>
        <v>32</v>
      </c>
    </row>
    <row r="441" spans="1:7" x14ac:dyDescent="0.25">
      <c r="A441" s="1" t="s">
        <v>4287</v>
      </c>
      <c r="B441" s="1" t="s">
        <v>2708</v>
      </c>
      <c r="C441" s="4">
        <v>113</v>
      </c>
      <c r="D441" s="4">
        <v>84</v>
      </c>
      <c r="E441" s="4">
        <v>87</v>
      </c>
      <c r="F441" s="5">
        <v>99.3</v>
      </c>
      <c r="G441" s="4">
        <f t="shared" si="6"/>
        <v>29</v>
      </c>
    </row>
    <row r="442" spans="1:7" x14ac:dyDescent="0.25">
      <c r="A442" s="1" t="s">
        <v>4302</v>
      </c>
      <c r="B442" s="1" t="s">
        <v>2735</v>
      </c>
      <c r="C442" s="4">
        <v>113</v>
      </c>
      <c r="D442" s="4">
        <v>72</v>
      </c>
      <c r="E442" s="4">
        <v>62</v>
      </c>
      <c r="F442" s="5">
        <v>97.7</v>
      </c>
      <c r="G442" s="4">
        <f t="shared" si="6"/>
        <v>41</v>
      </c>
    </row>
    <row r="443" spans="1:7" x14ac:dyDescent="0.25">
      <c r="A443" s="1" t="s">
        <v>4368</v>
      </c>
      <c r="B443" s="1" t="s">
        <v>2855</v>
      </c>
      <c r="C443" s="4">
        <v>113</v>
      </c>
      <c r="D443" s="4">
        <v>87</v>
      </c>
      <c r="E443" s="4">
        <v>96</v>
      </c>
      <c r="F443" s="5">
        <v>98.6</v>
      </c>
      <c r="G443" s="4">
        <f t="shared" si="6"/>
        <v>26</v>
      </c>
    </row>
    <row r="444" spans="1:7" x14ac:dyDescent="0.25">
      <c r="A444" s="1" t="s">
        <v>4406</v>
      </c>
      <c r="B444" s="1" t="s">
        <v>2919</v>
      </c>
      <c r="C444" s="4">
        <v>113</v>
      </c>
      <c r="D444" s="4">
        <v>87</v>
      </c>
      <c r="E444" s="4">
        <v>96</v>
      </c>
      <c r="F444" s="5">
        <v>98.7</v>
      </c>
      <c r="G444" s="4">
        <f t="shared" si="6"/>
        <v>26</v>
      </c>
    </row>
    <row r="445" spans="1:7" x14ac:dyDescent="0.25">
      <c r="A445" s="1" t="s">
        <v>4422</v>
      </c>
      <c r="B445" s="1" t="s">
        <v>2944</v>
      </c>
      <c r="C445" s="4">
        <v>113</v>
      </c>
      <c r="D445" s="4">
        <v>88</v>
      </c>
      <c r="E445" s="4">
        <v>96</v>
      </c>
      <c r="F445" s="5">
        <v>97.6</v>
      </c>
      <c r="G445" s="4">
        <f t="shared" si="6"/>
        <v>25</v>
      </c>
    </row>
    <row r="446" spans="1:7" x14ac:dyDescent="0.25">
      <c r="A446" s="1" t="s">
        <v>4424</v>
      </c>
      <c r="B446" s="1" t="s">
        <v>2948</v>
      </c>
      <c r="C446" s="4">
        <v>113</v>
      </c>
      <c r="D446" s="4">
        <v>76</v>
      </c>
      <c r="E446" s="4">
        <v>65</v>
      </c>
      <c r="F446" s="5">
        <v>97.6</v>
      </c>
      <c r="G446" s="4">
        <f t="shared" si="6"/>
        <v>37</v>
      </c>
    </row>
    <row r="447" spans="1:7" x14ac:dyDescent="0.25">
      <c r="A447" s="1" t="s">
        <v>4015</v>
      </c>
      <c r="B447" s="1" t="s">
        <v>2182</v>
      </c>
      <c r="C447" s="4">
        <v>112</v>
      </c>
      <c r="D447" s="4">
        <v>70</v>
      </c>
      <c r="E447" s="4">
        <v>62</v>
      </c>
      <c r="F447" s="5">
        <v>99.3</v>
      </c>
      <c r="G447" s="4">
        <f t="shared" si="6"/>
        <v>42</v>
      </c>
    </row>
    <row r="448" spans="1:7" x14ac:dyDescent="0.25">
      <c r="A448" s="1" t="s">
        <v>4020</v>
      </c>
      <c r="B448" s="1" t="s">
        <v>2193</v>
      </c>
      <c r="C448" s="4">
        <v>112</v>
      </c>
      <c r="D448" s="4">
        <v>81</v>
      </c>
      <c r="E448" s="4">
        <v>70</v>
      </c>
      <c r="F448" s="5">
        <v>97.9</v>
      </c>
      <c r="G448" s="4">
        <f t="shared" si="6"/>
        <v>31</v>
      </c>
    </row>
    <row r="449" spans="1:7" x14ac:dyDescent="0.25">
      <c r="A449" s="1" t="s">
        <v>4043</v>
      </c>
      <c r="B449" s="1" t="s">
        <v>2240</v>
      </c>
      <c r="C449" s="4">
        <v>112</v>
      </c>
      <c r="D449" s="4">
        <v>90</v>
      </c>
      <c r="E449" s="4">
        <v>64</v>
      </c>
      <c r="F449" s="5">
        <v>99.3</v>
      </c>
      <c r="G449" s="4">
        <f t="shared" si="6"/>
        <v>22</v>
      </c>
    </row>
    <row r="450" spans="1:7" x14ac:dyDescent="0.25">
      <c r="A450" s="1" t="s">
        <v>4054</v>
      </c>
      <c r="B450" s="1" t="s">
        <v>2264</v>
      </c>
      <c r="C450" s="4">
        <v>112</v>
      </c>
      <c r="D450" s="4">
        <v>85</v>
      </c>
      <c r="E450" s="4">
        <v>89</v>
      </c>
      <c r="F450" s="5">
        <v>98.6</v>
      </c>
      <c r="G450" s="4">
        <f t="shared" ref="G450:G501" si="7">C450-D450</f>
        <v>27</v>
      </c>
    </row>
    <row r="451" spans="1:7" x14ac:dyDescent="0.25">
      <c r="A451" s="1" t="s">
        <v>4086</v>
      </c>
      <c r="B451" s="1" t="s">
        <v>2326</v>
      </c>
      <c r="C451" s="4">
        <v>112</v>
      </c>
      <c r="D451" s="4">
        <v>83</v>
      </c>
      <c r="E451" s="4">
        <v>74</v>
      </c>
      <c r="F451" s="5">
        <v>98</v>
      </c>
      <c r="G451" s="4">
        <f t="shared" si="7"/>
        <v>29</v>
      </c>
    </row>
    <row r="452" spans="1:7" x14ac:dyDescent="0.25">
      <c r="A452" s="1" t="s">
        <v>4101</v>
      </c>
      <c r="B452" s="1" t="s">
        <v>2356</v>
      </c>
      <c r="C452" s="4">
        <v>112</v>
      </c>
      <c r="D452" s="4">
        <v>84</v>
      </c>
      <c r="E452" s="4">
        <v>82</v>
      </c>
      <c r="F452" s="5">
        <v>98.8</v>
      </c>
      <c r="G452" s="4">
        <f t="shared" si="7"/>
        <v>28</v>
      </c>
    </row>
    <row r="453" spans="1:7" x14ac:dyDescent="0.25">
      <c r="A453" s="1" t="s">
        <v>4102</v>
      </c>
      <c r="B453" s="1" t="s">
        <v>2357</v>
      </c>
      <c r="C453" s="4">
        <v>112</v>
      </c>
      <c r="D453" s="4">
        <v>79</v>
      </c>
      <c r="E453" s="4">
        <v>84</v>
      </c>
      <c r="F453" s="5">
        <v>97.8</v>
      </c>
      <c r="G453" s="4">
        <f t="shared" si="7"/>
        <v>33</v>
      </c>
    </row>
    <row r="454" spans="1:7" x14ac:dyDescent="0.25">
      <c r="A454" s="1" t="s">
        <v>4154</v>
      </c>
      <c r="B454" s="1" t="s">
        <v>2457</v>
      </c>
      <c r="C454" s="4">
        <v>112</v>
      </c>
      <c r="D454" s="4">
        <v>80</v>
      </c>
      <c r="E454" s="4">
        <v>92</v>
      </c>
      <c r="F454" s="5">
        <v>97.7</v>
      </c>
      <c r="G454" s="4">
        <f t="shared" si="7"/>
        <v>32</v>
      </c>
    </row>
    <row r="455" spans="1:7" x14ac:dyDescent="0.25">
      <c r="A455" s="1" t="s">
        <v>4166</v>
      </c>
      <c r="B455" s="1" t="s">
        <v>2481</v>
      </c>
      <c r="C455" s="4">
        <v>112</v>
      </c>
      <c r="D455" s="4">
        <v>85</v>
      </c>
      <c r="E455" s="4">
        <v>92</v>
      </c>
      <c r="F455" s="5">
        <v>97.8</v>
      </c>
      <c r="G455" s="4">
        <f t="shared" si="7"/>
        <v>27</v>
      </c>
    </row>
    <row r="456" spans="1:7" x14ac:dyDescent="0.25">
      <c r="A456" s="1" t="s">
        <v>4230</v>
      </c>
      <c r="B456" s="1" t="s">
        <v>2602</v>
      </c>
      <c r="C456" s="4">
        <v>112</v>
      </c>
      <c r="D456" s="4">
        <v>86</v>
      </c>
      <c r="E456" s="4">
        <v>94</v>
      </c>
      <c r="F456" s="5">
        <v>99.4</v>
      </c>
      <c r="G456" s="4">
        <f t="shared" si="7"/>
        <v>26</v>
      </c>
    </row>
    <row r="457" spans="1:7" x14ac:dyDescent="0.25">
      <c r="A457" s="1" t="s">
        <v>4250</v>
      </c>
      <c r="B457" s="1" t="s">
        <v>2641</v>
      </c>
      <c r="C457" s="4">
        <v>112</v>
      </c>
      <c r="D457" s="4">
        <v>86</v>
      </c>
      <c r="E457" s="4">
        <v>72</v>
      </c>
      <c r="F457" s="5">
        <v>98.9</v>
      </c>
      <c r="G457" s="4">
        <f t="shared" si="7"/>
        <v>26</v>
      </c>
    </row>
    <row r="458" spans="1:7" x14ac:dyDescent="0.25">
      <c r="A458" s="1" t="s">
        <v>4252</v>
      </c>
      <c r="B458" s="1" t="s">
        <v>2644</v>
      </c>
      <c r="C458" s="4">
        <v>112</v>
      </c>
      <c r="D458" s="4">
        <v>83</v>
      </c>
      <c r="E458" s="4">
        <v>83</v>
      </c>
      <c r="F458" s="5">
        <v>98.4</v>
      </c>
      <c r="G458" s="4">
        <f t="shared" si="7"/>
        <v>29</v>
      </c>
    </row>
    <row r="459" spans="1:7" x14ac:dyDescent="0.25">
      <c r="A459" s="1" t="s">
        <v>4304</v>
      </c>
      <c r="B459" s="1" t="s">
        <v>2739</v>
      </c>
      <c r="C459" s="4">
        <v>112</v>
      </c>
      <c r="D459" s="4">
        <v>90</v>
      </c>
      <c r="E459" s="4">
        <v>65</v>
      </c>
      <c r="F459" s="5">
        <v>98.5</v>
      </c>
      <c r="G459" s="4">
        <f t="shared" si="7"/>
        <v>22</v>
      </c>
    </row>
    <row r="460" spans="1:7" x14ac:dyDescent="0.25">
      <c r="A460" s="1" t="s">
        <v>4318</v>
      </c>
      <c r="B460" s="1" t="s">
        <v>2765</v>
      </c>
      <c r="C460" s="4">
        <v>112</v>
      </c>
      <c r="D460" s="4">
        <v>81</v>
      </c>
      <c r="E460" s="4">
        <v>97</v>
      </c>
      <c r="F460" s="5">
        <v>99.2</v>
      </c>
      <c r="G460" s="4">
        <f t="shared" si="7"/>
        <v>31</v>
      </c>
    </row>
    <row r="461" spans="1:7" x14ac:dyDescent="0.25">
      <c r="A461" s="1" t="s">
        <v>4334</v>
      </c>
      <c r="B461" s="1" t="s">
        <v>2792</v>
      </c>
      <c r="C461" s="4">
        <v>112</v>
      </c>
      <c r="D461" s="4">
        <v>76</v>
      </c>
      <c r="E461" s="4">
        <v>84</v>
      </c>
      <c r="F461" s="5">
        <v>98.3</v>
      </c>
      <c r="G461" s="4">
        <f t="shared" si="7"/>
        <v>36</v>
      </c>
    </row>
    <row r="462" spans="1:7" x14ac:dyDescent="0.25">
      <c r="A462" s="1" t="s">
        <v>4354</v>
      </c>
      <c r="B462" s="1" t="s">
        <v>2830</v>
      </c>
      <c r="C462" s="4">
        <v>112</v>
      </c>
      <c r="D462" s="4">
        <v>71</v>
      </c>
      <c r="E462" s="4">
        <v>88</v>
      </c>
      <c r="F462" s="5">
        <v>98.4</v>
      </c>
      <c r="G462" s="4">
        <f t="shared" si="7"/>
        <v>41</v>
      </c>
    </row>
    <row r="463" spans="1:7" x14ac:dyDescent="0.25">
      <c r="A463" s="1" t="s">
        <v>4405</v>
      </c>
      <c r="B463" s="1" t="s">
        <v>2917</v>
      </c>
      <c r="C463" s="4">
        <v>112</v>
      </c>
      <c r="D463" s="4">
        <v>76</v>
      </c>
      <c r="E463" s="4">
        <v>78</v>
      </c>
      <c r="F463" s="5">
        <v>97.7</v>
      </c>
      <c r="G463" s="4">
        <f t="shared" si="7"/>
        <v>36</v>
      </c>
    </row>
    <row r="464" spans="1:7" x14ac:dyDescent="0.25">
      <c r="A464" s="1" t="s">
        <v>4447</v>
      </c>
      <c r="B464" s="1" t="s">
        <v>2987</v>
      </c>
      <c r="C464" s="4">
        <v>112</v>
      </c>
      <c r="D464" s="4">
        <v>90</v>
      </c>
      <c r="E464" s="4">
        <v>93</v>
      </c>
      <c r="F464" s="5">
        <v>99.2</v>
      </c>
      <c r="G464" s="4">
        <f t="shared" si="7"/>
        <v>22</v>
      </c>
    </row>
    <row r="465" spans="1:7" x14ac:dyDescent="0.25">
      <c r="A465" s="1" t="s">
        <v>3993</v>
      </c>
      <c r="B465" s="1" t="s">
        <v>2128</v>
      </c>
      <c r="C465" s="4">
        <v>111</v>
      </c>
      <c r="D465" s="4">
        <v>84</v>
      </c>
      <c r="E465" s="4">
        <v>72</v>
      </c>
      <c r="F465" s="5">
        <v>98.9</v>
      </c>
      <c r="G465" s="4">
        <f t="shared" si="7"/>
        <v>27</v>
      </c>
    </row>
    <row r="466" spans="1:7" x14ac:dyDescent="0.25">
      <c r="A466" s="1" t="s">
        <v>4071</v>
      </c>
      <c r="B466" s="1" t="s">
        <v>2296</v>
      </c>
      <c r="C466" s="4">
        <v>111</v>
      </c>
      <c r="D466" s="4">
        <v>74</v>
      </c>
      <c r="E466" s="4">
        <v>62</v>
      </c>
      <c r="F466" s="5">
        <v>99.3</v>
      </c>
      <c r="G466" s="4">
        <f t="shared" si="7"/>
        <v>37</v>
      </c>
    </row>
    <row r="467" spans="1:7" x14ac:dyDescent="0.25">
      <c r="A467" s="1" t="s">
        <v>4077</v>
      </c>
      <c r="B467" s="1" t="s">
        <v>2308</v>
      </c>
      <c r="C467" s="4">
        <v>111</v>
      </c>
      <c r="D467" s="4">
        <v>81</v>
      </c>
      <c r="E467" s="4">
        <v>95</v>
      </c>
      <c r="F467" s="5">
        <v>97.7</v>
      </c>
      <c r="G467" s="4">
        <f t="shared" si="7"/>
        <v>30</v>
      </c>
    </row>
    <row r="468" spans="1:7" x14ac:dyDescent="0.25">
      <c r="A468" s="1" t="s">
        <v>4114</v>
      </c>
      <c r="B468" s="1" t="s">
        <v>2380</v>
      </c>
      <c r="C468" s="4">
        <v>111</v>
      </c>
      <c r="D468" s="4">
        <v>85</v>
      </c>
      <c r="E468" s="4">
        <v>68</v>
      </c>
      <c r="F468" s="5">
        <v>98.3</v>
      </c>
      <c r="G468" s="4">
        <f t="shared" si="7"/>
        <v>26</v>
      </c>
    </row>
    <row r="469" spans="1:7" x14ac:dyDescent="0.25">
      <c r="A469" s="1" t="s">
        <v>4180</v>
      </c>
      <c r="B469" s="1" t="s">
        <v>2505</v>
      </c>
      <c r="C469" s="4">
        <v>111</v>
      </c>
      <c r="D469" s="4">
        <v>90</v>
      </c>
      <c r="E469" s="4">
        <v>85</v>
      </c>
      <c r="F469" s="5">
        <v>98.7</v>
      </c>
      <c r="G469" s="4">
        <f t="shared" si="7"/>
        <v>21</v>
      </c>
    </row>
    <row r="470" spans="1:7" x14ac:dyDescent="0.25">
      <c r="A470" s="1" t="s">
        <v>4181</v>
      </c>
      <c r="B470" s="1" t="s">
        <v>2507</v>
      </c>
      <c r="C470" s="4">
        <v>111</v>
      </c>
      <c r="D470" s="4">
        <v>82</v>
      </c>
      <c r="E470" s="4">
        <v>87</v>
      </c>
      <c r="F470" s="5">
        <v>98.2</v>
      </c>
      <c r="G470" s="4">
        <f t="shared" si="7"/>
        <v>29</v>
      </c>
    </row>
    <row r="471" spans="1:7" x14ac:dyDescent="0.25">
      <c r="A471" s="1" t="s">
        <v>4225</v>
      </c>
      <c r="B471" s="1" t="s">
        <v>2592</v>
      </c>
      <c r="C471" s="4">
        <v>111</v>
      </c>
      <c r="D471" s="4">
        <v>72</v>
      </c>
      <c r="E471" s="4">
        <v>82</v>
      </c>
      <c r="F471" s="5">
        <v>97.6</v>
      </c>
      <c r="G471" s="4">
        <f t="shared" si="7"/>
        <v>39</v>
      </c>
    </row>
    <row r="472" spans="1:7" x14ac:dyDescent="0.25">
      <c r="A472" s="1" t="s">
        <v>4253</v>
      </c>
      <c r="B472" s="1" t="s">
        <v>2646</v>
      </c>
      <c r="C472" s="4">
        <v>111</v>
      </c>
      <c r="D472" s="4">
        <v>75</v>
      </c>
      <c r="E472" s="4">
        <v>83</v>
      </c>
      <c r="F472" s="5">
        <v>98.5</v>
      </c>
      <c r="G472" s="4">
        <f t="shared" si="7"/>
        <v>36</v>
      </c>
    </row>
    <row r="473" spans="1:7" x14ac:dyDescent="0.25">
      <c r="A473" s="1" t="s">
        <v>4254</v>
      </c>
      <c r="B473" s="1" t="s">
        <v>2648</v>
      </c>
      <c r="C473" s="4">
        <v>111</v>
      </c>
      <c r="D473" s="4">
        <v>70</v>
      </c>
      <c r="E473" s="4">
        <v>73</v>
      </c>
      <c r="F473" s="5">
        <v>98.6</v>
      </c>
      <c r="G473" s="4">
        <f t="shared" si="7"/>
        <v>41</v>
      </c>
    </row>
    <row r="474" spans="1:7" x14ac:dyDescent="0.25">
      <c r="A474" s="1" t="s">
        <v>4270</v>
      </c>
      <c r="B474" s="1" t="s">
        <v>2679</v>
      </c>
      <c r="C474" s="4">
        <v>111</v>
      </c>
      <c r="D474" s="4">
        <v>85</v>
      </c>
      <c r="E474" s="4">
        <v>77</v>
      </c>
      <c r="F474" s="5">
        <v>99.5</v>
      </c>
      <c r="G474" s="4">
        <f t="shared" si="7"/>
        <v>26</v>
      </c>
    </row>
    <row r="475" spans="1:7" x14ac:dyDescent="0.25">
      <c r="A475" s="1" t="s">
        <v>4281</v>
      </c>
      <c r="B475" s="1" t="s">
        <v>2698</v>
      </c>
      <c r="C475" s="4">
        <v>111</v>
      </c>
      <c r="D475" s="4">
        <v>75</v>
      </c>
      <c r="E475" s="4">
        <v>93</v>
      </c>
      <c r="F475" s="5">
        <v>98</v>
      </c>
      <c r="G475" s="4">
        <f t="shared" si="7"/>
        <v>36</v>
      </c>
    </row>
    <row r="476" spans="1:7" x14ac:dyDescent="0.25">
      <c r="A476" s="1" t="s">
        <v>4320</v>
      </c>
      <c r="B476" s="1" t="s">
        <v>2768</v>
      </c>
      <c r="C476" s="4">
        <v>111</v>
      </c>
      <c r="D476" s="4">
        <v>78</v>
      </c>
      <c r="E476" s="4">
        <v>63</v>
      </c>
      <c r="F476" s="5">
        <v>98.4</v>
      </c>
      <c r="G476" s="4">
        <f t="shared" si="7"/>
        <v>33</v>
      </c>
    </row>
    <row r="477" spans="1:7" x14ac:dyDescent="0.25">
      <c r="A477" s="1" t="s">
        <v>4357</v>
      </c>
      <c r="B477" s="1" t="s">
        <v>2834</v>
      </c>
      <c r="C477" s="4">
        <v>111</v>
      </c>
      <c r="D477" s="4">
        <v>86</v>
      </c>
      <c r="E477" s="4">
        <v>77</v>
      </c>
      <c r="F477" s="5">
        <v>98</v>
      </c>
      <c r="G477" s="4">
        <f t="shared" si="7"/>
        <v>25</v>
      </c>
    </row>
    <row r="478" spans="1:7" x14ac:dyDescent="0.25">
      <c r="A478" s="1" t="s">
        <v>4359</v>
      </c>
      <c r="B478" s="1" t="s">
        <v>2838</v>
      </c>
      <c r="C478" s="4">
        <v>111</v>
      </c>
      <c r="D478" s="4">
        <v>90</v>
      </c>
      <c r="E478" s="4">
        <v>93</v>
      </c>
      <c r="F478" s="5">
        <v>97.7</v>
      </c>
      <c r="G478" s="4">
        <f t="shared" si="7"/>
        <v>21</v>
      </c>
    </row>
    <row r="479" spans="1:7" x14ac:dyDescent="0.25">
      <c r="A479" s="1" t="s">
        <v>4373</v>
      </c>
      <c r="B479" s="1" t="s">
        <v>2864</v>
      </c>
      <c r="C479" s="4">
        <v>111</v>
      </c>
      <c r="D479" s="4">
        <v>78</v>
      </c>
      <c r="E479" s="4">
        <v>86</v>
      </c>
      <c r="F479" s="5">
        <v>98.1</v>
      </c>
      <c r="G479" s="4">
        <f t="shared" si="7"/>
        <v>33</v>
      </c>
    </row>
    <row r="480" spans="1:7" x14ac:dyDescent="0.25">
      <c r="A480" s="1" t="s">
        <v>4425</v>
      </c>
      <c r="B480" s="1" t="s">
        <v>2949</v>
      </c>
      <c r="C480" s="4">
        <v>111</v>
      </c>
      <c r="D480" s="4">
        <v>78</v>
      </c>
      <c r="E480" s="4">
        <v>70</v>
      </c>
      <c r="F480" s="5">
        <v>98.6</v>
      </c>
      <c r="G480" s="4">
        <f t="shared" si="7"/>
        <v>33</v>
      </c>
    </row>
    <row r="481" spans="1:7" x14ac:dyDescent="0.25">
      <c r="A481" s="1" t="s">
        <v>4468</v>
      </c>
      <c r="B481" s="1" t="s">
        <v>3026</v>
      </c>
      <c r="C481" s="4">
        <v>111</v>
      </c>
      <c r="D481" s="4">
        <v>81</v>
      </c>
      <c r="E481" s="4">
        <v>92</v>
      </c>
      <c r="F481" s="5">
        <v>98.3</v>
      </c>
      <c r="G481" s="4">
        <f t="shared" si="7"/>
        <v>30</v>
      </c>
    </row>
    <row r="482" spans="1:7" x14ac:dyDescent="0.25">
      <c r="A482" s="1" t="s">
        <v>4471</v>
      </c>
      <c r="B482" s="1" t="s">
        <v>3032</v>
      </c>
      <c r="C482" s="4">
        <v>111</v>
      </c>
      <c r="D482" s="4">
        <v>77</v>
      </c>
      <c r="E482" s="4">
        <v>74</v>
      </c>
      <c r="F482" s="5">
        <v>99.4</v>
      </c>
      <c r="G482" s="4">
        <f t="shared" si="7"/>
        <v>34</v>
      </c>
    </row>
    <row r="483" spans="1:7" x14ac:dyDescent="0.25">
      <c r="A483" s="1" t="s">
        <v>3994</v>
      </c>
      <c r="B483" s="1" t="s">
        <v>2131</v>
      </c>
      <c r="C483" s="4">
        <v>110</v>
      </c>
      <c r="D483" s="4">
        <v>73</v>
      </c>
      <c r="E483" s="4">
        <v>98</v>
      </c>
      <c r="F483" s="5">
        <v>98.4</v>
      </c>
      <c r="G483" s="4">
        <f t="shared" si="7"/>
        <v>37</v>
      </c>
    </row>
    <row r="484" spans="1:7" x14ac:dyDescent="0.25">
      <c r="A484" s="1" t="s">
        <v>4003</v>
      </c>
      <c r="B484" s="1" t="s">
        <v>2154</v>
      </c>
      <c r="C484" s="4">
        <v>110</v>
      </c>
      <c r="D484" s="4">
        <v>83</v>
      </c>
      <c r="E484" s="4">
        <v>66</v>
      </c>
      <c r="F484" s="5">
        <v>99.2</v>
      </c>
      <c r="G484" s="4">
        <f t="shared" si="7"/>
        <v>27</v>
      </c>
    </row>
    <row r="485" spans="1:7" x14ac:dyDescent="0.25">
      <c r="A485" s="1" t="s">
        <v>4023</v>
      </c>
      <c r="B485" s="1" t="s">
        <v>2200</v>
      </c>
      <c r="C485" s="4">
        <v>110</v>
      </c>
      <c r="D485" s="4">
        <v>86</v>
      </c>
      <c r="E485" s="4">
        <v>96</v>
      </c>
      <c r="F485" s="5">
        <v>99.2</v>
      </c>
      <c r="G485" s="4">
        <f t="shared" si="7"/>
        <v>24</v>
      </c>
    </row>
    <row r="486" spans="1:7" x14ac:dyDescent="0.25">
      <c r="A486" s="1" t="s">
        <v>4051</v>
      </c>
      <c r="B486" s="1" t="s">
        <v>2257</v>
      </c>
      <c r="C486" s="4">
        <v>110</v>
      </c>
      <c r="D486" s="4">
        <v>90</v>
      </c>
      <c r="E486" s="4">
        <v>89</v>
      </c>
      <c r="F486" s="5">
        <v>98.6</v>
      </c>
      <c r="G486" s="4">
        <f t="shared" si="7"/>
        <v>20</v>
      </c>
    </row>
    <row r="487" spans="1:7" x14ac:dyDescent="0.25">
      <c r="A487" s="1" t="s">
        <v>4179</v>
      </c>
      <c r="B487" s="1" t="s">
        <v>2503</v>
      </c>
      <c r="C487" s="4">
        <v>110</v>
      </c>
      <c r="D487" s="4">
        <v>74</v>
      </c>
      <c r="E487" s="4">
        <v>72</v>
      </c>
      <c r="F487" s="5">
        <v>97.8</v>
      </c>
      <c r="G487" s="4">
        <f t="shared" si="7"/>
        <v>36</v>
      </c>
    </row>
    <row r="488" spans="1:7" x14ac:dyDescent="0.25">
      <c r="A488" s="1" t="s">
        <v>4201</v>
      </c>
      <c r="B488" s="1" t="s">
        <v>2547</v>
      </c>
      <c r="C488" s="4">
        <v>110</v>
      </c>
      <c r="D488" s="4">
        <v>79</v>
      </c>
      <c r="E488" s="4">
        <v>63</v>
      </c>
      <c r="F488" s="5">
        <v>98.8</v>
      </c>
      <c r="G488" s="4">
        <f t="shared" si="7"/>
        <v>31</v>
      </c>
    </row>
    <row r="489" spans="1:7" x14ac:dyDescent="0.25">
      <c r="A489" s="1" t="s">
        <v>4208</v>
      </c>
      <c r="B489" s="1" t="s">
        <v>2560</v>
      </c>
      <c r="C489" s="4">
        <v>110</v>
      </c>
      <c r="D489" s="4">
        <v>90</v>
      </c>
      <c r="E489" s="4">
        <v>90</v>
      </c>
      <c r="F489" s="5">
        <v>97.8</v>
      </c>
      <c r="G489" s="4">
        <f t="shared" si="7"/>
        <v>20</v>
      </c>
    </row>
    <row r="490" spans="1:7" x14ac:dyDescent="0.25">
      <c r="A490" s="1" t="s">
        <v>4214</v>
      </c>
      <c r="B490" s="1" t="s">
        <v>2572</v>
      </c>
      <c r="C490" s="4">
        <v>110</v>
      </c>
      <c r="D490" s="4">
        <v>71</v>
      </c>
      <c r="E490" s="4">
        <v>99</v>
      </c>
      <c r="F490" s="5">
        <v>97.8</v>
      </c>
      <c r="G490" s="4">
        <f t="shared" si="7"/>
        <v>39</v>
      </c>
    </row>
    <row r="491" spans="1:7" x14ac:dyDescent="0.25">
      <c r="A491" s="1" t="s">
        <v>4237</v>
      </c>
      <c r="B491" s="1" t="s">
        <v>2615</v>
      </c>
      <c r="C491" s="4">
        <v>110</v>
      </c>
      <c r="D491" s="4">
        <v>81</v>
      </c>
      <c r="E491" s="4">
        <v>73</v>
      </c>
      <c r="F491" s="5">
        <v>98.2</v>
      </c>
      <c r="G491" s="4">
        <f t="shared" si="7"/>
        <v>29</v>
      </c>
    </row>
    <row r="492" spans="1:7" x14ac:dyDescent="0.25">
      <c r="A492" s="1" t="s">
        <v>4271</v>
      </c>
      <c r="B492" s="1" t="s">
        <v>2681</v>
      </c>
      <c r="C492" s="4">
        <v>110</v>
      </c>
      <c r="D492" s="4">
        <v>77</v>
      </c>
      <c r="E492" s="4">
        <v>69</v>
      </c>
      <c r="F492" s="5">
        <v>99.4</v>
      </c>
      <c r="G492" s="4">
        <f t="shared" si="7"/>
        <v>33</v>
      </c>
    </row>
    <row r="493" spans="1:7" x14ac:dyDescent="0.25">
      <c r="A493" s="1" t="s">
        <v>4300</v>
      </c>
      <c r="B493" s="1" t="s">
        <v>2732</v>
      </c>
      <c r="C493" s="4">
        <v>110</v>
      </c>
      <c r="D493" s="4">
        <v>82</v>
      </c>
      <c r="E493" s="4">
        <v>61</v>
      </c>
      <c r="F493" s="5">
        <v>98.4</v>
      </c>
      <c r="G493" s="4">
        <f t="shared" si="7"/>
        <v>28</v>
      </c>
    </row>
    <row r="494" spans="1:7" x14ac:dyDescent="0.25">
      <c r="A494" s="1" t="s">
        <v>4331</v>
      </c>
      <c r="B494" s="1" t="s">
        <v>2787</v>
      </c>
      <c r="C494" s="4">
        <v>110</v>
      </c>
      <c r="D494" s="4">
        <v>88</v>
      </c>
      <c r="E494" s="4">
        <v>60</v>
      </c>
      <c r="F494" s="5">
        <v>97.8</v>
      </c>
      <c r="G494" s="4">
        <f t="shared" si="7"/>
        <v>22</v>
      </c>
    </row>
    <row r="495" spans="1:7" x14ac:dyDescent="0.25">
      <c r="A495" s="1" t="s">
        <v>4337</v>
      </c>
      <c r="B495" s="1" t="s">
        <v>2798</v>
      </c>
      <c r="C495" s="4">
        <v>110</v>
      </c>
      <c r="D495" s="4">
        <v>88</v>
      </c>
      <c r="E495" s="4">
        <v>73</v>
      </c>
      <c r="F495" s="5">
        <v>98.5</v>
      </c>
      <c r="G495" s="4">
        <f t="shared" si="7"/>
        <v>22</v>
      </c>
    </row>
    <row r="496" spans="1:7" x14ac:dyDescent="0.25">
      <c r="A496" s="1" t="s">
        <v>4397</v>
      </c>
      <c r="B496" s="1" t="s">
        <v>2903</v>
      </c>
      <c r="C496" s="4">
        <v>110</v>
      </c>
      <c r="D496" s="4">
        <v>71</v>
      </c>
      <c r="E496" s="4">
        <v>82</v>
      </c>
      <c r="F496" s="5">
        <v>98.8</v>
      </c>
      <c r="G496" s="4">
        <f t="shared" si="7"/>
        <v>39</v>
      </c>
    </row>
    <row r="497" spans="1:7" x14ac:dyDescent="0.25">
      <c r="A497" s="1" t="s">
        <v>4426</v>
      </c>
      <c r="B497" s="1" t="s">
        <v>2951</v>
      </c>
      <c r="C497" s="4">
        <v>110</v>
      </c>
      <c r="D497" s="4">
        <v>72</v>
      </c>
      <c r="E497" s="4">
        <v>82</v>
      </c>
      <c r="F497" s="5">
        <v>98.5</v>
      </c>
      <c r="G497" s="4">
        <f t="shared" si="7"/>
        <v>38</v>
      </c>
    </row>
    <row r="498" spans="1:7" x14ac:dyDescent="0.25">
      <c r="A498" s="1" t="s">
        <v>4446</v>
      </c>
      <c r="B498" s="1" t="s">
        <v>2986</v>
      </c>
      <c r="C498" s="4">
        <v>110</v>
      </c>
      <c r="D498" s="4">
        <v>72</v>
      </c>
      <c r="E498" s="4">
        <v>82</v>
      </c>
      <c r="F498" s="5">
        <v>98.7</v>
      </c>
      <c r="G498" s="4">
        <f t="shared" si="7"/>
        <v>38</v>
      </c>
    </row>
    <row r="499" spans="1:7" x14ac:dyDescent="0.25">
      <c r="A499" s="1" t="s">
        <v>4460</v>
      </c>
      <c r="B499" s="1" t="s">
        <v>3011</v>
      </c>
      <c r="C499" s="4">
        <v>110</v>
      </c>
      <c r="D499" s="4">
        <v>84</v>
      </c>
      <c r="E499" s="4">
        <v>88</v>
      </c>
      <c r="F499" s="5">
        <v>98.8</v>
      </c>
      <c r="G499" s="4">
        <f t="shared" si="7"/>
        <v>26</v>
      </c>
    </row>
    <row r="500" spans="1:7" x14ac:dyDescent="0.25">
      <c r="A500" s="1" t="s">
        <v>4469</v>
      </c>
      <c r="B500" s="1" t="s">
        <v>3028</v>
      </c>
      <c r="C500" s="4">
        <v>110</v>
      </c>
      <c r="D500" s="4">
        <v>70</v>
      </c>
      <c r="E500" s="4">
        <v>81</v>
      </c>
      <c r="F500" s="5">
        <v>99.5</v>
      </c>
      <c r="G500" s="4">
        <f t="shared" si="7"/>
        <v>40</v>
      </c>
    </row>
    <row r="501" spans="1:7" x14ac:dyDescent="0.25">
      <c r="A501" s="1" t="s">
        <v>4473</v>
      </c>
      <c r="B501" s="1" t="s">
        <v>3036</v>
      </c>
      <c r="C501" s="4">
        <v>110</v>
      </c>
      <c r="D501" s="4">
        <v>78</v>
      </c>
      <c r="E501" s="4">
        <v>67</v>
      </c>
      <c r="F501" s="5">
        <v>99.5</v>
      </c>
      <c r="G501" s="4">
        <f t="shared" si="7"/>
        <v>32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A9223-85D4-4346-A3C5-344E361CD415}">
  <dimension ref="A1:D501"/>
  <sheetViews>
    <sheetView workbookViewId="0">
      <selection activeCell="A2" sqref="A2"/>
    </sheetView>
  </sheetViews>
  <sheetFormatPr defaultRowHeight="15.75" x14ac:dyDescent="0.25"/>
  <cols>
    <col min="1" max="1" width="13.75" bestFit="1" customWidth="1"/>
    <col min="2" max="2" width="14.25" bestFit="1" customWidth="1"/>
    <col min="3" max="3" width="14.125" bestFit="1" customWidth="1"/>
    <col min="4" max="4" width="48.5" bestFit="1" customWidth="1"/>
  </cols>
  <sheetData>
    <row r="1" spans="1:4" ht="18" customHeight="1" x14ac:dyDescent="0.25">
      <c r="A1" s="1" t="s">
        <v>3452</v>
      </c>
      <c r="B1" s="1" t="s">
        <v>2080</v>
      </c>
      <c r="C1" s="1" t="s">
        <v>3453</v>
      </c>
      <c r="D1" s="1" t="s">
        <v>3454</v>
      </c>
    </row>
    <row r="2" spans="1:4" ht="18" customHeight="1" x14ac:dyDescent="0.25">
      <c r="A2" s="1" t="s">
        <v>3455</v>
      </c>
      <c r="B2" s="1" t="s">
        <v>2085</v>
      </c>
      <c r="C2" s="1" t="s">
        <v>3456</v>
      </c>
      <c r="D2" s="1" t="s">
        <v>3457</v>
      </c>
    </row>
    <row r="3" spans="1:4" ht="18" customHeight="1" x14ac:dyDescent="0.25">
      <c r="A3" s="1" t="s">
        <v>3465</v>
      </c>
      <c r="B3" s="1" t="s">
        <v>2101</v>
      </c>
      <c r="C3" s="1" t="s">
        <v>3456</v>
      </c>
      <c r="D3" s="1" t="s">
        <v>3457</v>
      </c>
    </row>
    <row r="4" spans="1:4" ht="18" customHeight="1" x14ac:dyDescent="0.25">
      <c r="A4" s="1" t="s">
        <v>3468</v>
      </c>
      <c r="B4" s="1" t="s">
        <v>2112</v>
      </c>
      <c r="C4" s="1" t="s">
        <v>3456</v>
      </c>
      <c r="D4" s="1" t="s">
        <v>3457</v>
      </c>
    </row>
    <row r="5" spans="1:4" ht="18" customHeight="1" x14ac:dyDescent="0.25">
      <c r="A5" s="1" t="s">
        <v>3489</v>
      </c>
      <c r="B5" s="1" t="s">
        <v>2156</v>
      </c>
      <c r="C5" s="1" t="s">
        <v>3456</v>
      </c>
      <c r="D5" s="1" t="s">
        <v>3457</v>
      </c>
    </row>
    <row r="6" spans="1:4" ht="18" customHeight="1" x14ac:dyDescent="0.25">
      <c r="A6" s="1" t="s">
        <v>3499</v>
      </c>
      <c r="B6" s="1" t="s">
        <v>2179</v>
      </c>
      <c r="C6" s="1" t="s">
        <v>3456</v>
      </c>
      <c r="D6" s="1" t="s">
        <v>3457</v>
      </c>
    </row>
    <row r="7" spans="1:4" ht="18" customHeight="1" x14ac:dyDescent="0.25">
      <c r="A7" s="1" t="s">
        <v>3513</v>
      </c>
      <c r="B7" s="1" t="s">
        <v>2209</v>
      </c>
      <c r="C7" s="1" t="s">
        <v>3456</v>
      </c>
      <c r="D7" s="1" t="s">
        <v>3457</v>
      </c>
    </row>
    <row r="8" spans="1:4" ht="18" customHeight="1" x14ac:dyDescent="0.25">
      <c r="A8" s="1" t="s">
        <v>3519</v>
      </c>
      <c r="B8" s="1" t="s">
        <v>2222</v>
      </c>
      <c r="C8" s="1" t="s">
        <v>3456</v>
      </c>
      <c r="D8" s="1" t="s">
        <v>3457</v>
      </c>
    </row>
    <row r="9" spans="1:4" ht="18" customHeight="1" x14ac:dyDescent="0.25">
      <c r="A9" s="1" t="s">
        <v>3522</v>
      </c>
      <c r="B9" s="1" t="s">
        <v>2229</v>
      </c>
      <c r="C9" s="1" t="s">
        <v>3456</v>
      </c>
      <c r="D9" s="1" t="s">
        <v>3457</v>
      </c>
    </row>
    <row r="10" spans="1:4" ht="18" customHeight="1" x14ac:dyDescent="0.25">
      <c r="A10" s="1" t="s">
        <v>3560</v>
      </c>
      <c r="B10" s="1" t="s">
        <v>2304</v>
      </c>
      <c r="C10" s="1" t="s">
        <v>3456</v>
      </c>
      <c r="D10" s="1" t="s">
        <v>3457</v>
      </c>
    </row>
    <row r="11" spans="1:4" ht="18" customHeight="1" x14ac:dyDescent="0.25">
      <c r="A11" s="1" t="s">
        <v>3562</v>
      </c>
      <c r="B11" s="1" t="s">
        <v>2308</v>
      </c>
      <c r="C11" s="1" t="s">
        <v>3456</v>
      </c>
      <c r="D11" s="1" t="s">
        <v>3457</v>
      </c>
    </row>
    <row r="12" spans="1:4" ht="18" customHeight="1" x14ac:dyDescent="0.25">
      <c r="A12" s="1" t="s">
        <v>3565</v>
      </c>
      <c r="B12" s="1" t="s">
        <v>2314</v>
      </c>
      <c r="C12" s="1" t="s">
        <v>3456</v>
      </c>
      <c r="D12" s="1" t="s">
        <v>3457</v>
      </c>
    </row>
    <row r="13" spans="1:4" ht="18" customHeight="1" x14ac:dyDescent="0.25">
      <c r="A13" s="1" t="s">
        <v>3581</v>
      </c>
      <c r="B13" s="1" t="s">
        <v>2346</v>
      </c>
      <c r="C13" s="1" t="s">
        <v>3456</v>
      </c>
      <c r="D13" s="1" t="s">
        <v>3457</v>
      </c>
    </row>
    <row r="14" spans="1:4" ht="18" customHeight="1" x14ac:dyDescent="0.25">
      <c r="A14" s="1" t="s">
        <v>3583</v>
      </c>
      <c r="B14" s="1" t="s">
        <v>2350</v>
      </c>
      <c r="C14" s="1" t="s">
        <v>3456</v>
      </c>
      <c r="D14" s="1" t="s">
        <v>3457</v>
      </c>
    </row>
    <row r="15" spans="1:4" ht="18" customHeight="1" x14ac:dyDescent="0.25">
      <c r="A15" s="1" t="s">
        <v>3585</v>
      </c>
      <c r="B15" s="1" t="s">
        <v>2354</v>
      </c>
      <c r="C15" s="1" t="s">
        <v>3456</v>
      </c>
      <c r="D15" s="1" t="s">
        <v>3457</v>
      </c>
    </row>
    <row r="16" spans="1:4" ht="18" customHeight="1" x14ac:dyDescent="0.25">
      <c r="A16" s="1" t="s">
        <v>3600</v>
      </c>
      <c r="B16" s="1" t="s">
        <v>2382</v>
      </c>
      <c r="C16" s="1" t="s">
        <v>3456</v>
      </c>
      <c r="D16" s="1" t="s">
        <v>3457</v>
      </c>
    </row>
    <row r="17" spans="1:4" ht="18" customHeight="1" x14ac:dyDescent="0.25">
      <c r="A17" s="1" t="s">
        <v>3610</v>
      </c>
      <c r="B17" s="1" t="s">
        <v>2400</v>
      </c>
      <c r="C17" s="1" t="s">
        <v>3456</v>
      </c>
      <c r="D17" s="1" t="s">
        <v>3457</v>
      </c>
    </row>
    <row r="18" spans="1:4" ht="18" customHeight="1" x14ac:dyDescent="0.25">
      <c r="A18" s="1" t="s">
        <v>3612</v>
      </c>
      <c r="B18" s="1" t="s">
        <v>2404</v>
      </c>
      <c r="C18" s="1" t="s">
        <v>3456</v>
      </c>
      <c r="D18" s="1" t="s">
        <v>3457</v>
      </c>
    </row>
    <row r="19" spans="1:4" ht="18" customHeight="1" x14ac:dyDescent="0.25">
      <c r="A19" s="1" t="s">
        <v>3614</v>
      </c>
      <c r="B19" s="1" t="s">
        <v>2408</v>
      </c>
      <c r="C19" s="1" t="s">
        <v>3456</v>
      </c>
      <c r="D19" s="1" t="s">
        <v>3457</v>
      </c>
    </row>
    <row r="20" spans="1:4" ht="18" customHeight="1" x14ac:dyDescent="0.25">
      <c r="A20" s="1" t="s">
        <v>3615</v>
      </c>
      <c r="B20" s="1" t="s">
        <v>2410</v>
      </c>
      <c r="C20" s="1" t="s">
        <v>3456</v>
      </c>
      <c r="D20" s="1" t="s">
        <v>3457</v>
      </c>
    </row>
    <row r="21" spans="1:4" ht="18" customHeight="1" x14ac:dyDescent="0.25">
      <c r="A21" s="1" t="s">
        <v>3626</v>
      </c>
      <c r="B21" s="1" t="s">
        <v>2431</v>
      </c>
      <c r="C21" s="1" t="s">
        <v>3456</v>
      </c>
      <c r="D21" s="1" t="s">
        <v>3457</v>
      </c>
    </row>
    <row r="22" spans="1:4" ht="18" customHeight="1" x14ac:dyDescent="0.25">
      <c r="A22" s="1" t="s">
        <v>3636</v>
      </c>
      <c r="B22" s="1" t="s">
        <v>2451</v>
      </c>
      <c r="C22" s="1" t="s">
        <v>3456</v>
      </c>
      <c r="D22" s="1" t="s">
        <v>3457</v>
      </c>
    </row>
    <row r="23" spans="1:4" ht="18" customHeight="1" x14ac:dyDescent="0.25">
      <c r="A23" s="1" t="s">
        <v>3649</v>
      </c>
      <c r="B23" s="1" t="s">
        <v>2477</v>
      </c>
      <c r="C23" s="1" t="s">
        <v>3456</v>
      </c>
      <c r="D23" s="1" t="s">
        <v>3457</v>
      </c>
    </row>
    <row r="24" spans="1:4" ht="18" customHeight="1" x14ac:dyDescent="0.25">
      <c r="A24" s="1" t="s">
        <v>3652</v>
      </c>
      <c r="B24" s="1" t="s">
        <v>2482</v>
      </c>
      <c r="C24" s="1" t="s">
        <v>3456</v>
      </c>
      <c r="D24" s="1" t="s">
        <v>3457</v>
      </c>
    </row>
    <row r="25" spans="1:4" ht="18" customHeight="1" x14ac:dyDescent="0.25">
      <c r="A25" s="1" t="s">
        <v>3660</v>
      </c>
      <c r="B25" s="1" t="s">
        <v>2497</v>
      </c>
      <c r="C25" s="1" t="s">
        <v>3456</v>
      </c>
      <c r="D25" s="1" t="s">
        <v>3457</v>
      </c>
    </row>
    <row r="26" spans="1:4" ht="18" customHeight="1" x14ac:dyDescent="0.25">
      <c r="A26" s="1" t="s">
        <v>3669</v>
      </c>
      <c r="B26" s="1" t="s">
        <v>2513</v>
      </c>
      <c r="C26" s="1" t="s">
        <v>3456</v>
      </c>
      <c r="D26" s="1" t="s">
        <v>3457</v>
      </c>
    </row>
    <row r="27" spans="1:4" ht="18" customHeight="1" x14ac:dyDescent="0.25">
      <c r="A27" s="1" t="s">
        <v>3671</v>
      </c>
      <c r="B27" s="1" t="s">
        <v>2517</v>
      </c>
      <c r="C27" s="1" t="s">
        <v>3456</v>
      </c>
      <c r="D27" s="1" t="s">
        <v>3457</v>
      </c>
    </row>
    <row r="28" spans="1:4" ht="18" customHeight="1" x14ac:dyDescent="0.25">
      <c r="A28" s="1" t="s">
        <v>3681</v>
      </c>
      <c r="B28" s="1" t="s">
        <v>2537</v>
      </c>
      <c r="C28" s="1" t="s">
        <v>3456</v>
      </c>
      <c r="D28" s="1" t="s">
        <v>3457</v>
      </c>
    </row>
    <row r="29" spans="1:4" ht="18" customHeight="1" x14ac:dyDescent="0.25">
      <c r="A29" s="1" t="s">
        <v>3692</v>
      </c>
      <c r="B29" s="1" t="s">
        <v>2558</v>
      </c>
      <c r="C29" s="1" t="s">
        <v>3456</v>
      </c>
      <c r="D29" s="1" t="s">
        <v>3457</v>
      </c>
    </row>
    <row r="30" spans="1:4" ht="18" customHeight="1" x14ac:dyDescent="0.25">
      <c r="A30" s="1" t="s">
        <v>3701</v>
      </c>
      <c r="B30" s="1" t="s">
        <v>2576</v>
      </c>
      <c r="C30" s="1" t="s">
        <v>3456</v>
      </c>
      <c r="D30" s="1" t="s">
        <v>3457</v>
      </c>
    </row>
    <row r="31" spans="1:4" ht="18" customHeight="1" x14ac:dyDescent="0.25">
      <c r="A31" s="1" t="s">
        <v>3703</v>
      </c>
      <c r="B31" s="1" t="s">
        <v>2580</v>
      </c>
      <c r="C31" s="1" t="s">
        <v>3456</v>
      </c>
      <c r="D31" s="1" t="s">
        <v>3457</v>
      </c>
    </row>
    <row r="32" spans="1:4" ht="18" customHeight="1" x14ac:dyDescent="0.25">
      <c r="A32" s="1" t="s">
        <v>3720</v>
      </c>
      <c r="B32" s="1" t="s">
        <v>2612</v>
      </c>
      <c r="C32" s="1" t="s">
        <v>3456</v>
      </c>
      <c r="D32" s="1" t="s">
        <v>3457</v>
      </c>
    </row>
    <row r="33" spans="1:4" ht="18" customHeight="1" x14ac:dyDescent="0.25">
      <c r="A33" s="1" t="s">
        <v>3737</v>
      </c>
      <c r="B33" s="1" t="s">
        <v>2644</v>
      </c>
      <c r="C33" s="1" t="s">
        <v>3456</v>
      </c>
      <c r="D33" s="1" t="s">
        <v>3457</v>
      </c>
    </row>
    <row r="34" spans="1:4" ht="18" customHeight="1" x14ac:dyDescent="0.25">
      <c r="A34" s="1" t="s">
        <v>3741</v>
      </c>
      <c r="B34" s="1" t="s">
        <v>2652</v>
      </c>
      <c r="C34" s="1" t="s">
        <v>3456</v>
      </c>
      <c r="D34" s="1" t="s">
        <v>3457</v>
      </c>
    </row>
    <row r="35" spans="1:4" ht="18" customHeight="1" x14ac:dyDescent="0.25">
      <c r="A35" s="1" t="s">
        <v>3742</v>
      </c>
      <c r="B35" s="1" t="s">
        <v>2654</v>
      </c>
      <c r="C35" s="1" t="s">
        <v>3456</v>
      </c>
      <c r="D35" s="1" t="s">
        <v>3457</v>
      </c>
    </row>
    <row r="36" spans="1:4" ht="18" customHeight="1" x14ac:dyDescent="0.25">
      <c r="A36" s="1" t="s">
        <v>3744</v>
      </c>
      <c r="B36" s="1" t="s">
        <v>2658</v>
      </c>
      <c r="C36" s="1" t="s">
        <v>3456</v>
      </c>
      <c r="D36" s="1" t="s">
        <v>3457</v>
      </c>
    </row>
    <row r="37" spans="1:4" ht="18" customHeight="1" x14ac:dyDescent="0.25">
      <c r="A37" s="1" t="s">
        <v>3747</v>
      </c>
      <c r="B37" s="1" t="s">
        <v>2664</v>
      </c>
      <c r="C37" s="1" t="s">
        <v>3456</v>
      </c>
      <c r="D37" s="1" t="s">
        <v>3457</v>
      </c>
    </row>
    <row r="38" spans="1:4" ht="18" customHeight="1" x14ac:dyDescent="0.25">
      <c r="A38" s="1" t="s">
        <v>3748</v>
      </c>
      <c r="B38" s="1" t="s">
        <v>2666</v>
      </c>
      <c r="C38" s="1" t="s">
        <v>3456</v>
      </c>
      <c r="D38" s="1" t="s">
        <v>3457</v>
      </c>
    </row>
    <row r="39" spans="1:4" ht="18" customHeight="1" x14ac:dyDescent="0.25">
      <c r="A39" s="1" t="s">
        <v>3750</v>
      </c>
      <c r="B39" s="1" t="s">
        <v>2670</v>
      </c>
      <c r="C39" s="1" t="s">
        <v>3456</v>
      </c>
      <c r="D39" s="1" t="s">
        <v>3457</v>
      </c>
    </row>
    <row r="40" spans="1:4" ht="18" customHeight="1" x14ac:dyDescent="0.25">
      <c r="A40" s="1" t="s">
        <v>3758</v>
      </c>
      <c r="B40" s="1" t="s">
        <v>2684</v>
      </c>
      <c r="C40" s="1" t="s">
        <v>3456</v>
      </c>
      <c r="D40" s="1" t="s">
        <v>3457</v>
      </c>
    </row>
    <row r="41" spans="1:4" ht="18" customHeight="1" x14ac:dyDescent="0.25">
      <c r="A41" s="1" t="s">
        <v>3767</v>
      </c>
      <c r="B41" s="1" t="s">
        <v>2700</v>
      </c>
      <c r="C41" s="1" t="s">
        <v>3456</v>
      </c>
      <c r="D41" s="1" t="s">
        <v>3457</v>
      </c>
    </row>
    <row r="42" spans="1:4" ht="18" customHeight="1" x14ac:dyDescent="0.25">
      <c r="A42" s="1" t="s">
        <v>3769</v>
      </c>
      <c r="B42" s="1" t="s">
        <v>2703</v>
      </c>
      <c r="C42" s="1" t="s">
        <v>3456</v>
      </c>
      <c r="D42" s="1" t="s">
        <v>3457</v>
      </c>
    </row>
    <row r="43" spans="1:4" ht="18" customHeight="1" x14ac:dyDescent="0.25">
      <c r="A43" s="1" t="s">
        <v>3770</v>
      </c>
      <c r="B43" s="1" t="s">
        <v>2704</v>
      </c>
      <c r="C43" s="1" t="s">
        <v>3456</v>
      </c>
      <c r="D43" s="1" t="s">
        <v>3457</v>
      </c>
    </row>
    <row r="44" spans="1:4" ht="18" customHeight="1" x14ac:dyDescent="0.25">
      <c r="A44" s="1" t="s">
        <v>3771</v>
      </c>
      <c r="B44" s="1" t="s">
        <v>2706</v>
      </c>
      <c r="C44" s="1" t="s">
        <v>3456</v>
      </c>
      <c r="D44" s="1" t="s">
        <v>3457</v>
      </c>
    </row>
    <row r="45" spans="1:4" ht="18" customHeight="1" x14ac:dyDescent="0.25">
      <c r="A45" s="1" t="s">
        <v>3772</v>
      </c>
      <c r="B45" s="1" t="s">
        <v>2708</v>
      </c>
      <c r="C45" s="1" t="s">
        <v>3456</v>
      </c>
      <c r="D45" s="1" t="s">
        <v>3457</v>
      </c>
    </row>
    <row r="46" spans="1:4" ht="18" customHeight="1" x14ac:dyDescent="0.25">
      <c r="A46" s="1" t="s">
        <v>3777</v>
      </c>
      <c r="B46" s="1" t="s">
        <v>2717</v>
      </c>
      <c r="C46" s="1" t="s">
        <v>3456</v>
      </c>
      <c r="D46" s="1" t="s">
        <v>3457</v>
      </c>
    </row>
    <row r="47" spans="1:4" ht="18" customHeight="1" x14ac:dyDescent="0.25">
      <c r="A47" s="1" t="s">
        <v>3778</v>
      </c>
      <c r="B47" s="1" t="s">
        <v>2719</v>
      </c>
      <c r="C47" s="1" t="s">
        <v>3456</v>
      </c>
      <c r="D47" s="1" t="s">
        <v>3457</v>
      </c>
    </row>
    <row r="48" spans="1:4" ht="18" customHeight="1" x14ac:dyDescent="0.25">
      <c r="A48" s="1" t="s">
        <v>3783</v>
      </c>
      <c r="B48" s="1" t="s">
        <v>2728</v>
      </c>
      <c r="C48" s="1" t="s">
        <v>3456</v>
      </c>
      <c r="D48" s="1" t="s">
        <v>3457</v>
      </c>
    </row>
    <row r="49" spans="1:4" ht="18" customHeight="1" x14ac:dyDescent="0.25">
      <c r="A49" s="1" t="s">
        <v>3785</v>
      </c>
      <c r="B49" s="1" t="s">
        <v>2732</v>
      </c>
      <c r="C49" s="1" t="s">
        <v>3456</v>
      </c>
      <c r="D49" s="1" t="s">
        <v>3457</v>
      </c>
    </row>
    <row r="50" spans="1:4" ht="18" customHeight="1" x14ac:dyDescent="0.25">
      <c r="A50" s="1" t="s">
        <v>3791</v>
      </c>
      <c r="B50" s="1" t="s">
        <v>2742</v>
      </c>
      <c r="C50" s="1" t="s">
        <v>3456</v>
      </c>
      <c r="D50" s="1" t="s">
        <v>3457</v>
      </c>
    </row>
    <row r="51" spans="1:4" ht="18" customHeight="1" x14ac:dyDescent="0.25">
      <c r="A51" s="1" t="s">
        <v>3794</v>
      </c>
      <c r="B51" s="1" t="s">
        <v>2747</v>
      </c>
      <c r="C51" s="1" t="s">
        <v>3456</v>
      </c>
      <c r="D51" s="1" t="s">
        <v>3457</v>
      </c>
    </row>
    <row r="52" spans="1:4" ht="18" customHeight="1" x14ac:dyDescent="0.25">
      <c r="A52" s="1" t="s">
        <v>3797</v>
      </c>
      <c r="B52" s="1" t="s">
        <v>2753</v>
      </c>
      <c r="C52" s="1" t="s">
        <v>3456</v>
      </c>
      <c r="D52" s="1" t="s">
        <v>3457</v>
      </c>
    </row>
    <row r="53" spans="1:4" ht="18" customHeight="1" x14ac:dyDescent="0.25">
      <c r="A53" s="1" t="s">
        <v>3798</v>
      </c>
      <c r="B53" s="1" t="s">
        <v>2755</v>
      </c>
      <c r="C53" s="1" t="s">
        <v>3456</v>
      </c>
      <c r="D53" s="1" t="s">
        <v>3457</v>
      </c>
    </row>
    <row r="54" spans="1:4" ht="18" customHeight="1" x14ac:dyDescent="0.25">
      <c r="A54" s="1" t="s">
        <v>3799</v>
      </c>
      <c r="B54" s="1" t="s">
        <v>2757</v>
      </c>
      <c r="C54" s="1" t="s">
        <v>3456</v>
      </c>
      <c r="D54" s="1" t="s">
        <v>3457</v>
      </c>
    </row>
    <row r="55" spans="1:4" ht="18" customHeight="1" x14ac:dyDescent="0.25">
      <c r="A55" s="1" t="s">
        <v>3801</v>
      </c>
      <c r="B55" s="1" t="s">
        <v>2761</v>
      </c>
      <c r="C55" s="1" t="s">
        <v>3456</v>
      </c>
      <c r="D55" s="1" t="s">
        <v>3457</v>
      </c>
    </row>
    <row r="56" spans="1:4" ht="18" customHeight="1" x14ac:dyDescent="0.25">
      <c r="A56" s="1" t="s">
        <v>3807</v>
      </c>
      <c r="B56" s="1" t="s">
        <v>2772</v>
      </c>
      <c r="C56" s="1" t="s">
        <v>3456</v>
      </c>
      <c r="D56" s="1" t="s">
        <v>3457</v>
      </c>
    </row>
    <row r="57" spans="1:4" ht="18" customHeight="1" x14ac:dyDescent="0.25">
      <c r="A57" s="1" t="s">
        <v>3809</v>
      </c>
      <c r="B57" s="1" t="s">
        <v>2776</v>
      </c>
      <c r="C57" s="1" t="s">
        <v>3456</v>
      </c>
      <c r="D57" s="1" t="s">
        <v>3457</v>
      </c>
    </row>
    <row r="58" spans="1:4" ht="18" customHeight="1" x14ac:dyDescent="0.25">
      <c r="A58" s="1" t="s">
        <v>3810</v>
      </c>
      <c r="B58" s="1" t="s">
        <v>2778</v>
      </c>
      <c r="C58" s="1" t="s">
        <v>3456</v>
      </c>
      <c r="D58" s="1" t="s">
        <v>3457</v>
      </c>
    </row>
    <row r="59" spans="1:4" ht="18" customHeight="1" x14ac:dyDescent="0.25">
      <c r="A59" s="1" t="s">
        <v>3813</v>
      </c>
      <c r="B59" s="1" t="s">
        <v>2783</v>
      </c>
      <c r="C59" s="1" t="s">
        <v>3456</v>
      </c>
      <c r="D59" s="1" t="s">
        <v>3457</v>
      </c>
    </row>
    <row r="60" spans="1:4" ht="18" customHeight="1" x14ac:dyDescent="0.25">
      <c r="A60" s="1" t="s">
        <v>3821</v>
      </c>
      <c r="B60" s="1" t="s">
        <v>2796</v>
      </c>
      <c r="C60" s="1" t="s">
        <v>3456</v>
      </c>
      <c r="D60" s="1" t="s">
        <v>3457</v>
      </c>
    </row>
    <row r="61" spans="1:4" ht="18" customHeight="1" x14ac:dyDescent="0.25">
      <c r="A61" s="1" t="s">
        <v>3828</v>
      </c>
      <c r="B61" s="1" t="s">
        <v>2809</v>
      </c>
      <c r="C61" s="1" t="s">
        <v>3456</v>
      </c>
      <c r="D61" s="1" t="s">
        <v>3457</v>
      </c>
    </row>
    <row r="62" spans="1:4" ht="18" customHeight="1" x14ac:dyDescent="0.25">
      <c r="A62" s="1" t="s">
        <v>3833</v>
      </c>
      <c r="B62" s="1" t="s">
        <v>2818</v>
      </c>
      <c r="C62" s="1" t="s">
        <v>3456</v>
      </c>
      <c r="D62" s="1" t="s">
        <v>3457</v>
      </c>
    </row>
    <row r="63" spans="1:4" ht="18" customHeight="1" x14ac:dyDescent="0.25">
      <c r="A63" s="1" t="s">
        <v>3836</v>
      </c>
      <c r="B63" s="1" t="s">
        <v>2824</v>
      </c>
      <c r="C63" s="1" t="s">
        <v>3456</v>
      </c>
      <c r="D63" s="1" t="s">
        <v>3457</v>
      </c>
    </row>
    <row r="64" spans="1:4" ht="18" customHeight="1" x14ac:dyDescent="0.25">
      <c r="A64" s="1" t="s">
        <v>3839</v>
      </c>
      <c r="B64" s="1" t="s">
        <v>2830</v>
      </c>
      <c r="C64" s="1" t="s">
        <v>3456</v>
      </c>
      <c r="D64" s="1" t="s">
        <v>3457</v>
      </c>
    </row>
    <row r="65" spans="1:4" ht="18" customHeight="1" x14ac:dyDescent="0.25">
      <c r="A65" s="1" t="s">
        <v>3843</v>
      </c>
      <c r="B65" s="1" t="s">
        <v>2836</v>
      </c>
      <c r="C65" s="1" t="s">
        <v>3456</v>
      </c>
      <c r="D65" s="1" t="s">
        <v>3457</v>
      </c>
    </row>
    <row r="66" spans="1:4" ht="18" customHeight="1" x14ac:dyDescent="0.25">
      <c r="A66" s="1" t="s">
        <v>3844</v>
      </c>
      <c r="B66" s="1" t="s">
        <v>2838</v>
      </c>
      <c r="C66" s="1" t="s">
        <v>3456</v>
      </c>
      <c r="D66" s="1" t="s">
        <v>3457</v>
      </c>
    </row>
    <row r="67" spans="1:4" ht="18" customHeight="1" x14ac:dyDescent="0.25">
      <c r="A67" s="1" t="s">
        <v>3846</v>
      </c>
      <c r="B67" s="1" t="s">
        <v>2841</v>
      </c>
      <c r="C67" s="1" t="s">
        <v>3456</v>
      </c>
      <c r="D67" s="1" t="s">
        <v>3457</v>
      </c>
    </row>
    <row r="68" spans="1:4" ht="18" customHeight="1" x14ac:dyDescent="0.25">
      <c r="A68" s="1" t="s">
        <v>3847</v>
      </c>
      <c r="B68" s="1" t="s">
        <v>2843</v>
      </c>
      <c r="C68" s="1" t="s">
        <v>3456</v>
      </c>
      <c r="D68" s="1" t="s">
        <v>3457</v>
      </c>
    </row>
    <row r="69" spans="1:4" ht="18" customHeight="1" x14ac:dyDescent="0.25">
      <c r="A69" s="1" t="s">
        <v>3856</v>
      </c>
      <c r="B69" s="1" t="s">
        <v>2860</v>
      </c>
      <c r="C69" s="1" t="s">
        <v>3456</v>
      </c>
      <c r="D69" s="1" t="s">
        <v>3457</v>
      </c>
    </row>
    <row r="70" spans="1:4" ht="18" customHeight="1" x14ac:dyDescent="0.25">
      <c r="A70" s="1" t="s">
        <v>3869</v>
      </c>
      <c r="B70" s="1" t="s">
        <v>2882</v>
      </c>
      <c r="C70" s="1" t="s">
        <v>3456</v>
      </c>
      <c r="D70" s="1" t="s">
        <v>3457</v>
      </c>
    </row>
    <row r="71" spans="1:4" ht="18" customHeight="1" x14ac:dyDescent="0.25">
      <c r="A71" s="1" t="s">
        <v>3874</v>
      </c>
      <c r="B71" s="1" t="s">
        <v>2889</v>
      </c>
      <c r="C71" s="1" t="s">
        <v>3456</v>
      </c>
      <c r="D71" s="1" t="s">
        <v>3457</v>
      </c>
    </row>
    <row r="72" spans="1:4" ht="18" customHeight="1" x14ac:dyDescent="0.25">
      <c r="A72" s="1" t="s">
        <v>3875</v>
      </c>
      <c r="B72" s="1" t="s">
        <v>2890</v>
      </c>
      <c r="C72" s="1" t="s">
        <v>3456</v>
      </c>
      <c r="D72" s="1" t="s">
        <v>3457</v>
      </c>
    </row>
    <row r="73" spans="1:4" ht="18" customHeight="1" x14ac:dyDescent="0.25">
      <c r="A73" s="1" t="s">
        <v>3876</v>
      </c>
      <c r="B73" s="1" t="s">
        <v>2892</v>
      </c>
      <c r="C73" s="1" t="s">
        <v>3456</v>
      </c>
      <c r="D73" s="1" t="s">
        <v>3457</v>
      </c>
    </row>
    <row r="74" spans="1:4" ht="18" customHeight="1" x14ac:dyDescent="0.25">
      <c r="A74" s="1" t="s">
        <v>3877</v>
      </c>
      <c r="B74" s="1" t="s">
        <v>2893</v>
      </c>
      <c r="C74" s="1" t="s">
        <v>3456</v>
      </c>
      <c r="D74" s="1" t="s">
        <v>3457</v>
      </c>
    </row>
    <row r="75" spans="1:4" ht="18" customHeight="1" x14ac:dyDescent="0.25">
      <c r="A75" s="1" t="s">
        <v>3879</v>
      </c>
      <c r="B75" s="1" t="s">
        <v>2897</v>
      </c>
      <c r="C75" s="1" t="s">
        <v>3456</v>
      </c>
      <c r="D75" s="1" t="s">
        <v>3457</v>
      </c>
    </row>
    <row r="76" spans="1:4" ht="18" customHeight="1" x14ac:dyDescent="0.25">
      <c r="A76" s="1" t="s">
        <v>3886</v>
      </c>
      <c r="B76" s="1" t="s">
        <v>2911</v>
      </c>
      <c r="C76" s="1" t="s">
        <v>3456</v>
      </c>
      <c r="D76" s="1" t="s">
        <v>3457</v>
      </c>
    </row>
    <row r="77" spans="1:4" ht="18" customHeight="1" x14ac:dyDescent="0.25">
      <c r="A77" s="1" t="s">
        <v>3892</v>
      </c>
      <c r="B77" s="1" t="s">
        <v>2920</v>
      </c>
      <c r="C77" s="1" t="s">
        <v>3456</v>
      </c>
      <c r="D77" s="1" t="s">
        <v>3457</v>
      </c>
    </row>
    <row r="78" spans="1:4" ht="18" customHeight="1" x14ac:dyDescent="0.25">
      <c r="A78" s="1" t="s">
        <v>3897</v>
      </c>
      <c r="B78" s="1" t="s">
        <v>2929</v>
      </c>
      <c r="C78" s="1" t="s">
        <v>3456</v>
      </c>
      <c r="D78" s="1" t="s">
        <v>3457</v>
      </c>
    </row>
    <row r="79" spans="1:4" ht="18" customHeight="1" x14ac:dyDescent="0.25">
      <c r="A79" s="1" t="s">
        <v>3899</v>
      </c>
      <c r="B79" s="1" t="s">
        <v>2933</v>
      </c>
      <c r="C79" s="1" t="s">
        <v>3456</v>
      </c>
      <c r="D79" s="1" t="s">
        <v>3457</v>
      </c>
    </row>
    <row r="80" spans="1:4" ht="18" customHeight="1" x14ac:dyDescent="0.25">
      <c r="A80" s="1" t="s">
        <v>3901</v>
      </c>
      <c r="B80" s="1" t="s">
        <v>2935</v>
      </c>
      <c r="C80" s="1" t="s">
        <v>3456</v>
      </c>
      <c r="D80" s="1" t="s">
        <v>3457</v>
      </c>
    </row>
    <row r="81" spans="1:4" ht="18" customHeight="1" x14ac:dyDescent="0.25">
      <c r="A81" s="1" t="s">
        <v>3904</v>
      </c>
      <c r="B81" s="1" t="s">
        <v>2938</v>
      </c>
      <c r="C81" s="1" t="s">
        <v>3456</v>
      </c>
      <c r="D81" s="1" t="s">
        <v>3457</v>
      </c>
    </row>
    <row r="82" spans="1:4" ht="18" customHeight="1" x14ac:dyDescent="0.25">
      <c r="A82" s="1" t="s">
        <v>3916</v>
      </c>
      <c r="B82" s="1" t="s">
        <v>2959</v>
      </c>
      <c r="C82" s="1" t="s">
        <v>3456</v>
      </c>
      <c r="D82" s="1" t="s">
        <v>3457</v>
      </c>
    </row>
    <row r="83" spans="1:4" ht="18" customHeight="1" x14ac:dyDescent="0.25">
      <c r="A83" s="1" t="s">
        <v>3918</v>
      </c>
      <c r="B83" s="1" t="s">
        <v>2963</v>
      </c>
      <c r="C83" s="1" t="s">
        <v>3456</v>
      </c>
      <c r="D83" s="1" t="s">
        <v>3457</v>
      </c>
    </row>
    <row r="84" spans="1:4" ht="18" customHeight="1" x14ac:dyDescent="0.25">
      <c r="A84" s="1" t="s">
        <v>3921</v>
      </c>
      <c r="B84" s="1" t="s">
        <v>2969</v>
      </c>
      <c r="C84" s="1" t="s">
        <v>3456</v>
      </c>
      <c r="D84" s="1" t="s">
        <v>3457</v>
      </c>
    </row>
    <row r="85" spans="1:4" ht="18" customHeight="1" x14ac:dyDescent="0.25">
      <c r="A85" s="1" t="s">
        <v>3922</v>
      </c>
      <c r="B85" s="1" t="s">
        <v>2971</v>
      </c>
      <c r="C85" s="1" t="s">
        <v>3456</v>
      </c>
      <c r="D85" s="1" t="s">
        <v>3457</v>
      </c>
    </row>
    <row r="86" spans="1:4" ht="18" customHeight="1" x14ac:dyDescent="0.25">
      <c r="A86" s="1" t="s">
        <v>3927</v>
      </c>
      <c r="B86" s="1" t="s">
        <v>2980</v>
      </c>
      <c r="C86" s="1" t="s">
        <v>3456</v>
      </c>
      <c r="D86" s="1" t="s">
        <v>3457</v>
      </c>
    </row>
    <row r="87" spans="1:4" ht="18" customHeight="1" x14ac:dyDescent="0.25">
      <c r="A87" s="1" t="s">
        <v>3930</v>
      </c>
      <c r="B87" s="1" t="s">
        <v>2985</v>
      </c>
      <c r="C87" s="1" t="s">
        <v>3456</v>
      </c>
      <c r="D87" s="1" t="s">
        <v>3457</v>
      </c>
    </row>
    <row r="88" spans="1:4" ht="18" customHeight="1" x14ac:dyDescent="0.25">
      <c r="A88" s="1" t="s">
        <v>3935</v>
      </c>
      <c r="B88" s="1" t="s">
        <v>2992</v>
      </c>
      <c r="C88" s="1" t="s">
        <v>3456</v>
      </c>
      <c r="D88" s="1" t="s">
        <v>3457</v>
      </c>
    </row>
    <row r="89" spans="1:4" ht="18" customHeight="1" x14ac:dyDescent="0.25">
      <c r="A89" s="1" t="s">
        <v>3936</v>
      </c>
      <c r="B89" s="1" t="s">
        <v>2994</v>
      </c>
      <c r="C89" s="1" t="s">
        <v>3456</v>
      </c>
      <c r="D89" s="1" t="s">
        <v>3457</v>
      </c>
    </row>
    <row r="90" spans="1:4" ht="18" customHeight="1" x14ac:dyDescent="0.25">
      <c r="A90" s="1" t="s">
        <v>3937</v>
      </c>
      <c r="B90" s="1" t="s">
        <v>2996</v>
      </c>
      <c r="C90" s="1" t="s">
        <v>3456</v>
      </c>
      <c r="D90" s="1" t="s">
        <v>3457</v>
      </c>
    </row>
    <row r="91" spans="1:4" ht="18" customHeight="1" x14ac:dyDescent="0.25">
      <c r="A91" s="1" t="s">
        <v>3940</v>
      </c>
      <c r="B91" s="1" t="s">
        <v>3002</v>
      </c>
      <c r="C91" s="1" t="s">
        <v>3456</v>
      </c>
      <c r="D91" s="1" t="s">
        <v>3457</v>
      </c>
    </row>
    <row r="92" spans="1:4" ht="18" customHeight="1" x14ac:dyDescent="0.25">
      <c r="A92" s="1" t="s">
        <v>3948</v>
      </c>
      <c r="B92" s="1" t="s">
        <v>3016</v>
      </c>
      <c r="C92" s="1" t="s">
        <v>3456</v>
      </c>
      <c r="D92" s="1" t="s">
        <v>3457</v>
      </c>
    </row>
    <row r="93" spans="1:4" ht="18" customHeight="1" x14ac:dyDescent="0.25">
      <c r="A93" s="1" t="s">
        <v>3949</v>
      </c>
      <c r="B93" s="1" t="s">
        <v>3018</v>
      </c>
      <c r="C93" s="1" t="s">
        <v>3456</v>
      </c>
      <c r="D93" s="1" t="s">
        <v>3457</v>
      </c>
    </row>
    <row r="94" spans="1:4" ht="18" customHeight="1" x14ac:dyDescent="0.25">
      <c r="A94" s="1" t="s">
        <v>3951</v>
      </c>
      <c r="B94" s="1" t="s">
        <v>3022</v>
      </c>
      <c r="C94" s="1" t="s">
        <v>3456</v>
      </c>
      <c r="D94" s="1" t="s">
        <v>3457</v>
      </c>
    </row>
    <row r="95" spans="1:4" ht="18" customHeight="1" x14ac:dyDescent="0.25">
      <c r="A95" s="1" t="s">
        <v>3952</v>
      </c>
      <c r="B95" s="1" t="s">
        <v>3024</v>
      </c>
      <c r="C95" s="1" t="s">
        <v>3456</v>
      </c>
      <c r="D95" s="1" t="s">
        <v>3457</v>
      </c>
    </row>
    <row r="96" spans="1:4" ht="18" customHeight="1" x14ac:dyDescent="0.25">
      <c r="A96" s="1" t="s">
        <v>3953</v>
      </c>
      <c r="B96" s="1" t="s">
        <v>3026</v>
      </c>
      <c r="C96" s="1" t="s">
        <v>3456</v>
      </c>
      <c r="D96" s="1" t="s">
        <v>3457</v>
      </c>
    </row>
    <row r="97" spans="1:4" ht="18" customHeight="1" x14ac:dyDescent="0.25">
      <c r="A97" s="1" t="s">
        <v>3959</v>
      </c>
      <c r="B97" s="1" t="s">
        <v>3038</v>
      </c>
      <c r="C97" s="1" t="s">
        <v>3456</v>
      </c>
      <c r="D97" s="1" t="s">
        <v>3457</v>
      </c>
    </row>
    <row r="98" spans="1:4" ht="18" customHeight="1" x14ac:dyDescent="0.25">
      <c r="A98" s="1" t="s">
        <v>3963</v>
      </c>
      <c r="B98" s="1" t="s">
        <v>3045</v>
      </c>
      <c r="C98" s="1" t="s">
        <v>3456</v>
      </c>
      <c r="D98" s="1" t="s">
        <v>3457</v>
      </c>
    </row>
    <row r="99" spans="1:4" ht="18" customHeight="1" x14ac:dyDescent="0.25">
      <c r="A99" s="1" t="s">
        <v>3470</v>
      </c>
      <c r="B99" s="1" t="s">
        <v>2118</v>
      </c>
      <c r="C99" s="1" t="s">
        <v>3471</v>
      </c>
      <c r="D99" s="1" t="s">
        <v>3472</v>
      </c>
    </row>
    <row r="100" spans="1:4" ht="18" customHeight="1" x14ac:dyDescent="0.25">
      <c r="A100" s="1" t="s">
        <v>3473</v>
      </c>
      <c r="B100" s="1" t="s">
        <v>2120</v>
      </c>
      <c r="C100" s="1" t="s">
        <v>3471</v>
      </c>
      <c r="D100" s="1" t="s">
        <v>3472</v>
      </c>
    </row>
    <row r="101" spans="1:4" ht="18" customHeight="1" x14ac:dyDescent="0.25">
      <c r="A101" s="1" t="s">
        <v>3475</v>
      </c>
      <c r="B101" s="1" t="s">
        <v>2125</v>
      </c>
      <c r="C101" s="1" t="s">
        <v>3471</v>
      </c>
      <c r="D101" s="1" t="s">
        <v>3472</v>
      </c>
    </row>
    <row r="102" spans="1:4" ht="18" customHeight="1" x14ac:dyDescent="0.25">
      <c r="A102" s="1" t="s">
        <v>3481</v>
      </c>
      <c r="B102" s="1" t="s">
        <v>2137</v>
      </c>
      <c r="C102" s="1" t="s">
        <v>3471</v>
      </c>
      <c r="D102" s="1" t="s">
        <v>3472</v>
      </c>
    </row>
    <row r="103" spans="1:4" ht="18" customHeight="1" x14ac:dyDescent="0.25">
      <c r="A103" s="1" t="s">
        <v>3483</v>
      </c>
      <c r="B103" s="1" t="s">
        <v>2142</v>
      </c>
      <c r="C103" s="1" t="s">
        <v>3471</v>
      </c>
      <c r="D103" s="1" t="s">
        <v>3472</v>
      </c>
    </row>
    <row r="104" spans="1:4" ht="18" customHeight="1" x14ac:dyDescent="0.25">
      <c r="A104" s="1" t="s">
        <v>3487</v>
      </c>
      <c r="B104" s="1" t="s">
        <v>2151</v>
      </c>
      <c r="C104" s="1" t="s">
        <v>3471</v>
      </c>
      <c r="D104" s="1" t="s">
        <v>3472</v>
      </c>
    </row>
    <row r="105" spans="1:4" ht="18" customHeight="1" x14ac:dyDescent="0.25">
      <c r="A105" s="1" t="s">
        <v>3493</v>
      </c>
      <c r="B105" s="1" t="s">
        <v>2166</v>
      </c>
      <c r="C105" s="1" t="s">
        <v>3471</v>
      </c>
      <c r="D105" s="1" t="s">
        <v>3472</v>
      </c>
    </row>
    <row r="106" spans="1:4" ht="18" customHeight="1" x14ac:dyDescent="0.25">
      <c r="A106" s="1" t="s">
        <v>3494</v>
      </c>
      <c r="B106" s="1" t="s">
        <v>2168</v>
      </c>
      <c r="C106" s="1" t="s">
        <v>3471</v>
      </c>
      <c r="D106" s="1" t="s">
        <v>3472</v>
      </c>
    </row>
    <row r="107" spans="1:4" ht="18" customHeight="1" x14ac:dyDescent="0.25">
      <c r="A107" s="1" t="s">
        <v>3495</v>
      </c>
      <c r="B107" s="1" t="s">
        <v>2171</v>
      </c>
      <c r="C107" s="1" t="s">
        <v>3471</v>
      </c>
      <c r="D107" s="1" t="s">
        <v>3472</v>
      </c>
    </row>
    <row r="108" spans="1:4" ht="18" customHeight="1" x14ac:dyDescent="0.25">
      <c r="A108" s="1" t="s">
        <v>3509</v>
      </c>
      <c r="B108" s="1" t="s">
        <v>2203</v>
      </c>
      <c r="C108" s="1" t="s">
        <v>3471</v>
      </c>
      <c r="D108" s="1" t="s">
        <v>3472</v>
      </c>
    </row>
    <row r="109" spans="1:4" ht="18" customHeight="1" x14ac:dyDescent="0.25">
      <c r="A109" s="1" t="s">
        <v>3514</v>
      </c>
      <c r="B109" s="1" t="s">
        <v>2211</v>
      </c>
      <c r="C109" s="1" t="s">
        <v>3471</v>
      </c>
      <c r="D109" s="1" t="s">
        <v>3472</v>
      </c>
    </row>
    <row r="110" spans="1:4" ht="18" customHeight="1" x14ac:dyDescent="0.25">
      <c r="A110" s="1" t="s">
        <v>3526</v>
      </c>
      <c r="B110" s="1" t="s">
        <v>2236</v>
      </c>
      <c r="C110" s="1" t="s">
        <v>3471</v>
      </c>
      <c r="D110" s="1" t="s">
        <v>3472</v>
      </c>
    </row>
    <row r="111" spans="1:4" ht="18" customHeight="1" x14ac:dyDescent="0.25">
      <c r="A111" s="1" t="s">
        <v>3530</v>
      </c>
      <c r="B111" s="1" t="s">
        <v>2244</v>
      </c>
      <c r="C111" s="1" t="s">
        <v>3471</v>
      </c>
      <c r="D111" s="1" t="s">
        <v>3472</v>
      </c>
    </row>
    <row r="112" spans="1:4" ht="18" customHeight="1" x14ac:dyDescent="0.25">
      <c r="A112" s="1" t="s">
        <v>3533</v>
      </c>
      <c r="B112" s="1" t="s">
        <v>2251</v>
      </c>
      <c r="C112" s="1" t="s">
        <v>3471</v>
      </c>
      <c r="D112" s="1" t="s">
        <v>3472</v>
      </c>
    </row>
    <row r="113" spans="1:4" ht="18" customHeight="1" x14ac:dyDescent="0.25">
      <c r="A113" s="1" t="s">
        <v>3535</v>
      </c>
      <c r="B113" s="1" t="s">
        <v>2255</v>
      </c>
      <c r="C113" s="1" t="s">
        <v>3471</v>
      </c>
      <c r="D113" s="1" t="s">
        <v>3472</v>
      </c>
    </row>
    <row r="114" spans="1:4" ht="18" customHeight="1" x14ac:dyDescent="0.25">
      <c r="A114" s="1" t="s">
        <v>3540</v>
      </c>
      <c r="B114" s="1" t="s">
        <v>2266</v>
      </c>
      <c r="C114" s="1" t="s">
        <v>3471</v>
      </c>
      <c r="D114" s="1" t="s">
        <v>3472</v>
      </c>
    </row>
    <row r="115" spans="1:4" ht="18" customHeight="1" x14ac:dyDescent="0.25">
      <c r="A115" s="1" t="s">
        <v>3541</v>
      </c>
      <c r="B115" s="1" t="s">
        <v>2268</v>
      </c>
      <c r="C115" s="1" t="s">
        <v>3471</v>
      </c>
      <c r="D115" s="1" t="s">
        <v>3472</v>
      </c>
    </row>
    <row r="116" spans="1:4" ht="18" customHeight="1" x14ac:dyDescent="0.25">
      <c r="A116" s="1" t="s">
        <v>3542</v>
      </c>
      <c r="B116" s="1" t="s">
        <v>2269</v>
      </c>
      <c r="C116" s="1" t="s">
        <v>3471</v>
      </c>
      <c r="D116" s="1" t="s">
        <v>3472</v>
      </c>
    </row>
    <row r="117" spans="1:4" ht="18" customHeight="1" x14ac:dyDescent="0.25">
      <c r="A117" s="1" t="s">
        <v>3548</v>
      </c>
      <c r="B117" s="1" t="s">
        <v>2281</v>
      </c>
      <c r="C117" s="1" t="s">
        <v>3471</v>
      </c>
      <c r="D117" s="1" t="s">
        <v>3472</v>
      </c>
    </row>
    <row r="118" spans="1:4" ht="18" customHeight="1" x14ac:dyDescent="0.25">
      <c r="A118" s="1" t="s">
        <v>3550</v>
      </c>
      <c r="B118" s="1" t="s">
        <v>2284</v>
      </c>
      <c r="C118" s="1" t="s">
        <v>3471</v>
      </c>
      <c r="D118" s="1" t="s">
        <v>3472</v>
      </c>
    </row>
    <row r="119" spans="1:4" ht="18" customHeight="1" x14ac:dyDescent="0.25">
      <c r="A119" s="1" t="s">
        <v>3551</v>
      </c>
      <c r="B119" s="1" t="s">
        <v>2286</v>
      </c>
      <c r="C119" s="1" t="s">
        <v>3471</v>
      </c>
      <c r="D119" s="1" t="s">
        <v>3472</v>
      </c>
    </row>
    <row r="120" spans="1:4" ht="18" customHeight="1" x14ac:dyDescent="0.25">
      <c r="A120" s="1" t="s">
        <v>3552</v>
      </c>
      <c r="B120" s="1" t="s">
        <v>2288</v>
      </c>
      <c r="C120" s="1" t="s">
        <v>3471</v>
      </c>
      <c r="D120" s="1" t="s">
        <v>3472</v>
      </c>
    </row>
    <row r="121" spans="1:4" ht="18" customHeight="1" x14ac:dyDescent="0.25">
      <c r="A121" s="1" t="s">
        <v>3553</v>
      </c>
      <c r="B121" s="1" t="s">
        <v>2290</v>
      </c>
      <c r="C121" s="1" t="s">
        <v>3471</v>
      </c>
      <c r="D121" s="1" t="s">
        <v>3472</v>
      </c>
    </row>
    <row r="122" spans="1:4" ht="18" customHeight="1" x14ac:dyDescent="0.25">
      <c r="A122" s="1" t="s">
        <v>3555</v>
      </c>
      <c r="B122" s="1" t="s">
        <v>2294</v>
      </c>
      <c r="C122" s="1" t="s">
        <v>3471</v>
      </c>
      <c r="D122" s="1" t="s">
        <v>3472</v>
      </c>
    </row>
    <row r="123" spans="1:4" ht="18" customHeight="1" x14ac:dyDescent="0.25">
      <c r="A123" s="1" t="s">
        <v>3557</v>
      </c>
      <c r="B123" s="1" t="s">
        <v>2298</v>
      </c>
      <c r="C123" s="1" t="s">
        <v>3471</v>
      </c>
      <c r="D123" s="1" t="s">
        <v>3472</v>
      </c>
    </row>
    <row r="124" spans="1:4" ht="18" customHeight="1" x14ac:dyDescent="0.25">
      <c r="A124" s="1" t="s">
        <v>3558</v>
      </c>
      <c r="B124" s="1" t="s">
        <v>2300</v>
      </c>
      <c r="C124" s="1" t="s">
        <v>3471</v>
      </c>
      <c r="D124" s="1" t="s">
        <v>3472</v>
      </c>
    </row>
    <row r="125" spans="1:4" ht="18" customHeight="1" x14ac:dyDescent="0.25">
      <c r="A125" s="1" t="s">
        <v>3563</v>
      </c>
      <c r="B125" s="1" t="s">
        <v>2310</v>
      </c>
      <c r="C125" s="1" t="s">
        <v>3471</v>
      </c>
      <c r="D125" s="1" t="s">
        <v>3472</v>
      </c>
    </row>
    <row r="126" spans="1:4" ht="18" customHeight="1" x14ac:dyDescent="0.25">
      <c r="A126" s="1" t="s">
        <v>3564</v>
      </c>
      <c r="B126" s="1" t="s">
        <v>2312</v>
      </c>
      <c r="C126" s="1" t="s">
        <v>3471</v>
      </c>
      <c r="D126" s="1" t="s">
        <v>3472</v>
      </c>
    </row>
    <row r="127" spans="1:4" ht="18" customHeight="1" x14ac:dyDescent="0.25">
      <c r="A127" s="1" t="s">
        <v>3566</v>
      </c>
      <c r="B127" s="1" t="s">
        <v>2316</v>
      </c>
      <c r="C127" s="1" t="s">
        <v>3471</v>
      </c>
      <c r="D127" s="1" t="s">
        <v>3472</v>
      </c>
    </row>
    <row r="128" spans="1:4" ht="18" customHeight="1" x14ac:dyDescent="0.25">
      <c r="A128" s="1" t="s">
        <v>3568</v>
      </c>
      <c r="B128" s="1" t="s">
        <v>2321</v>
      </c>
      <c r="C128" s="1" t="s">
        <v>3471</v>
      </c>
      <c r="D128" s="1" t="s">
        <v>3472</v>
      </c>
    </row>
    <row r="129" spans="1:4" ht="18" customHeight="1" x14ac:dyDescent="0.25">
      <c r="A129" s="1" t="s">
        <v>3570</v>
      </c>
      <c r="B129" s="1" t="s">
        <v>2324</v>
      </c>
      <c r="C129" s="1" t="s">
        <v>3471</v>
      </c>
      <c r="D129" s="1" t="s">
        <v>3472</v>
      </c>
    </row>
    <row r="130" spans="1:4" ht="18" customHeight="1" x14ac:dyDescent="0.25">
      <c r="A130" s="1" t="s">
        <v>3572</v>
      </c>
      <c r="B130" s="1" t="s">
        <v>2328</v>
      </c>
      <c r="C130" s="1" t="s">
        <v>3471</v>
      </c>
      <c r="D130" s="1" t="s">
        <v>3472</v>
      </c>
    </row>
    <row r="131" spans="1:4" ht="18" customHeight="1" x14ac:dyDescent="0.25">
      <c r="A131" s="1" t="s">
        <v>3573</v>
      </c>
      <c r="B131" s="1" t="s">
        <v>2330</v>
      </c>
      <c r="C131" s="1" t="s">
        <v>3471</v>
      </c>
      <c r="D131" s="1" t="s">
        <v>3472</v>
      </c>
    </row>
    <row r="132" spans="1:4" ht="18" customHeight="1" x14ac:dyDescent="0.25">
      <c r="A132" s="1" t="s">
        <v>3574</v>
      </c>
      <c r="B132" s="1" t="s">
        <v>2332</v>
      </c>
      <c r="C132" s="1" t="s">
        <v>3471</v>
      </c>
      <c r="D132" s="1" t="s">
        <v>3472</v>
      </c>
    </row>
    <row r="133" spans="1:4" ht="18" customHeight="1" x14ac:dyDescent="0.25">
      <c r="A133" s="1" t="s">
        <v>3582</v>
      </c>
      <c r="B133" s="1" t="s">
        <v>2348</v>
      </c>
      <c r="C133" s="1" t="s">
        <v>3471</v>
      </c>
      <c r="D133" s="1" t="s">
        <v>3472</v>
      </c>
    </row>
    <row r="134" spans="1:4" ht="18" customHeight="1" x14ac:dyDescent="0.25">
      <c r="A134" s="1" t="s">
        <v>3588</v>
      </c>
      <c r="B134" s="1" t="s">
        <v>2359</v>
      </c>
      <c r="C134" s="1" t="s">
        <v>3471</v>
      </c>
      <c r="D134" s="1" t="s">
        <v>3472</v>
      </c>
    </row>
    <row r="135" spans="1:4" ht="18" customHeight="1" x14ac:dyDescent="0.25">
      <c r="A135" s="1" t="s">
        <v>3590</v>
      </c>
      <c r="B135" s="1" t="s">
        <v>2363</v>
      </c>
      <c r="C135" s="1" t="s">
        <v>3471</v>
      </c>
      <c r="D135" s="1" t="s">
        <v>3472</v>
      </c>
    </row>
    <row r="136" spans="1:4" ht="18" customHeight="1" x14ac:dyDescent="0.25">
      <c r="A136" s="1" t="s">
        <v>3591</v>
      </c>
      <c r="B136" s="1" t="s">
        <v>2365</v>
      </c>
      <c r="C136" s="1" t="s">
        <v>3471</v>
      </c>
      <c r="D136" s="1" t="s">
        <v>3472</v>
      </c>
    </row>
    <row r="137" spans="1:4" ht="18" customHeight="1" x14ac:dyDescent="0.25">
      <c r="A137" s="1" t="s">
        <v>3595</v>
      </c>
      <c r="B137" s="1" t="s">
        <v>2372</v>
      </c>
      <c r="C137" s="1" t="s">
        <v>3471</v>
      </c>
      <c r="D137" s="1" t="s">
        <v>3472</v>
      </c>
    </row>
    <row r="138" spans="1:4" ht="18" customHeight="1" x14ac:dyDescent="0.25">
      <c r="A138" s="1" t="s">
        <v>3601</v>
      </c>
      <c r="B138" s="1" t="s">
        <v>2384</v>
      </c>
      <c r="C138" s="1" t="s">
        <v>3471</v>
      </c>
      <c r="D138" s="1" t="s">
        <v>3472</v>
      </c>
    </row>
    <row r="139" spans="1:4" ht="18" customHeight="1" x14ac:dyDescent="0.25">
      <c r="A139" s="1" t="s">
        <v>3608</v>
      </c>
      <c r="B139" s="1" t="s">
        <v>2398</v>
      </c>
      <c r="C139" s="1" t="s">
        <v>3471</v>
      </c>
      <c r="D139" s="1" t="s">
        <v>3472</v>
      </c>
    </row>
    <row r="140" spans="1:4" ht="18" customHeight="1" x14ac:dyDescent="0.25">
      <c r="A140" s="1" t="s">
        <v>3616</v>
      </c>
      <c r="B140" s="1" t="s">
        <v>2412</v>
      </c>
      <c r="C140" s="1" t="s">
        <v>3471</v>
      </c>
      <c r="D140" s="1" t="s">
        <v>3472</v>
      </c>
    </row>
    <row r="141" spans="1:4" ht="18" customHeight="1" x14ac:dyDescent="0.25">
      <c r="A141" s="1" t="s">
        <v>3618</v>
      </c>
      <c r="B141" s="1" t="s">
        <v>2416</v>
      </c>
      <c r="C141" s="1" t="s">
        <v>3471</v>
      </c>
      <c r="D141" s="1" t="s">
        <v>3472</v>
      </c>
    </row>
    <row r="142" spans="1:4" ht="18" customHeight="1" x14ac:dyDescent="0.25">
      <c r="A142" s="1" t="s">
        <v>3621</v>
      </c>
      <c r="B142" s="1" t="s">
        <v>2422</v>
      </c>
      <c r="C142" s="1" t="s">
        <v>3471</v>
      </c>
      <c r="D142" s="1" t="s">
        <v>3472</v>
      </c>
    </row>
    <row r="143" spans="1:4" ht="18" customHeight="1" x14ac:dyDescent="0.25">
      <c r="A143" s="1" t="s">
        <v>3624</v>
      </c>
      <c r="B143" s="1" t="s">
        <v>2427</v>
      </c>
      <c r="C143" s="1" t="s">
        <v>3471</v>
      </c>
      <c r="D143" s="1" t="s">
        <v>3472</v>
      </c>
    </row>
    <row r="144" spans="1:4" ht="18" customHeight="1" x14ac:dyDescent="0.25">
      <c r="A144" s="1" t="s">
        <v>3630</v>
      </c>
      <c r="B144" s="1" t="s">
        <v>2439</v>
      </c>
      <c r="C144" s="1" t="s">
        <v>3471</v>
      </c>
      <c r="D144" s="1" t="s">
        <v>3472</v>
      </c>
    </row>
    <row r="145" spans="1:4" ht="18" customHeight="1" x14ac:dyDescent="0.25">
      <c r="A145" s="1" t="s">
        <v>3638</v>
      </c>
      <c r="B145" s="1" t="s">
        <v>2455</v>
      </c>
      <c r="C145" s="1" t="s">
        <v>3471</v>
      </c>
      <c r="D145" s="1" t="s">
        <v>3472</v>
      </c>
    </row>
    <row r="146" spans="1:4" ht="18" customHeight="1" x14ac:dyDescent="0.25">
      <c r="A146" s="1" t="s">
        <v>3640</v>
      </c>
      <c r="B146" s="1" t="s">
        <v>2459</v>
      </c>
      <c r="C146" s="1" t="s">
        <v>3471</v>
      </c>
      <c r="D146" s="1" t="s">
        <v>3472</v>
      </c>
    </row>
    <row r="147" spans="1:4" ht="18" customHeight="1" x14ac:dyDescent="0.25">
      <c r="A147" s="1" t="s">
        <v>3641</v>
      </c>
      <c r="B147" s="1" t="s">
        <v>2461</v>
      </c>
      <c r="C147" s="1" t="s">
        <v>3471</v>
      </c>
      <c r="D147" s="1" t="s">
        <v>3472</v>
      </c>
    </row>
    <row r="148" spans="1:4" ht="18" customHeight="1" x14ac:dyDescent="0.25">
      <c r="A148" s="1" t="s">
        <v>3642</v>
      </c>
      <c r="B148" s="1" t="s">
        <v>2463</v>
      </c>
      <c r="C148" s="1" t="s">
        <v>3471</v>
      </c>
      <c r="D148" s="1" t="s">
        <v>3472</v>
      </c>
    </row>
    <row r="149" spans="1:4" ht="18" customHeight="1" x14ac:dyDescent="0.25">
      <c r="A149" s="1" t="s">
        <v>3643</v>
      </c>
      <c r="B149" s="1" t="s">
        <v>2465</v>
      </c>
      <c r="C149" s="1" t="s">
        <v>3471</v>
      </c>
      <c r="D149" s="1" t="s">
        <v>3472</v>
      </c>
    </row>
    <row r="150" spans="1:4" ht="18" customHeight="1" x14ac:dyDescent="0.25">
      <c r="A150" s="1" t="s">
        <v>3644</v>
      </c>
      <c r="B150" s="1" t="s">
        <v>2467</v>
      </c>
      <c r="C150" s="1" t="s">
        <v>3471</v>
      </c>
      <c r="D150" s="1" t="s">
        <v>3472</v>
      </c>
    </row>
    <row r="151" spans="1:4" ht="18" customHeight="1" x14ac:dyDescent="0.25">
      <c r="A151" s="1" t="s">
        <v>3651</v>
      </c>
      <c r="B151" s="1" t="s">
        <v>2481</v>
      </c>
      <c r="C151" s="1" t="s">
        <v>3471</v>
      </c>
      <c r="D151" s="1" t="s">
        <v>3472</v>
      </c>
    </row>
    <row r="152" spans="1:4" ht="18" customHeight="1" x14ac:dyDescent="0.25">
      <c r="A152" s="1" t="s">
        <v>3655</v>
      </c>
      <c r="B152" s="1" t="s">
        <v>2488</v>
      </c>
      <c r="C152" s="1" t="s">
        <v>3471</v>
      </c>
      <c r="D152" s="1" t="s">
        <v>3472</v>
      </c>
    </row>
    <row r="153" spans="1:4" ht="18" customHeight="1" x14ac:dyDescent="0.25">
      <c r="A153" s="1" t="s">
        <v>3663</v>
      </c>
      <c r="B153" s="1" t="s">
        <v>2502</v>
      </c>
      <c r="C153" s="1" t="s">
        <v>3471</v>
      </c>
      <c r="D153" s="1" t="s">
        <v>3472</v>
      </c>
    </row>
    <row r="154" spans="1:4" ht="18" customHeight="1" x14ac:dyDescent="0.25">
      <c r="A154" s="1" t="s">
        <v>3674</v>
      </c>
      <c r="B154" s="1" t="s">
        <v>2523</v>
      </c>
      <c r="C154" s="1" t="s">
        <v>3471</v>
      </c>
      <c r="D154" s="1" t="s">
        <v>3472</v>
      </c>
    </row>
    <row r="155" spans="1:4" ht="18" customHeight="1" x14ac:dyDescent="0.25">
      <c r="A155" s="1" t="s">
        <v>3676</v>
      </c>
      <c r="B155" s="1" t="s">
        <v>2527</v>
      </c>
      <c r="C155" s="1" t="s">
        <v>3471</v>
      </c>
      <c r="D155" s="1" t="s">
        <v>3472</v>
      </c>
    </row>
    <row r="156" spans="1:4" ht="18" customHeight="1" x14ac:dyDescent="0.25">
      <c r="A156" s="1" t="s">
        <v>3677</v>
      </c>
      <c r="B156" s="1" t="s">
        <v>2529</v>
      </c>
      <c r="C156" s="1" t="s">
        <v>3471</v>
      </c>
      <c r="D156" s="1" t="s">
        <v>3472</v>
      </c>
    </row>
    <row r="157" spans="1:4" ht="18" customHeight="1" x14ac:dyDescent="0.25">
      <c r="A157" s="1" t="s">
        <v>3678</v>
      </c>
      <c r="B157" s="1" t="s">
        <v>2531</v>
      </c>
      <c r="C157" s="1" t="s">
        <v>3471</v>
      </c>
      <c r="D157" s="1" t="s">
        <v>3472</v>
      </c>
    </row>
    <row r="158" spans="1:4" ht="18" customHeight="1" x14ac:dyDescent="0.25">
      <c r="A158" s="1" t="s">
        <v>3684</v>
      </c>
      <c r="B158" s="1" t="s">
        <v>2543</v>
      </c>
      <c r="C158" s="1" t="s">
        <v>3471</v>
      </c>
      <c r="D158" s="1" t="s">
        <v>3472</v>
      </c>
    </row>
    <row r="159" spans="1:4" ht="18" customHeight="1" x14ac:dyDescent="0.25">
      <c r="A159" s="1" t="s">
        <v>3687</v>
      </c>
      <c r="B159" s="1" t="s">
        <v>2549</v>
      </c>
      <c r="C159" s="1" t="s">
        <v>3471</v>
      </c>
      <c r="D159" s="1" t="s">
        <v>3472</v>
      </c>
    </row>
    <row r="160" spans="1:4" ht="18" customHeight="1" x14ac:dyDescent="0.25">
      <c r="A160" s="1" t="s">
        <v>3694</v>
      </c>
      <c r="B160" s="1" t="s">
        <v>2562</v>
      </c>
      <c r="C160" s="1" t="s">
        <v>3471</v>
      </c>
      <c r="D160" s="1" t="s">
        <v>3472</v>
      </c>
    </row>
    <row r="161" spans="1:4" ht="18" customHeight="1" x14ac:dyDescent="0.25">
      <c r="A161" s="1" t="s">
        <v>3700</v>
      </c>
      <c r="B161" s="1" t="s">
        <v>2574</v>
      </c>
      <c r="C161" s="1" t="s">
        <v>3471</v>
      </c>
      <c r="D161" s="1" t="s">
        <v>3472</v>
      </c>
    </row>
    <row r="162" spans="1:4" ht="18" customHeight="1" x14ac:dyDescent="0.25">
      <c r="A162" s="1" t="s">
        <v>3702</v>
      </c>
      <c r="B162" s="1" t="s">
        <v>2578</v>
      </c>
      <c r="C162" s="1" t="s">
        <v>3471</v>
      </c>
      <c r="D162" s="1" t="s">
        <v>3472</v>
      </c>
    </row>
    <row r="163" spans="1:4" ht="18" customHeight="1" x14ac:dyDescent="0.25">
      <c r="A163" s="1" t="s">
        <v>3705</v>
      </c>
      <c r="B163" s="1" t="s">
        <v>2583</v>
      </c>
      <c r="C163" s="1" t="s">
        <v>3471</v>
      </c>
      <c r="D163" s="1" t="s">
        <v>3472</v>
      </c>
    </row>
    <row r="164" spans="1:4" ht="18" customHeight="1" x14ac:dyDescent="0.25">
      <c r="A164" s="1" t="s">
        <v>3710</v>
      </c>
      <c r="B164" s="1" t="s">
        <v>2592</v>
      </c>
      <c r="C164" s="1" t="s">
        <v>3471</v>
      </c>
      <c r="D164" s="1" t="s">
        <v>3472</v>
      </c>
    </row>
    <row r="165" spans="1:4" ht="18" customHeight="1" x14ac:dyDescent="0.25">
      <c r="A165" s="1" t="s">
        <v>3714</v>
      </c>
      <c r="B165" s="1" t="s">
        <v>2600</v>
      </c>
      <c r="C165" s="1" t="s">
        <v>3471</v>
      </c>
      <c r="D165" s="1" t="s">
        <v>3472</v>
      </c>
    </row>
    <row r="166" spans="1:4" ht="18" customHeight="1" x14ac:dyDescent="0.25">
      <c r="A166" s="1" t="s">
        <v>3718</v>
      </c>
      <c r="B166" s="1" t="s">
        <v>2608</v>
      </c>
      <c r="C166" s="1" t="s">
        <v>3471</v>
      </c>
      <c r="D166" s="1" t="s">
        <v>3472</v>
      </c>
    </row>
    <row r="167" spans="1:4" ht="18" customHeight="1" x14ac:dyDescent="0.25">
      <c r="A167" s="1" t="s">
        <v>3723</v>
      </c>
      <c r="B167" s="1" t="s">
        <v>2617</v>
      </c>
      <c r="C167" s="1" t="s">
        <v>3471</v>
      </c>
      <c r="D167" s="1" t="s">
        <v>3472</v>
      </c>
    </row>
    <row r="168" spans="1:4" ht="18" customHeight="1" x14ac:dyDescent="0.25">
      <c r="A168" s="1" t="s">
        <v>3725</v>
      </c>
      <c r="B168" s="1" t="s">
        <v>2621</v>
      </c>
      <c r="C168" s="1" t="s">
        <v>3471</v>
      </c>
      <c r="D168" s="1" t="s">
        <v>3472</v>
      </c>
    </row>
    <row r="169" spans="1:4" ht="18" customHeight="1" x14ac:dyDescent="0.25">
      <c r="A169" s="1" t="s">
        <v>3730</v>
      </c>
      <c r="B169" s="1" t="s">
        <v>2631</v>
      </c>
      <c r="C169" s="1" t="s">
        <v>3471</v>
      </c>
      <c r="D169" s="1" t="s">
        <v>3472</v>
      </c>
    </row>
    <row r="170" spans="1:4" ht="18" customHeight="1" x14ac:dyDescent="0.25">
      <c r="A170" s="1" t="s">
        <v>3739</v>
      </c>
      <c r="B170" s="1" t="s">
        <v>2648</v>
      </c>
      <c r="C170" s="1" t="s">
        <v>3471</v>
      </c>
      <c r="D170" s="1" t="s">
        <v>3472</v>
      </c>
    </row>
    <row r="171" spans="1:4" ht="18" customHeight="1" x14ac:dyDescent="0.25">
      <c r="A171" s="1" t="s">
        <v>3746</v>
      </c>
      <c r="B171" s="1" t="s">
        <v>2662</v>
      </c>
      <c r="C171" s="1" t="s">
        <v>3471</v>
      </c>
      <c r="D171" s="1" t="s">
        <v>3472</v>
      </c>
    </row>
    <row r="172" spans="1:4" ht="18" customHeight="1" x14ac:dyDescent="0.25">
      <c r="A172" s="1" t="s">
        <v>3752</v>
      </c>
      <c r="B172" s="1" t="s">
        <v>2674</v>
      </c>
      <c r="C172" s="1" t="s">
        <v>3471</v>
      </c>
      <c r="D172" s="1" t="s">
        <v>3472</v>
      </c>
    </row>
    <row r="173" spans="1:4" ht="18" customHeight="1" x14ac:dyDescent="0.25">
      <c r="A173" s="1" t="s">
        <v>3756</v>
      </c>
      <c r="B173" s="1" t="s">
        <v>2681</v>
      </c>
      <c r="C173" s="1" t="s">
        <v>3471</v>
      </c>
      <c r="D173" s="1" t="s">
        <v>3472</v>
      </c>
    </row>
    <row r="174" spans="1:4" ht="18" customHeight="1" x14ac:dyDescent="0.25">
      <c r="A174" s="1" t="s">
        <v>3762</v>
      </c>
      <c r="B174" s="1" t="s">
        <v>2690</v>
      </c>
      <c r="C174" s="1" t="s">
        <v>3471</v>
      </c>
      <c r="D174" s="1" t="s">
        <v>3472</v>
      </c>
    </row>
    <row r="175" spans="1:4" ht="18" customHeight="1" x14ac:dyDescent="0.25">
      <c r="A175" s="1" t="s">
        <v>3768</v>
      </c>
      <c r="B175" s="1" t="s">
        <v>2701</v>
      </c>
      <c r="C175" s="1" t="s">
        <v>3471</v>
      </c>
      <c r="D175" s="1" t="s">
        <v>3472</v>
      </c>
    </row>
    <row r="176" spans="1:4" ht="18" customHeight="1" x14ac:dyDescent="0.25">
      <c r="A176" s="1" t="s">
        <v>3776</v>
      </c>
      <c r="B176" s="1" t="s">
        <v>2716</v>
      </c>
      <c r="C176" s="1" t="s">
        <v>3471</v>
      </c>
      <c r="D176" s="1" t="s">
        <v>3472</v>
      </c>
    </row>
    <row r="177" spans="1:4" ht="18" customHeight="1" x14ac:dyDescent="0.25">
      <c r="A177" s="1" t="s">
        <v>3780</v>
      </c>
      <c r="B177" s="1" t="s">
        <v>2722</v>
      </c>
      <c r="C177" s="1" t="s">
        <v>3471</v>
      </c>
      <c r="D177" s="1" t="s">
        <v>3472</v>
      </c>
    </row>
    <row r="178" spans="1:4" ht="18" customHeight="1" x14ac:dyDescent="0.25">
      <c r="A178" s="1" t="s">
        <v>3793</v>
      </c>
      <c r="B178" s="1" t="s">
        <v>2745</v>
      </c>
      <c r="C178" s="1" t="s">
        <v>3471</v>
      </c>
      <c r="D178" s="1" t="s">
        <v>3472</v>
      </c>
    </row>
    <row r="179" spans="1:4" ht="18" customHeight="1" x14ac:dyDescent="0.25">
      <c r="A179" s="1" t="s">
        <v>3804</v>
      </c>
      <c r="B179" s="1" t="s">
        <v>2767</v>
      </c>
      <c r="C179" s="1" t="s">
        <v>3471</v>
      </c>
      <c r="D179" s="1" t="s">
        <v>3472</v>
      </c>
    </row>
    <row r="180" spans="1:4" ht="18" customHeight="1" x14ac:dyDescent="0.25">
      <c r="A180" s="1" t="s">
        <v>3805</v>
      </c>
      <c r="B180" s="1" t="s">
        <v>2768</v>
      </c>
      <c r="C180" s="1" t="s">
        <v>3471</v>
      </c>
      <c r="D180" s="1" t="s">
        <v>3472</v>
      </c>
    </row>
    <row r="181" spans="1:4" ht="18" customHeight="1" x14ac:dyDescent="0.25">
      <c r="A181" s="1" t="s">
        <v>3806</v>
      </c>
      <c r="B181" s="1" t="s">
        <v>2770</v>
      </c>
      <c r="C181" s="1" t="s">
        <v>3471</v>
      </c>
      <c r="D181" s="1" t="s">
        <v>3472</v>
      </c>
    </row>
    <row r="182" spans="1:4" ht="18" customHeight="1" x14ac:dyDescent="0.25">
      <c r="A182" s="1" t="s">
        <v>3814</v>
      </c>
      <c r="B182" s="1" t="s">
        <v>2784</v>
      </c>
      <c r="C182" s="1" t="s">
        <v>3471</v>
      </c>
      <c r="D182" s="1" t="s">
        <v>3472</v>
      </c>
    </row>
    <row r="183" spans="1:4" ht="18" customHeight="1" x14ac:dyDescent="0.25">
      <c r="A183" s="1" t="s">
        <v>3817</v>
      </c>
      <c r="B183" s="1" t="s">
        <v>2789</v>
      </c>
      <c r="C183" s="1" t="s">
        <v>3471</v>
      </c>
      <c r="D183" s="1" t="s">
        <v>3472</v>
      </c>
    </row>
    <row r="184" spans="1:4" ht="18" customHeight="1" x14ac:dyDescent="0.25">
      <c r="A184" s="1" t="s">
        <v>3818</v>
      </c>
      <c r="B184" s="1" t="s">
        <v>2791</v>
      </c>
      <c r="C184" s="1" t="s">
        <v>3471</v>
      </c>
      <c r="D184" s="1" t="s">
        <v>3472</v>
      </c>
    </row>
    <row r="185" spans="1:4" ht="18" customHeight="1" x14ac:dyDescent="0.25">
      <c r="A185" s="1" t="s">
        <v>3820</v>
      </c>
      <c r="B185" s="1" t="s">
        <v>2794</v>
      </c>
      <c r="C185" s="1" t="s">
        <v>3471</v>
      </c>
      <c r="D185" s="1" t="s">
        <v>3472</v>
      </c>
    </row>
    <row r="186" spans="1:4" ht="18" customHeight="1" x14ac:dyDescent="0.25">
      <c r="A186" s="1" t="s">
        <v>3830</v>
      </c>
      <c r="B186" s="1" t="s">
        <v>2812</v>
      </c>
      <c r="C186" s="1" t="s">
        <v>3471</v>
      </c>
      <c r="D186" s="1" t="s">
        <v>3472</v>
      </c>
    </row>
    <row r="187" spans="1:4" ht="18" customHeight="1" x14ac:dyDescent="0.25">
      <c r="A187" s="1" t="s">
        <v>3848</v>
      </c>
      <c r="B187" s="1" t="s">
        <v>2845</v>
      </c>
      <c r="C187" s="1" t="s">
        <v>3471</v>
      </c>
      <c r="D187" s="1" t="s">
        <v>3472</v>
      </c>
    </row>
    <row r="188" spans="1:4" ht="18" customHeight="1" x14ac:dyDescent="0.25">
      <c r="A188" s="1" t="s">
        <v>3851</v>
      </c>
      <c r="B188" s="1" t="s">
        <v>2851</v>
      </c>
      <c r="C188" s="1" t="s">
        <v>3471</v>
      </c>
      <c r="D188" s="1" t="s">
        <v>3472</v>
      </c>
    </row>
    <row r="189" spans="1:4" ht="18" customHeight="1" x14ac:dyDescent="0.25">
      <c r="A189" s="1" t="s">
        <v>3860</v>
      </c>
      <c r="B189" s="1" t="s">
        <v>2867</v>
      </c>
      <c r="C189" s="1" t="s">
        <v>3471</v>
      </c>
      <c r="D189" s="1" t="s">
        <v>3472</v>
      </c>
    </row>
    <row r="190" spans="1:4" ht="18" customHeight="1" x14ac:dyDescent="0.25">
      <c r="A190" s="1" t="s">
        <v>3862</v>
      </c>
      <c r="B190" s="1" t="s">
        <v>2871</v>
      </c>
      <c r="C190" s="1" t="s">
        <v>3471</v>
      </c>
      <c r="D190" s="1" t="s">
        <v>3472</v>
      </c>
    </row>
    <row r="191" spans="1:4" ht="18" customHeight="1" x14ac:dyDescent="0.25">
      <c r="A191" s="1" t="s">
        <v>3864</v>
      </c>
      <c r="B191" s="1" t="s">
        <v>2874</v>
      </c>
      <c r="C191" s="1" t="s">
        <v>3471</v>
      </c>
      <c r="D191" s="1" t="s">
        <v>3472</v>
      </c>
    </row>
    <row r="192" spans="1:4" ht="18" customHeight="1" x14ac:dyDescent="0.25">
      <c r="A192" s="1" t="s">
        <v>3870</v>
      </c>
      <c r="B192" s="1" t="s">
        <v>2884</v>
      </c>
      <c r="C192" s="1" t="s">
        <v>3471</v>
      </c>
      <c r="D192" s="1" t="s">
        <v>3472</v>
      </c>
    </row>
    <row r="193" spans="1:4" ht="18" customHeight="1" x14ac:dyDescent="0.25">
      <c r="A193" s="1" t="s">
        <v>3880</v>
      </c>
      <c r="B193" s="1" t="s">
        <v>2899</v>
      </c>
      <c r="C193" s="1" t="s">
        <v>3471</v>
      </c>
      <c r="D193" s="1" t="s">
        <v>3472</v>
      </c>
    </row>
    <row r="194" spans="1:4" ht="18" customHeight="1" x14ac:dyDescent="0.25">
      <c r="A194" s="1" t="s">
        <v>3884</v>
      </c>
      <c r="B194" s="1" t="s">
        <v>2907</v>
      </c>
      <c r="C194" s="1" t="s">
        <v>3471</v>
      </c>
      <c r="D194" s="1" t="s">
        <v>3472</v>
      </c>
    </row>
    <row r="195" spans="1:4" ht="18" customHeight="1" x14ac:dyDescent="0.25">
      <c r="A195" s="1" t="s">
        <v>3894</v>
      </c>
      <c r="B195" s="1" t="s">
        <v>2924</v>
      </c>
      <c r="C195" s="1" t="s">
        <v>3471</v>
      </c>
      <c r="D195" s="1" t="s">
        <v>3472</v>
      </c>
    </row>
    <row r="196" spans="1:4" ht="18" customHeight="1" x14ac:dyDescent="0.25">
      <c r="A196" s="1" t="s">
        <v>3900</v>
      </c>
      <c r="B196" s="1" t="s">
        <v>2934</v>
      </c>
      <c r="C196" s="1" t="s">
        <v>3471</v>
      </c>
      <c r="D196" s="1" t="s">
        <v>3472</v>
      </c>
    </row>
    <row r="197" spans="1:4" ht="18" customHeight="1" x14ac:dyDescent="0.25">
      <c r="A197" s="1" t="s">
        <v>3902</v>
      </c>
      <c r="B197" s="1" t="s">
        <v>2936</v>
      </c>
      <c r="C197" s="1" t="s">
        <v>3471</v>
      </c>
      <c r="D197" s="1" t="s">
        <v>3472</v>
      </c>
    </row>
    <row r="198" spans="1:4" ht="18" customHeight="1" x14ac:dyDescent="0.25">
      <c r="A198" s="1" t="s">
        <v>3903</v>
      </c>
      <c r="B198" s="1" t="s">
        <v>2937</v>
      </c>
      <c r="C198" s="1" t="s">
        <v>3471</v>
      </c>
      <c r="D198" s="1" t="s">
        <v>3472</v>
      </c>
    </row>
    <row r="199" spans="1:4" ht="18" customHeight="1" x14ac:dyDescent="0.25">
      <c r="A199" s="1" t="s">
        <v>3905</v>
      </c>
      <c r="B199" s="1" t="s">
        <v>2940</v>
      </c>
      <c r="C199" s="1" t="s">
        <v>3471</v>
      </c>
      <c r="D199" s="1" t="s">
        <v>3472</v>
      </c>
    </row>
    <row r="200" spans="1:4" ht="18" customHeight="1" x14ac:dyDescent="0.25">
      <c r="A200" s="1" t="s">
        <v>3914</v>
      </c>
      <c r="B200" s="1" t="s">
        <v>2956</v>
      </c>
      <c r="C200" s="1" t="s">
        <v>3471</v>
      </c>
      <c r="D200" s="1" t="s">
        <v>3472</v>
      </c>
    </row>
    <row r="201" spans="1:4" ht="18" customHeight="1" x14ac:dyDescent="0.25">
      <c r="A201" s="1" t="s">
        <v>3924</v>
      </c>
      <c r="B201" s="1" t="s">
        <v>2975</v>
      </c>
      <c r="C201" s="1" t="s">
        <v>3471</v>
      </c>
      <c r="D201" s="1" t="s">
        <v>3472</v>
      </c>
    </row>
    <row r="202" spans="1:4" ht="18" customHeight="1" x14ac:dyDescent="0.25">
      <c r="A202" s="1" t="s">
        <v>3934</v>
      </c>
      <c r="B202" s="1" t="s">
        <v>2991</v>
      </c>
      <c r="C202" s="1" t="s">
        <v>3471</v>
      </c>
      <c r="D202" s="1" t="s">
        <v>3472</v>
      </c>
    </row>
    <row r="203" spans="1:4" ht="18" customHeight="1" x14ac:dyDescent="0.25">
      <c r="A203" s="1" t="s">
        <v>3939</v>
      </c>
      <c r="B203" s="1" t="s">
        <v>3000</v>
      </c>
      <c r="C203" s="1" t="s">
        <v>3471</v>
      </c>
      <c r="D203" s="1" t="s">
        <v>3472</v>
      </c>
    </row>
    <row r="204" spans="1:4" ht="18" customHeight="1" x14ac:dyDescent="0.25">
      <c r="A204" s="1" t="s">
        <v>3944</v>
      </c>
      <c r="B204" s="1" t="s">
        <v>3009</v>
      </c>
      <c r="C204" s="1" t="s">
        <v>3471</v>
      </c>
      <c r="D204" s="1" t="s">
        <v>3472</v>
      </c>
    </row>
    <row r="205" spans="1:4" ht="18" customHeight="1" x14ac:dyDescent="0.25">
      <c r="A205" s="1" t="s">
        <v>3946</v>
      </c>
      <c r="B205" s="1" t="s">
        <v>3013</v>
      </c>
      <c r="C205" s="1" t="s">
        <v>3471</v>
      </c>
      <c r="D205" s="1" t="s">
        <v>3472</v>
      </c>
    </row>
    <row r="206" spans="1:4" ht="18" customHeight="1" x14ac:dyDescent="0.25">
      <c r="A206" s="1" t="s">
        <v>3950</v>
      </c>
      <c r="B206" s="1" t="s">
        <v>3020</v>
      </c>
      <c r="C206" s="1" t="s">
        <v>3471</v>
      </c>
      <c r="D206" s="1" t="s">
        <v>3472</v>
      </c>
    </row>
    <row r="207" spans="1:4" ht="18" customHeight="1" x14ac:dyDescent="0.25">
      <c r="A207" s="1" t="s">
        <v>3957</v>
      </c>
      <c r="B207" s="1" t="s">
        <v>3034</v>
      </c>
      <c r="C207" s="1" t="s">
        <v>3471</v>
      </c>
      <c r="D207" s="1" t="s">
        <v>3472</v>
      </c>
    </row>
    <row r="208" spans="1:4" ht="18" customHeight="1" x14ac:dyDescent="0.25">
      <c r="A208" s="1" t="s">
        <v>3958</v>
      </c>
      <c r="B208" s="1" t="s">
        <v>3036</v>
      </c>
      <c r="C208" s="1" t="s">
        <v>3471</v>
      </c>
      <c r="D208" s="1" t="s">
        <v>3472</v>
      </c>
    </row>
    <row r="209" spans="1:4" ht="18" customHeight="1" x14ac:dyDescent="0.25">
      <c r="A209" s="1" t="s">
        <v>3960</v>
      </c>
      <c r="B209" s="1" t="s">
        <v>3040</v>
      </c>
      <c r="C209" s="1" t="s">
        <v>3471</v>
      </c>
      <c r="D209" s="1" t="s">
        <v>3472</v>
      </c>
    </row>
    <row r="210" spans="1:4" ht="18" customHeight="1" x14ac:dyDescent="0.25">
      <c r="A210" s="1" t="s">
        <v>3462</v>
      </c>
      <c r="B210" s="1" t="s">
        <v>2098</v>
      </c>
      <c r="C210" s="1" t="s">
        <v>3463</v>
      </c>
      <c r="D210" s="1" t="s">
        <v>3464</v>
      </c>
    </row>
    <row r="211" spans="1:4" ht="18" customHeight="1" x14ac:dyDescent="0.25">
      <c r="A211" s="1" t="s">
        <v>3466</v>
      </c>
      <c r="B211" s="1" t="s">
        <v>2105</v>
      </c>
      <c r="C211" s="1" t="s">
        <v>3463</v>
      </c>
      <c r="D211" s="1" t="s">
        <v>3464</v>
      </c>
    </row>
    <row r="212" spans="1:4" ht="18" customHeight="1" x14ac:dyDescent="0.25">
      <c r="A212" s="1" t="s">
        <v>3467</v>
      </c>
      <c r="B212" s="1" t="s">
        <v>2109</v>
      </c>
      <c r="C212" s="1" t="s">
        <v>3463</v>
      </c>
      <c r="D212" s="1" t="s">
        <v>3464</v>
      </c>
    </row>
    <row r="213" spans="1:4" ht="18" customHeight="1" x14ac:dyDescent="0.25">
      <c r="A213" s="1" t="s">
        <v>3469</v>
      </c>
      <c r="B213" s="1" t="s">
        <v>2115</v>
      </c>
      <c r="C213" s="1" t="s">
        <v>3463</v>
      </c>
      <c r="D213" s="1" t="s">
        <v>3464</v>
      </c>
    </row>
    <row r="214" spans="1:4" ht="18" customHeight="1" x14ac:dyDescent="0.25">
      <c r="A214" s="1" t="s">
        <v>3480</v>
      </c>
      <c r="B214" s="1" t="s">
        <v>2134</v>
      </c>
      <c r="C214" s="1" t="s">
        <v>3463</v>
      </c>
      <c r="D214" s="1" t="s">
        <v>3464</v>
      </c>
    </row>
    <row r="215" spans="1:4" ht="18" customHeight="1" x14ac:dyDescent="0.25">
      <c r="A215" s="1" t="s">
        <v>3486</v>
      </c>
      <c r="B215" s="1" t="s">
        <v>2149</v>
      </c>
      <c r="C215" s="1" t="s">
        <v>3463</v>
      </c>
      <c r="D215" s="1" t="s">
        <v>3464</v>
      </c>
    </row>
    <row r="216" spans="1:4" ht="18" customHeight="1" x14ac:dyDescent="0.25">
      <c r="A216" s="1" t="s">
        <v>3488</v>
      </c>
      <c r="B216" s="1" t="s">
        <v>2154</v>
      </c>
      <c r="C216" s="1" t="s">
        <v>3463</v>
      </c>
      <c r="D216" s="1" t="s">
        <v>3464</v>
      </c>
    </row>
    <row r="217" spans="1:4" ht="18" customHeight="1" x14ac:dyDescent="0.25">
      <c r="A217" s="1" t="s">
        <v>3490</v>
      </c>
      <c r="B217" s="1" t="s">
        <v>2159</v>
      </c>
      <c r="C217" s="1" t="s">
        <v>3463</v>
      </c>
      <c r="D217" s="1" t="s">
        <v>3464</v>
      </c>
    </row>
    <row r="218" spans="1:4" ht="18" customHeight="1" x14ac:dyDescent="0.25">
      <c r="A218" s="1" t="s">
        <v>3498</v>
      </c>
      <c r="B218" s="1" t="s">
        <v>2177</v>
      </c>
      <c r="C218" s="1" t="s">
        <v>3463</v>
      </c>
      <c r="D218" s="1" t="s">
        <v>3464</v>
      </c>
    </row>
    <row r="219" spans="1:4" ht="18" customHeight="1" x14ac:dyDescent="0.25">
      <c r="A219" s="1" t="s">
        <v>3500</v>
      </c>
      <c r="B219" s="1" t="s">
        <v>2182</v>
      </c>
      <c r="C219" s="1" t="s">
        <v>3463</v>
      </c>
      <c r="D219" s="1" t="s">
        <v>3464</v>
      </c>
    </row>
    <row r="220" spans="1:4" ht="18" customHeight="1" x14ac:dyDescent="0.25">
      <c r="A220" s="1" t="s">
        <v>3502</v>
      </c>
      <c r="B220" s="1" t="s">
        <v>2187</v>
      </c>
      <c r="C220" s="1" t="s">
        <v>3463</v>
      </c>
      <c r="D220" s="1" t="s">
        <v>3464</v>
      </c>
    </row>
    <row r="221" spans="1:4" ht="18" customHeight="1" x14ac:dyDescent="0.25">
      <c r="A221" s="1" t="s">
        <v>3507</v>
      </c>
      <c r="B221" s="1" t="s">
        <v>2198</v>
      </c>
      <c r="C221" s="1" t="s">
        <v>3463</v>
      </c>
      <c r="D221" s="1" t="s">
        <v>3464</v>
      </c>
    </row>
    <row r="222" spans="1:4" ht="18" customHeight="1" x14ac:dyDescent="0.25">
      <c r="A222" s="1" t="s">
        <v>3515</v>
      </c>
      <c r="B222" s="1" t="s">
        <v>2213</v>
      </c>
      <c r="C222" s="1" t="s">
        <v>3463</v>
      </c>
      <c r="D222" s="1" t="s">
        <v>3464</v>
      </c>
    </row>
    <row r="223" spans="1:4" ht="18" customHeight="1" x14ac:dyDescent="0.25">
      <c r="A223" s="1" t="s">
        <v>3523</v>
      </c>
      <c r="B223" s="1" t="s">
        <v>2231</v>
      </c>
      <c r="C223" s="1" t="s">
        <v>3463</v>
      </c>
      <c r="D223" s="1" t="s">
        <v>3464</v>
      </c>
    </row>
    <row r="224" spans="1:4" ht="18" customHeight="1" x14ac:dyDescent="0.25">
      <c r="A224" s="1" t="s">
        <v>3524</v>
      </c>
      <c r="B224" s="1" t="s">
        <v>2233</v>
      </c>
      <c r="C224" s="1" t="s">
        <v>3463</v>
      </c>
      <c r="D224" s="1" t="s">
        <v>3464</v>
      </c>
    </row>
    <row r="225" spans="1:4" ht="18" customHeight="1" x14ac:dyDescent="0.25">
      <c r="A225" s="1" t="s">
        <v>3534</v>
      </c>
      <c r="B225" s="1" t="s">
        <v>2253</v>
      </c>
      <c r="C225" s="1" t="s">
        <v>3463</v>
      </c>
      <c r="D225" s="1" t="s">
        <v>3464</v>
      </c>
    </row>
    <row r="226" spans="1:4" ht="18" customHeight="1" x14ac:dyDescent="0.25">
      <c r="A226" s="1" t="s">
        <v>3537</v>
      </c>
      <c r="B226" s="1" t="s">
        <v>2260</v>
      </c>
      <c r="C226" s="1" t="s">
        <v>3463</v>
      </c>
      <c r="D226" s="1" t="s">
        <v>3464</v>
      </c>
    </row>
    <row r="227" spans="1:4" ht="18" customHeight="1" x14ac:dyDescent="0.25">
      <c r="A227" s="1" t="s">
        <v>3538</v>
      </c>
      <c r="B227" s="1" t="s">
        <v>2262</v>
      </c>
      <c r="C227" s="1" t="s">
        <v>3463</v>
      </c>
      <c r="D227" s="1" t="s">
        <v>3464</v>
      </c>
    </row>
    <row r="228" spans="1:4" ht="18" customHeight="1" x14ac:dyDescent="0.25">
      <c r="A228" s="1" t="s">
        <v>3545</v>
      </c>
      <c r="B228" s="1" t="s">
        <v>2275</v>
      </c>
      <c r="C228" s="1" t="s">
        <v>3463</v>
      </c>
      <c r="D228" s="1" t="s">
        <v>3464</v>
      </c>
    </row>
    <row r="229" spans="1:4" ht="18" customHeight="1" x14ac:dyDescent="0.25">
      <c r="A229" s="1" t="s">
        <v>3549</v>
      </c>
      <c r="B229" s="1" t="s">
        <v>2283</v>
      </c>
      <c r="C229" s="1" t="s">
        <v>3463</v>
      </c>
      <c r="D229" s="1" t="s">
        <v>3464</v>
      </c>
    </row>
    <row r="230" spans="1:4" ht="18" customHeight="1" x14ac:dyDescent="0.25">
      <c r="A230" s="1" t="s">
        <v>3559</v>
      </c>
      <c r="B230" s="1" t="s">
        <v>2302</v>
      </c>
      <c r="C230" s="1" t="s">
        <v>3463</v>
      </c>
      <c r="D230" s="1" t="s">
        <v>3464</v>
      </c>
    </row>
    <row r="231" spans="1:4" ht="18" customHeight="1" x14ac:dyDescent="0.25">
      <c r="A231" s="1" t="s">
        <v>3569</v>
      </c>
      <c r="B231" s="1" t="s">
        <v>2322</v>
      </c>
      <c r="C231" s="1" t="s">
        <v>3463</v>
      </c>
      <c r="D231" s="1" t="s">
        <v>3464</v>
      </c>
    </row>
    <row r="232" spans="1:4" ht="18" customHeight="1" x14ac:dyDescent="0.25">
      <c r="A232" s="1" t="s">
        <v>3571</v>
      </c>
      <c r="B232" s="1" t="s">
        <v>2326</v>
      </c>
      <c r="C232" s="1" t="s">
        <v>3463</v>
      </c>
      <c r="D232" s="1" t="s">
        <v>3464</v>
      </c>
    </row>
    <row r="233" spans="1:4" ht="18" customHeight="1" x14ac:dyDescent="0.25">
      <c r="A233" s="1" t="s">
        <v>3575</v>
      </c>
      <c r="B233" s="1" t="s">
        <v>2334</v>
      </c>
      <c r="C233" s="1" t="s">
        <v>3463</v>
      </c>
      <c r="D233" s="1" t="s">
        <v>3464</v>
      </c>
    </row>
    <row r="234" spans="1:4" ht="18" customHeight="1" x14ac:dyDescent="0.25">
      <c r="A234" s="1" t="s">
        <v>3584</v>
      </c>
      <c r="B234" s="1" t="s">
        <v>2352</v>
      </c>
      <c r="C234" s="1" t="s">
        <v>3463</v>
      </c>
      <c r="D234" s="1" t="s">
        <v>3464</v>
      </c>
    </row>
    <row r="235" spans="1:4" ht="18" customHeight="1" x14ac:dyDescent="0.25">
      <c r="A235" s="1" t="s">
        <v>3586</v>
      </c>
      <c r="B235" s="1" t="s">
        <v>2356</v>
      </c>
      <c r="C235" s="1" t="s">
        <v>3463</v>
      </c>
      <c r="D235" s="1" t="s">
        <v>3464</v>
      </c>
    </row>
    <row r="236" spans="1:4" ht="18" customHeight="1" x14ac:dyDescent="0.25">
      <c r="A236" s="1" t="s">
        <v>3587</v>
      </c>
      <c r="B236" s="1" t="s">
        <v>2357</v>
      </c>
      <c r="C236" s="1" t="s">
        <v>3463</v>
      </c>
      <c r="D236" s="1" t="s">
        <v>3464</v>
      </c>
    </row>
    <row r="237" spans="1:4" ht="18" customHeight="1" x14ac:dyDescent="0.25">
      <c r="A237" s="1" t="s">
        <v>3593</v>
      </c>
      <c r="B237" s="1" t="s">
        <v>2369</v>
      </c>
      <c r="C237" s="1" t="s">
        <v>3463</v>
      </c>
      <c r="D237" s="1" t="s">
        <v>3464</v>
      </c>
    </row>
    <row r="238" spans="1:4" ht="18" customHeight="1" x14ac:dyDescent="0.25">
      <c r="A238" s="1" t="s">
        <v>3597</v>
      </c>
      <c r="B238" s="1" t="s">
        <v>2376</v>
      </c>
      <c r="C238" s="1" t="s">
        <v>3463</v>
      </c>
      <c r="D238" s="1" t="s">
        <v>3464</v>
      </c>
    </row>
    <row r="239" spans="1:4" ht="18" customHeight="1" x14ac:dyDescent="0.25">
      <c r="A239" s="1" t="s">
        <v>3598</v>
      </c>
      <c r="B239" s="1" t="s">
        <v>2378</v>
      </c>
      <c r="C239" s="1" t="s">
        <v>3463</v>
      </c>
      <c r="D239" s="1" t="s">
        <v>3464</v>
      </c>
    </row>
    <row r="240" spans="1:4" ht="18" customHeight="1" x14ac:dyDescent="0.25">
      <c r="A240" s="1" t="s">
        <v>3613</v>
      </c>
      <c r="B240" s="1" t="s">
        <v>2406</v>
      </c>
      <c r="C240" s="1" t="s">
        <v>3463</v>
      </c>
      <c r="D240" s="1" t="s">
        <v>3464</v>
      </c>
    </row>
    <row r="241" spans="1:4" ht="18" customHeight="1" x14ac:dyDescent="0.25">
      <c r="A241" s="1" t="s">
        <v>3617</v>
      </c>
      <c r="B241" s="1" t="s">
        <v>2414</v>
      </c>
      <c r="C241" s="1" t="s">
        <v>3463</v>
      </c>
      <c r="D241" s="1" t="s">
        <v>3464</v>
      </c>
    </row>
    <row r="242" spans="1:4" ht="18" customHeight="1" x14ac:dyDescent="0.25">
      <c r="A242" s="1" t="s">
        <v>3619</v>
      </c>
      <c r="B242" s="1" t="s">
        <v>2418</v>
      </c>
      <c r="C242" s="1" t="s">
        <v>3463</v>
      </c>
      <c r="D242" s="1" t="s">
        <v>3464</v>
      </c>
    </row>
    <row r="243" spans="1:4" ht="18" customHeight="1" x14ac:dyDescent="0.25">
      <c r="A243" s="1" t="s">
        <v>3625</v>
      </c>
      <c r="B243" s="1" t="s">
        <v>2429</v>
      </c>
      <c r="C243" s="1" t="s">
        <v>3463</v>
      </c>
      <c r="D243" s="1" t="s">
        <v>3464</v>
      </c>
    </row>
    <row r="244" spans="1:4" ht="18" customHeight="1" x14ac:dyDescent="0.25">
      <c r="A244" s="1" t="s">
        <v>3629</v>
      </c>
      <c r="B244" s="1" t="s">
        <v>2437</v>
      </c>
      <c r="C244" s="1" t="s">
        <v>3463</v>
      </c>
      <c r="D244" s="1" t="s">
        <v>3464</v>
      </c>
    </row>
    <row r="245" spans="1:4" ht="18" customHeight="1" x14ac:dyDescent="0.25">
      <c r="A245" s="1" t="s">
        <v>3631</v>
      </c>
      <c r="B245" s="1" t="s">
        <v>2441</v>
      </c>
      <c r="C245" s="1" t="s">
        <v>3463</v>
      </c>
      <c r="D245" s="1" t="s">
        <v>3464</v>
      </c>
    </row>
    <row r="246" spans="1:4" ht="18" customHeight="1" x14ac:dyDescent="0.25">
      <c r="A246" s="1" t="s">
        <v>3633</v>
      </c>
      <c r="B246" s="1" t="s">
        <v>2445</v>
      </c>
      <c r="C246" s="1" t="s">
        <v>3463</v>
      </c>
      <c r="D246" s="1" t="s">
        <v>3464</v>
      </c>
    </row>
    <row r="247" spans="1:4" ht="18" customHeight="1" x14ac:dyDescent="0.25">
      <c r="A247" s="1" t="s">
        <v>3634</v>
      </c>
      <c r="B247" s="1" t="s">
        <v>2447</v>
      </c>
      <c r="C247" s="1" t="s">
        <v>3463</v>
      </c>
      <c r="D247" s="1" t="s">
        <v>3464</v>
      </c>
    </row>
    <row r="248" spans="1:4" ht="18" customHeight="1" x14ac:dyDescent="0.25">
      <c r="A248" s="1" t="s">
        <v>3635</v>
      </c>
      <c r="B248" s="1" t="s">
        <v>2449</v>
      </c>
      <c r="C248" s="1" t="s">
        <v>3463</v>
      </c>
      <c r="D248" s="1" t="s">
        <v>3464</v>
      </c>
    </row>
    <row r="249" spans="1:4" ht="18" customHeight="1" x14ac:dyDescent="0.25">
      <c r="A249" s="1" t="s">
        <v>3637</v>
      </c>
      <c r="B249" s="1" t="s">
        <v>2453</v>
      </c>
      <c r="C249" s="1" t="s">
        <v>3463</v>
      </c>
      <c r="D249" s="1" t="s">
        <v>3464</v>
      </c>
    </row>
    <row r="250" spans="1:4" ht="18" customHeight="1" x14ac:dyDescent="0.25">
      <c r="A250" s="1" t="s">
        <v>3645</v>
      </c>
      <c r="B250" s="1" t="s">
        <v>2469</v>
      </c>
      <c r="C250" s="1" t="s">
        <v>3463</v>
      </c>
      <c r="D250" s="1" t="s">
        <v>3464</v>
      </c>
    </row>
    <row r="251" spans="1:4" ht="18" customHeight="1" x14ac:dyDescent="0.25">
      <c r="A251" s="1" t="s">
        <v>3646</v>
      </c>
      <c r="B251" s="1" t="s">
        <v>2471</v>
      </c>
      <c r="C251" s="1" t="s">
        <v>3463</v>
      </c>
      <c r="D251" s="1" t="s">
        <v>3464</v>
      </c>
    </row>
    <row r="252" spans="1:4" ht="18" customHeight="1" x14ac:dyDescent="0.25">
      <c r="A252" s="1" t="s">
        <v>3648</v>
      </c>
      <c r="B252" s="1" t="s">
        <v>2475</v>
      </c>
      <c r="C252" s="1" t="s">
        <v>3463</v>
      </c>
      <c r="D252" s="1" t="s">
        <v>3464</v>
      </c>
    </row>
    <row r="253" spans="1:4" ht="18" customHeight="1" x14ac:dyDescent="0.25">
      <c r="A253" s="1" t="s">
        <v>3650</v>
      </c>
      <c r="B253" s="1" t="s">
        <v>2479</v>
      </c>
      <c r="C253" s="1" t="s">
        <v>3463</v>
      </c>
      <c r="D253" s="1" t="s">
        <v>3464</v>
      </c>
    </row>
    <row r="254" spans="1:4" ht="18" customHeight="1" x14ac:dyDescent="0.25">
      <c r="A254" s="1" t="s">
        <v>3654</v>
      </c>
      <c r="B254" s="1" t="s">
        <v>2486</v>
      </c>
      <c r="C254" s="1" t="s">
        <v>3463</v>
      </c>
      <c r="D254" s="1" t="s">
        <v>3464</v>
      </c>
    </row>
    <row r="255" spans="1:4" ht="18" customHeight="1" x14ac:dyDescent="0.25">
      <c r="A255" s="1" t="s">
        <v>3656</v>
      </c>
      <c r="B255" s="1" t="s">
        <v>2490</v>
      </c>
      <c r="C255" s="1" t="s">
        <v>3463</v>
      </c>
      <c r="D255" s="1" t="s">
        <v>3464</v>
      </c>
    </row>
    <row r="256" spans="1:4" ht="18" customHeight="1" x14ac:dyDescent="0.25">
      <c r="A256" s="1" t="s">
        <v>3659</v>
      </c>
      <c r="B256" s="1" t="s">
        <v>2496</v>
      </c>
      <c r="C256" s="1" t="s">
        <v>3463</v>
      </c>
      <c r="D256" s="1" t="s">
        <v>3464</v>
      </c>
    </row>
    <row r="257" spans="1:4" ht="18" customHeight="1" x14ac:dyDescent="0.25">
      <c r="A257" s="1" t="s">
        <v>3666</v>
      </c>
      <c r="B257" s="1" t="s">
        <v>2507</v>
      </c>
      <c r="C257" s="1" t="s">
        <v>3463</v>
      </c>
      <c r="D257" s="1" t="s">
        <v>3464</v>
      </c>
    </row>
    <row r="258" spans="1:4" ht="18" customHeight="1" x14ac:dyDescent="0.25">
      <c r="A258" s="1" t="s">
        <v>3667</v>
      </c>
      <c r="B258" s="1" t="s">
        <v>2509</v>
      </c>
      <c r="C258" s="1" t="s">
        <v>3463</v>
      </c>
      <c r="D258" s="1" t="s">
        <v>3464</v>
      </c>
    </row>
    <row r="259" spans="1:4" ht="18" customHeight="1" x14ac:dyDescent="0.25">
      <c r="A259" s="1" t="s">
        <v>3668</v>
      </c>
      <c r="B259" s="1" t="s">
        <v>2511</v>
      </c>
      <c r="C259" s="1" t="s">
        <v>3463</v>
      </c>
      <c r="D259" s="1" t="s">
        <v>3464</v>
      </c>
    </row>
    <row r="260" spans="1:4" ht="18" customHeight="1" x14ac:dyDescent="0.25">
      <c r="A260" s="1" t="s">
        <v>3673</v>
      </c>
      <c r="B260" s="1" t="s">
        <v>2521</v>
      </c>
      <c r="C260" s="1" t="s">
        <v>3463</v>
      </c>
      <c r="D260" s="1" t="s">
        <v>3464</v>
      </c>
    </row>
    <row r="261" spans="1:4" ht="18" customHeight="1" x14ac:dyDescent="0.25">
      <c r="A261" s="1" t="s">
        <v>3682</v>
      </c>
      <c r="B261" s="1" t="s">
        <v>2539</v>
      </c>
      <c r="C261" s="1" t="s">
        <v>3463</v>
      </c>
      <c r="D261" s="1" t="s">
        <v>3464</v>
      </c>
    </row>
    <row r="262" spans="1:4" ht="18" customHeight="1" x14ac:dyDescent="0.25">
      <c r="A262" s="1" t="s">
        <v>3688</v>
      </c>
      <c r="B262" s="1" t="s">
        <v>2551</v>
      </c>
      <c r="C262" s="1" t="s">
        <v>3463</v>
      </c>
      <c r="D262" s="1" t="s">
        <v>3464</v>
      </c>
    </row>
    <row r="263" spans="1:4" ht="18" customHeight="1" x14ac:dyDescent="0.25">
      <c r="A263" s="1" t="s">
        <v>3689</v>
      </c>
      <c r="B263" s="1" t="s">
        <v>2553</v>
      </c>
      <c r="C263" s="1" t="s">
        <v>3463</v>
      </c>
      <c r="D263" s="1" t="s">
        <v>3464</v>
      </c>
    </row>
    <row r="264" spans="1:4" ht="18" customHeight="1" x14ac:dyDescent="0.25">
      <c r="A264" s="1" t="s">
        <v>3693</v>
      </c>
      <c r="B264" s="1" t="s">
        <v>2560</v>
      </c>
      <c r="C264" s="1" t="s">
        <v>3463</v>
      </c>
      <c r="D264" s="1" t="s">
        <v>3464</v>
      </c>
    </row>
    <row r="265" spans="1:4" ht="18" customHeight="1" x14ac:dyDescent="0.25">
      <c r="A265" s="1" t="s">
        <v>3696</v>
      </c>
      <c r="B265" s="1" t="s">
        <v>2566</v>
      </c>
      <c r="C265" s="1" t="s">
        <v>3463</v>
      </c>
      <c r="D265" s="1" t="s">
        <v>3464</v>
      </c>
    </row>
    <row r="266" spans="1:4" ht="18" customHeight="1" x14ac:dyDescent="0.25">
      <c r="A266" s="1" t="s">
        <v>3707</v>
      </c>
      <c r="B266" s="1" t="s">
        <v>2586</v>
      </c>
      <c r="C266" s="1" t="s">
        <v>3463</v>
      </c>
      <c r="D266" s="1" t="s">
        <v>3464</v>
      </c>
    </row>
    <row r="267" spans="1:4" ht="18" customHeight="1" x14ac:dyDescent="0.25">
      <c r="A267" s="1" t="s">
        <v>3716</v>
      </c>
      <c r="B267" s="1" t="s">
        <v>2604</v>
      </c>
      <c r="C267" s="1" t="s">
        <v>3463</v>
      </c>
      <c r="D267" s="1" t="s">
        <v>3464</v>
      </c>
    </row>
    <row r="268" spans="1:4" ht="18" customHeight="1" x14ac:dyDescent="0.25">
      <c r="A268" s="1" t="s">
        <v>3722</v>
      </c>
      <c r="B268" s="1" t="s">
        <v>2615</v>
      </c>
      <c r="C268" s="1" t="s">
        <v>3463</v>
      </c>
      <c r="D268" s="1" t="s">
        <v>3464</v>
      </c>
    </row>
    <row r="269" spans="1:4" ht="18" customHeight="1" x14ac:dyDescent="0.25">
      <c r="A269" s="1" t="s">
        <v>3728</v>
      </c>
      <c r="B269" s="1" t="s">
        <v>2627</v>
      </c>
      <c r="C269" s="1" t="s">
        <v>3463</v>
      </c>
      <c r="D269" s="1" t="s">
        <v>3464</v>
      </c>
    </row>
    <row r="270" spans="1:4" ht="18" customHeight="1" x14ac:dyDescent="0.25">
      <c r="A270" s="1" t="s">
        <v>3731</v>
      </c>
      <c r="B270" s="1" t="s">
        <v>2633</v>
      </c>
      <c r="C270" s="1" t="s">
        <v>3463</v>
      </c>
      <c r="D270" s="1" t="s">
        <v>3464</v>
      </c>
    </row>
    <row r="271" spans="1:4" ht="18" customHeight="1" x14ac:dyDescent="0.25">
      <c r="A271" s="1" t="s">
        <v>3732</v>
      </c>
      <c r="B271" s="1" t="s">
        <v>2635</v>
      </c>
      <c r="C271" s="1" t="s">
        <v>3463</v>
      </c>
      <c r="D271" s="1" t="s">
        <v>3464</v>
      </c>
    </row>
    <row r="272" spans="1:4" ht="18" customHeight="1" x14ac:dyDescent="0.25">
      <c r="A272" s="1" t="s">
        <v>3734</v>
      </c>
      <c r="B272" s="1" t="s">
        <v>2639</v>
      </c>
      <c r="C272" s="1" t="s">
        <v>3463</v>
      </c>
      <c r="D272" s="1" t="s">
        <v>3464</v>
      </c>
    </row>
    <row r="273" spans="1:4" ht="18" customHeight="1" x14ac:dyDescent="0.25">
      <c r="A273" s="1" t="s">
        <v>3736</v>
      </c>
      <c r="B273" s="1" t="s">
        <v>2642</v>
      </c>
      <c r="C273" s="1" t="s">
        <v>3463</v>
      </c>
      <c r="D273" s="1" t="s">
        <v>3464</v>
      </c>
    </row>
    <row r="274" spans="1:4" ht="18" customHeight="1" x14ac:dyDescent="0.25">
      <c r="A274" s="1" t="s">
        <v>3738</v>
      </c>
      <c r="B274" s="1" t="s">
        <v>2646</v>
      </c>
      <c r="C274" s="1" t="s">
        <v>3463</v>
      </c>
      <c r="D274" s="1" t="s">
        <v>3464</v>
      </c>
    </row>
    <row r="275" spans="1:4" ht="18" customHeight="1" x14ac:dyDescent="0.25">
      <c r="A275" s="1" t="s">
        <v>3749</v>
      </c>
      <c r="B275" s="1" t="s">
        <v>2668</v>
      </c>
      <c r="C275" s="1" t="s">
        <v>3463</v>
      </c>
      <c r="D275" s="1" t="s">
        <v>3464</v>
      </c>
    </row>
    <row r="276" spans="1:4" ht="18" customHeight="1" x14ac:dyDescent="0.25">
      <c r="A276" s="1" t="s">
        <v>3761</v>
      </c>
      <c r="B276" s="1" t="s">
        <v>2689</v>
      </c>
      <c r="C276" s="1" t="s">
        <v>3463</v>
      </c>
      <c r="D276" s="1" t="s">
        <v>3464</v>
      </c>
    </row>
    <row r="277" spans="1:4" ht="18" customHeight="1" x14ac:dyDescent="0.25">
      <c r="A277" s="1" t="s">
        <v>3774</v>
      </c>
      <c r="B277" s="1" t="s">
        <v>2712</v>
      </c>
      <c r="C277" s="1" t="s">
        <v>3463</v>
      </c>
      <c r="D277" s="1" t="s">
        <v>3464</v>
      </c>
    </row>
    <row r="278" spans="1:4" ht="18" customHeight="1" x14ac:dyDescent="0.25">
      <c r="A278" s="1" t="s">
        <v>3775</v>
      </c>
      <c r="B278" s="1" t="s">
        <v>2714</v>
      </c>
      <c r="C278" s="1" t="s">
        <v>3463</v>
      </c>
      <c r="D278" s="1" t="s">
        <v>3464</v>
      </c>
    </row>
    <row r="279" spans="1:4" ht="18" customHeight="1" x14ac:dyDescent="0.25">
      <c r="A279" s="1" t="s">
        <v>3787</v>
      </c>
      <c r="B279" s="1" t="s">
        <v>2735</v>
      </c>
      <c r="C279" s="1" t="s">
        <v>3463</v>
      </c>
      <c r="D279" s="1" t="s">
        <v>3464</v>
      </c>
    </row>
    <row r="280" spans="1:4" ht="18" customHeight="1" x14ac:dyDescent="0.25">
      <c r="A280" s="1" t="s">
        <v>3789</v>
      </c>
      <c r="B280" s="1" t="s">
        <v>2739</v>
      </c>
      <c r="C280" s="1" t="s">
        <v>3463</v>
      </c>
      <c r="D280" s="1" t="s">
        <v>3464</v>
      </c>
    </row>
    <row r="281" spans="1:4" ht="18" customHeight="1" x14ac:dyDescent="0.25">
      <c r="A281" s="1" t="s">
        <v>3796</v>
      </c>
      <c r="B281" s="1" t="s">
        <v>2751</v>
      </c>
      <c r="C281" s="1" t="s">
        <v>3463</v>
      </c>
      <c r="D281" s="1" t="s">
        <v>3464</v>
      </c>
    </row>
    <row r="282" spans="1:4" ht="18" customHeight="1" x14ac:dyDescent="0.25">
      <c r="A282" s="1" t="s">
        <v>3808</v>
      </c>
      <c r="B282" s="1" t="s">
        <v>2774</v>
      </c>
      <c r="C282" s="1" t="s">
        <v>3463</v>
      </c>
      <c r="D282" s="1" t="s">
        <v>3464</v>
      </c>
    </row>
    <row r="283" spans="1:4" ht="18" customHeight="1" x14ac:dyDescent="0.25">
      <c r="A283" s="1" t="s">
        <v>3811</v>
      </c>
      <c r="B283" s="1" t="s">
        <v>2779</v>
      </c>
      <c r="C283" s="1" t="s">
        <v>3463</v>
      </c>
      <c r="D283" s="1" t="s">
        <v>3464</v>
      </c>
    </row>
    <row r="284" spans="1:4" ht="18" customHeight="1" x14ac:dyDescent="0.25">
      <c r="A284" s="1" t="s">
        <v>3815</v>
      </c>
      <c r="B284" s="1" t="s">
        <v>2785</v>
      </c>
      <c r="C284" s="1" t="s">
        <v>3463</v>
      </c>
      <c r="D284" s="1" t="s">
        <v>3464</v>
      </c>
    </row>
    <row r="285" spans="1:4" ht="18" customHeight="1" x14ac:dyDescent="0.25">
      <c r="A285" s="1" t="s">
        <v>3816</v>
      </c>
      <c r="B285" s="1" t="s">
        <v>2787</v>
      </c>
      <c r="C285" s="1" t="s">
        <v>3463</v>
      </c>
      <c r="D285" s="1" t="s">
        <v>3464</v>
      </c>
    </row>
    <row r="286" spans="1:4" ht="18" customHeight="1" x14ac:dyDescent="0.25">
      <c r="A286" s="1" t="s">
        <v>3822</v>
      </c>
      <c r="B286" s="1" t="s">
        <v>2798</v>
      </c>
      <c r="C286" s="1" t="s">
        <v>3463</v>
      </c>
      <c r="D286" s="1" t="s">
        <v>3464</v>
      </c>
    </row>
    <row r="287" spans="1:4" ht="18" customHeight="1" x14ac:dyDescent="0.25">
      <c r="A287" s="1" t="s">
        <v>3824</v>
      </c>
      <c r="B287" s="1" t="s">
        <v>2802</v>
      </c>
      <c r="C287" s="1" t="s">
        <v>3463</v>
      </c>
      <c r="D287" s="1" t="s">
        <v>3464</v>
      </c>
    </row>
    <row r="288" spans="1:4" ht="18" customHeight="1" x14ac:dyDescent="0.25">
      <c r="A288" s="1" t="s">
        <v>3826</v>
      </c>
      <c r="B288" s="1" t="s">
        <v>2805</v>
      </c>
      <c r="C288" s="1" t="s">
        <v>3463</v>
      </c>
      <c r="D288" s="1" t="s">
        <v>3464</v>
      </c>
    </row>
    <row r="289" spans="1:4" ht="18" customHeight="1" x14ac:dyDescent="0.25">
      <c r="A289" s="1" t="s">
        <v>3831</v>
      </c>
      <c r="B289" s="1" t="s">
        <v>2814</v>
      </c>
      <c r="C289" s="1" t="s">
        <v>3463</v>
      </c>
      <c r="D289" s="1" t="s">
        <v>3464</v>
      </c>
    </row>
    <row r="290" spans="1:4" ht="18" customHeight="1" x14ac:dyDescent="0.25">
      <c r="A290" s="1" t="s">
        <v>3832</v>
      </c>
      <c r="B290" s="1" t="s">
        <v>2816</v>
      </c>
      <c r="C290" s="1" t="s">
        <v>3463</v>
      </c>
      <c r="D290" s="1" t="s">
        <v>3464</v>
      </c>
    </row>
    <row r="291" spans="1:4" ht="18" customHeight="1" x14ac:dyDescent="0.25">
      <c r="A291" s="1" t="s">
        <v>3834</v>
      </c>
      <c r="B291" s="1" t="s">
        <v>2820</v>
      </c>
      <c r="C291" s="1" t="s">
        <v>3463</v>
      </c>
      <c r="D291" s="1" t="s">
        <v>3464</v>
      </c>
    </row>
    <row r="292" spans="1:4" ht="18" customHeight="1" x14ac:dyDescent="0.25">
      <c r="A292" s="1" t="s">
        <v>3838</v>
      </c>
      <c r="B292" s="1" t="s">
        <v>2828</v>
      </c>
      <c r="C292" s="1" t="s">
        <v>3463</v>
      </c>
      <c r="D292" s="1" t="s">
        <v>3464</v>
      </c>
    </row>
    <row r="293" spans="1:4" ht="18" customHeight="1" x14ac:dyDescent="0.25">
      <c r="A293" s="1" t="s">
        <v>3841</v>
      </c>
      <c r="B293" s="1" t="s">
        <v>2832</v>
      </c>
      <c r="C293" s="1" t="s">
        <v>3463</v>
      </c>
      <c r="D293" s="1" t="s">
        <v>3464</v>
      </c>
    </row>
    <row r="294" spans="1:4" ht="18" customHeight="1" x14ac:dyDescent="0.25">
      <c r="A294" s="1" t="s">
        <v>3849</v>
      </c>
      <c r="B294" s="1" t="s">
        <v>2847</v>
      </c>
      <c r="C294" s="1" t="s">
        <v>3463</v>
      </c>
      <c r="D294" s="1" t="s">
        <v>3464</v>
      </c>
    </row>
    <row r="295" spans="1:4" ht="18" customHeight="1" x14ac:dyDescent="0.25">
      <c r="A295" s="1" t="s">
        <v>3852</v>
      </c>
      <c r="B295" s="1" t="s">
        <v>2853</v>
      </c>
      <c r="C295" s="1" t="s">
        <v>3463</v>
      </c>
      <c r="D295" s="1" t="s">
        <v>3464</v>
      </c>
    </row>
    <row r="296" spans="1:4" ht="18" customHeight="1" x14ac:dyDescent="0.25">
      <c r="A296" s="1" t="s">
        <v>3859</v>
      </c>
      <c r="B296" s="1" t="s">
        <v>2866</v>
      </c>
      <c r="C296" s="1" t="s">
        <v>3463</v>
      </c>
      <c r="D296" s="1" t="s">
        <v>3464</v>
      </c>
    </row>
    <row r="297" spans="1:4" ht="18" customHeight="1" x14ac:dyDescent="0.25">
      <c r="A297" s="1" t="s">
        <v>3868</v>
      </c>
      <c r="B297" s="1" t="s">
        <v>2881</v>
      </c>
      <c r="C297" s="1" t="s">
        <v>3463</v>
      </c>
      <c r="D297" s="1" t="s">
        <v>3464</v>
      </c>
    </row>
    <row r="298" spans="1:4" ht="18" customHeight="1" x14ac:dyDescent="0.25">
      <c r="A298" s="1" t="s">
        <v>3872</v>
      </c>
      <c r="B298" s="1" t="s">
        <v>2886</v>
      </c>
      <c r="C298" s="1" t="s">
        <v>3463</v>
      </c>
      <c r="D298" s="1" t="s">
        <v>3464</v>
      </c>
    </row>
    <row r="299" spans="1:4" ht="18" customHeight="1" x14ac:dyDescent="0.25">
      <c r="A299" s="1" t="s">
        <v>3873</v>
      </c>
      <c r="B299" s="1" t="s">
        <v>2888</v>
      </c>
      <c r="C299" s="1" t="s">
        <v>3463</v>
      </c>
      <c r="D299" s="1" t="s">
        <v>3464</v>
      </c>
    </row>
    <row r="300" spans="1:4" ht="18" customHeight="1" x14ac:dyDescent="0.25">
      <c r="A300" s="1" t="s">
        <v>3881</v>
      </c>
      <c r="B300" s="1" t="s">
        <v>2901</v>
      </c>
      <c r="C300" s="1" t="s">
        <v>3463</v>
      </c>
      <c r="D300" s="1" t="s">
        <v>3464</v>
      </c>
    </row>
    <row r="301" spans="1:4" ht="18" customHeight="1" x14ac:dyDescent="0.25">
      <c r="A301" s="1" t="s">
        <v>3885</v>
      </c>
      <c r="B301" s="1" t="s">
        <v>2909</v>
      </c>
      <c r="C301" s="1" t="s">
        <v>3463</v>
      </c>
      <c r="D301" s="1" t="s">
        <v>3464</v>
      </c>
    </row>
    <row r="302" spans="1:4" ht="18" customHeight="1" x14ac:dyDescent="0.25">
      <c r="A302" s="1" t="s">
        <v>3887</v>
      </c>
      <c r="B302" s="1" t="s">
        <v>2912</v>
      </c>
      <c r="C302" s="1" t="s">
        <v>3463</v>
      </c>
      <c r="D302" s="1" t="s">
        <v>3464</v>
      </c>
    </row>
    <row r="303" spans="1:4" ht="18" customHeight="1" x14ac:dyDescent="0.25">
      <c r="A303" s="1" t="s">
        <v>3893</v>
      </c>
      <c r="B303" s="1" t="s">
        <v>2922</v>
      </c>
      <c r="C303" s="1" t="s">
        <v>3463</v>
      </c>
      <c r="D303" s="1" t="s">
        <v>3464</v>
      </c>
    </row>
    <row r="304" spans="1:4" ht="18" customHeight="1" x14ac:dyDescent="0.25">
      <c r="A304" s="1" t="s">
        <v>3895</v>
      </c>
      <c r="B304" s="1" t="s">
        <v>2925</v>
      </c>
      <c r="C304" s="1" t="s">
        <v>3463</v>
      </c>
      <c r="D304" s="1" t="s">
        <v>3464</v>
      </c>
    </row>
    <row r="305" spans="1:4" ht="18" customHeight="1" x14ac:dyDescent="0.25">
      <c r="A305" s="1" t="s">
        <v>3896</v>
      </c>
      <c r="B305" s="1" t="s">
        <v>2927</v>
      </c>
      <c r="C305" s="1" t="s">
        <v>3463</v>
      </c>
      <c r="D305" s="1" t="s">
        <v>3464</v>
      </c>
    </row>
    <row r="306" spans="1:4" ht="18" customHeight="1" x14ac:dyDescent="0.25">
      <c r="A306" s="1" t="s">
        <v>3908</v>
      </c>
      <c r="B306" s="1" t="s">
        <v>2946</v>
      </c>
      <c r="C306" s="1" t="s">
        <v>3463</v>
      </c>
      <c r="D306" s="1" t="s">
        <v>3464</v>
      </c>
    </row>
    <row r="307" spans="1:4" ht="18" customHeight="1" x14ac:dyDescent="0.25">
      <c r="A307" s="1" t="s">
        <v>3910</v>
      </c>
      <c r="B307" s="1" t="s">
        <v>2949</v>
      </c>
      <c r="C307" s="1" t="s">
        <v>3463</v>
      </c>
      <c r="D307" s="1" t="s">
        <v>3464</v>
      </c>
    </row>
    <row r="308" spans="1:4" ht="18" customHeight="1" x14ac:dyDescent="0.25">
      <c r="A308" s="1" t="s">
        <v>3912</v>
      </c>
      <c r="B308" s="1" t="s">
        <v>2953</v>
      </c>
      <c r="C308" s="1" t="s">
        <v>3463</v>
      </c>
      <c r="D308" s="1" t="s">
        <v>3464</v>
      </c>
    </row>
    <row r="309" spans="1:4" ht="18" customHeight="1" x14ac:dyDescent="0.25">
      <c r="A309" s="1" t="s">
        <v>3915</v>
      </c>
      <c r="B309" s="1" t="s">
        <v>2957</v>
      </c>
      <c r="C309" s="1" t="s">
        <v>3463</v>
      </c>
      <c r="D309" s="1" t="s">
        <v>3464</v>
      </c>
    </row>
    <row r="310" spans="1:4" ht="18" customHeight="1" x14ac:dyDescent="0.25">
      <c r="A310" s="1" t="s">
        <v>3923</v>
      </c>
      <c r="B310" s="1" t="s">
        <v>2973</v>
      </c>
      <c r="C310" s="1" t="s">
        <v>3463</v>
      </c>
      <c r="D310" s="1" t="s">
        <v>3464</v>
      </c>
    </row>
    <row r="311" spans="1:4" ht="18" customHeight="1" x14ac:dyDescent="0.25">
      <c r="A311" s="1" t="s">
        <v>3926</v>
      </c>
      <c r="B311" s="1" t="s">
        <v>2978</v>
      </c>
      <c r="C311" s="1" t="s">
        <v>3463</v>
      </c>
      <c r="D311" s="1" t="s">
        <v>3464</v>
      </c>
    </row>
    <row r="312" spans="1:4" ht="18" customHeight="1" x14ac:dyDescent="0.25">
      <c r="A312" s="1" t="s">
        <v>3928</v>
      </c>
      <c r="B312" s="1" t="s">
        <v>2981</v>
      </c>
      <c r="C312" s="1" t="s">
        <v>3463</v>
      </c>
      <c r="D312" s="1" t="s">
        <v>3464</v>
      </c>
    </row>
    <row r="313" spans="1:4" ht="18" customHeight="1" x14ac:dyDescent="0.25">
      <c r="A313" s="1" t="s">
        <v>3931</v>
      </c>
      <c r="B313" s="1" t="s">
        <v>2986</v>
      </c>
      <c r="C313" s="1" t="s">
        <v>3463</v>
      </c>
      <c r="D313" s="1" t="s">
        <v>3464</v>
      </c>
    </row>
    <row r="314" spans="1:4" ht="18" customHeight="1" x14ac:dyDescent="0.25">
      <c r="A314" s="1" t="s">
        <v>3932</v>
      </c>
      <c r="B314" s="1" t="s">
        <v>2987</v>
      </c>
      <c r="C314" s="1" t="s">
        <v>3463</v>
      </c>
      <c r="D314" s="1" t="s">
        <v>3464</v>
      </c>
    </row>
    <row r="315" spans="1:4" ht="18" customHeight="1" x14ac:dyDescent="0.25">
      <c r="A315" s="1" t="s">
        <v>3938</v>
      </c>
      <c r="B315" s="1" t="s">
        <v>2998</v>
      </c>
      <c r="C315" s="1" t="s">
        <v>3463</v>
      </c>
      <c r="D315" s="1" t="s">
        <v>3464</v>
      </c>
    </row>
    <row r="316" spans="1:4" ht="18" customHeight="1" x14ac:dyDescent="0.25">
      <c r="A316" s="1" t="s">
        <v>3942</v>
      </c>
      <c r="B316" s="1" t="s">
        <v>3006</v>
      </c>
      <c r="C316" s="1" t="s">
        <v>3463</v>
      </c>
      <c r="D316" s="1" t="s">
        <v>3464</v>
      </c>
    </row>
    <row r="317" spans="1:4" ht="18" customHeight="1" x14ac:dyDescent="0.25">
      <c r="A317" s="1" t="s">
        <v>3458</v>
      </c>
      <c r="B317" s="1" t="s">
        <v>2090</v>
      </c>
      <c r="C317" s="1" t="s">
        <v>3459</v>
      </c>
      <c r="D317" s="1" t="s">
        <v>3460</v>
      </c>
    </row>
    <row r="318" spans="1:4" ht="18" customHeight="1" x14ac:dyDescent="0.25">
      <c r="A318" s="1" t="s">
        <v>3461</v>
      </c>
      <c r="B318" s="1" t="s">
        <v>2094</v>
      </c>
      <c r="C318" s="1" t="s">
        <v>3459</v>
      </c>
      <c r="D318" s="1" t="s">
        <v>3460</v>
      </c>
    </row>
    <row r="319" spans="1:4" ht="18" customHeight="1" x14ac:dyDescent="0.25">
      <c r="A319" s="1" t="s">
        <v>3474</v>
      </c>
      <c r="B319" s="1" t="s">
        <v>2122</v>
      </c>
      <c r="C319" s="1" t="s">
        <v>3459</v>
      </c>
      <c r="D319" s="1" t="s">
        <v>3460</v>
      </c>
    </row>
    <row r="320" spans="1:4" ht="18" customHeight="1" x14ac:dyDescent="0.25">
      <c r="A320" s="1" t="s">
        <v>3479</v>
      </c>
      <c r="B320" s="1" t="s">
        <v>2131</v>
      </c>
      <c r="C320" s="1" t="s">
        <v>3459</v>
      </c>
      <c r="D320" s="1" t="s">
        <v>3460</v>
      </c>
    </row>
    <row r="321" spans="1:4" ht="18" customHeight="1" x14ac:dyDescent="0.25">
      <c r="A321" s="1" t="s">
        <v>3482</v>
      </c>
      <c r="B321" s="1" t="s">
        <v>2140</v>
      </c>
      <c r="C321" s="1" t="s">
        <v>3459</v>
      </c>
      <c r="D321" s="1" t="s">
        <v>3460</v>
      </c>
    </row>
    <row r="322" spans="1:4" ht="18" customHeight="1" x14ac:dyDescent="0.25">
      <c r="A322" s="1" t="s">
        <v>3485</v>
      </c>
      <c r="B322" s="1" t="s">
        <v>2146</v>
      </c>
      <c r="C322" s="1" t="s">
        <v>3459</v>
      </c>
      <c r="D322" s="1" t="s">
        <v>3460</v>
      </c>
    </row>
    <row r="323" spans="1:4" ht="18" customHeight="1" x14ac:dyDescent="0.25">
      <c r="A323" s="1" t="s">
        <v>3497</v>
      </c>
      <c r="B323" s="1" t="s">
        <v>2175</v>
      </c>
      <c r="C323" s="1" t="s">
        <v>3459</v>
      </c>
      <c r="D323" s="1" t="s">
        <v>3460</v>
      </c>
    </row>
    <row r="324" spans="1:4" ht="18" customHeight="1" x14ac:dyDescent="0.25">
      <c r="A324" s="1" t="s">
        <v>3501</v>
      </c>
      <c r="B324" s="1" t="s">
        <v>2184</v>
      </c>
      <c r="C324" s="1" t="s">
        <v>3459</v>
      </c>
      <c r="D324" s="1" t="s">
        <v>3460</v>
      </c>
    </row>
    <row r="325" spans="1:4" ht="18" customHeight="1" x14ac:dyDescent="0.25">
      <c r="A325" s="1" t="s">
        <v>3504</v>
      </c>
      <c r="B325" s="1" t="s">
        <v>2191</v>
      </c>
      <c r="C325" s="1" t="s">
        <v>3459</v>
      </c>
      <c r="D325" s="1" t="s">
        <v>3460</v>
      </c>
    </row>
    <row r="326" spans="1:4" ht="18" customHeight="1" x14ac:dyDescent="0.25">
      <c r="A326" s="1" t="s">
        <v>3505</v>
      </c>
      <c r="B326" s="1" t="s">
        <v>2193</v>
      </c>
      <c r="C326" s="1" t="s">
        <v>3459</v>
      </c>
      <c r="D326" s="1" t="s">
        <v>3460</v>
      </c>
    </row>
    <row r="327" spans="1:4" ht="18" customHeight="1" x14ac:dyDescent="0.25">
      <c r="A327" s="1" t="s">
        <v>3508</v>
      </c>
      <c r="B327" s="1" t="s">
        <v>2200</v>
      </c>
      <c r="C327" s="1" t="s">
        <v>3459</v>
      </c>
      <c r="D327" s="1" t="s">
        <v>3460</v>
      </c>
    </row>
    <row r="328" spans="1:4" ht="18" customHeight="1" x14ac:dyDescent="0.25">
      <c r="A328" s="1" t="s">
        <v>3511</v>
      </c>
      <c r="B328" s="1" t="s">
        <v>2205</v>
      </c>
      <c r="C328" s="1" t="s">
        <v>3459</v>
      </c>
      <c r="D328" s="1" t="s">
        <v>3460</v>
      </c>
    </row>
    <row r="329" spans="1:4" ht="18" customHeight="1" x14ac:dyDescent="0.25">
      <c r="A329" s="1" t="s">
        <v>3525</v>
      </c>
      <c r="B329" s="1" t="s">
        <v>2234</v>
      </c>
      <c r="C329" s="1" t="s">
        <v>3459</v>
      </c>
      <c r="D329" s="1" t="s">
        <v>3460</v>
      </c>
    </row>
    <row r="330" spans="1:4" ht="18" customHeight="1" x14ac:dyDescent="0.25">
      <c r="A330" s="1" t="s">
        <v>3527</v>
      </c>
      <c r="B330" s="1" t="s">
        <v>2238</v>
      </c>
      <c r="C330" s="1" t="s">
        <v>3459</v>
      </c>
      <c r="D330" s="1" t="s">
        <v>3460</v>
      </c>
    </row>
    <row r="331" spans="1:4" ht="18" customHeight="1" x14ac:dyDescent="0.25">
      <c r="A331" s="1" t="s">
        <v>3528</v>
      </c>
      <c r="B331" s="1" t="s">
        <v>2240</v>
      </c>
      <c r="C331" s="1" t="s">
        <v>3459</v>
      </c>
      <c r="D331" s="1" t="s">
        <v>3460</v>
      </c>
    </row>
    <row r="332" spans="1:4" ht="18" customHeight="1" x14ac:dyDescent="0.25">
      <c r="A332" s="1" t="s">
        <v>3529</v>
      </c>
      <c r="B332" s="1" t="s">
        <v>2242</v>
      </c>
      <c r="C332" s="1" t="s">
        <v>3459</v>
      </c>
      <c r="D332" s="1" t="s">
        <v>3460</v>
      </c>
    </row>
    <row r="333" spans="1:4" ht="18" customHeight="1" x14ac:dyDescent="0.25">
      <c r="A333" s="1" t="s">
        <v>3531</v>
      </c>
      <c r="B333" s="1" t="s">
        <v>2246</v>
      </c>
      <c r="C333" s="1" t="s">
        <v>3459</v>
      </c>
      <c r="D333" s="1" t="s">
        <v>3460</v>
      </c>
    </row>
    <row r="334" spans="1:4" ht="18" customHeight="1" x14ac:dyDescent="0.25">
      <c r="A334" s="1" t="s">
        <v>3539</v>
      </c>
      <c r="B334" s="1" t="s">
        <v>2264</v>
      </c>
      <c r="C334" s="1" t="s">
        <v>3459</v>
      </c>
      <c r="D334" s="1" t="s">
        <v>3460</v>
      </c>
    </row>
    <row r="335" spans="1:4" ht="18" customHeight="1" x14ac:dyDescent="0.25">
      <c r="A335" s="1" t="s">
        <v>3544</v>
      </c>
      <c r="B335" s="1" t="s">
        <v>2273</v>
      </c>
      <c r="C335" s="1" t="s">
        <v>3459</v>
      </c>
      <c r="D335" s="1" t="s">
        <v>3460</v>
      </c>
    </row>
    <row r="336" spans="1:4" ht="18" customHeight="1" x14ac:dyDescent="0.25">
      <c r="A336" s="1" t="s">
        <v>3546</v>
      </c>
      <c r="B336" s="1" t="s">
        <v>2277</v>
      </c>
      <c r="C336" s="1" t="s">
        <v>3459</v>
      </c>
      <c r="D336" s="1" t="s">
        <v>3460</v>
      </c>
    </row>
    <row r="337" spans="1:4" ht="18" customHeight="1" x14ac:dyDescent="0.25">
      <c r="A337" s="1" t="s">
        <v>3577</v>
      </c>
      <c r="B337" s="1" t="s">
        <v>2338</v>
      </c>
      <c r="C337" s="1" t="s">
        <v>3459</v>
      </c>
      <c r="D337" s="1" t="s">
        <v>3460</v>
      </c>
    </row>
    <row r="338" spans="1:4" ht="18" customHeight="1" x14ac:dyDescent="0.25">
      <c r="A338" s="1" t="s">
        <v>3578</v>
      </c>
      <c r="B338" s="1" t="s">
        <v>2340</v>
      </c>
      <c r="C338" s="1" t="s">
        <v>3459</v>
      </c>
      <c r="D338" s="1" t="s">
        <v>3460</v>
      </c>
    </row>
    <row r="339" spans="1:4" ht="18" customHeight="1" x14ac:dyDescent="0.25">
      <c r="A339" s="1" t="s">
        <v>3592</v>
      </c>
      <c r="B339" s="1" t="s">
        <v>2367</v>
      </c>
      <c r="C339" s="1" t="s">
        <v>3459</v>
      </c>
      <c r="D339" s="1" t="s">
        <v>3460</v>
      </c>
    </row>
    <row r="340" spans="1:4" ht="18" customHeight="1" x14ac:dyDescent="0.25">
      <c r="A340" s="1" t="s">
        <v>3596</v>
      </c>
      <c r="B340" s="1" t="s">
        <v>2374</v>
      </c>
      <c r="C340" s="1" t="s">
        <v>3459</v>
      </c>
      <c r="D340" s="1" t="s">
        <v>3460</v>
      </c>
    </row>
    <row r="341" spans="1:4" ht="18" customHeight="1" x14ac:dyDescent="0.25">
      <c r="A341" s="1" t="s">
        <v>3602</v>
      </c>
      <c r="B341" s="1" t="s">
        <v>2386</v>
      </c>
      <c r="C341" s="1" t="s">
        <v>3459</v>
      </c>
      <c r="D341" s="1" t="s">
        <v>3460</v>
      </c>
    </row>
    <row r="342" spans="1:4" ht="18" customHeight="1" x14ac:dyDescent="0.25">
      <c r="A342" s="1" t="s">
        <v>3603</v>
      </c>
      <c r="B342" s="1" t="s">
        <v>2388</v>
      </c>
      <c r="C342" s="1" t="s">
        <v>3459</v>
      </c>
      <c r="D342" s="1" t="s">
        <v>3460</v>
      </c>
    </row>
    <row r="343" spans="1:4" ht="18" customHeight="1" x14ac:dyDescent="0.25">
      <c r="A343" s="1" t="s">
        <v>3605</v>
      </c>
      <c r="B343" s="1" t="s">
        <v>2392</v>
      </c>
      <c r="C343" s="1" t="s">
        <v>3459</v>
      </c>
      <c r="D343" s="1" t="s">
        <v>3460</v>
      </c>
    </row>
    <row r="344" spans="1:4" ht="18" customHeight="1" x14ac:dyDescent="0.25">
      <c r="A344" s="1" t="s">
        <v>3607</v>
      </c>
      <c r="B344" s="1" t="s">
        <v>2396</v>
      </c>
      <c r="C344" s="1" t="s">
        <v>3459</v>
      </c>
      <c r="D344" s="1" t="s">
        <v>3460</v>
      </c>
    </row>
    <row r="345" spans="1:4" ht="18" customHeight="1" x14ac:dyDescent="0.25">
      <c r="A345" s="1" t="s">
        <v>3609</v>
      </c>
      <c r="B345" s="1" t="s">
        <v>2399</v>
      </c>
      <c r="C345" s="1" t="s">
        <v>3459</v>
      </c>
      <c r="D345" s="1" t="s">
        <v>3460</v>
      </c>
    </row>
    <row r="346" spans="1:4" ht="18" customHeight="1" x14ac:dyDescent="0.25">
      <c r="A346" s="1" t="s">
        <v>3611</v>
      </c>
      <c r="B346" s="1" t="s">
        <v>2402</v>
      </c>
      <c r="C346" s="1" t="s">
        <v>3459</v>
      </c>
      <c r="D346" s="1" t="s">
        <v>3460</v>
      </c>
    </row>
    <row r="347" spans="1:4" ht="18" customHeight="1" x14ac:dyDescent="0.25">
      <c r="A347" s="1" t="s">
        <v>3620</v>
      </c>
      <c r="B347" s="1" t="s">
        <v>2420</v>
      </c>
      <c r="C347" s="1" t="s">
        <v>3459</v>
      </c>
      <c r="D347" s="1" t="s">
        <v>3460</v>
      </c>
    </row>
    <row r="348" spans="1:4" ht="18" customHeight="1" x14ac:dyDescent="0.25">
      <c r="A348" s="1" t="s">
        <v>3623</v>
      </c>
      <c r="B348" s="1" t="s">
        <v>2426</v>
      </c>
      <c r="C348" s="1" t="s">
        <v>3459</v>
      </c>
      <c r="D348" s="1" t="s">
        <v>3460</v>
      </c>
    </row>
    <row r="349" spans="1:4" ht="18" customHeight="1" x14ac:dyDescent="0.25">
      <c r="A349" s="1" t="s">
        <v>3628</v>
      </c>
      <c r="B349" s="1" t="s">
        <v>2435</v>
      </c>
      <c r="C349" s="1" t="s">
        <v>3459</v>
      </c>
      <c r="D349" s="1" t="s">
        <v>3460</v>
      </c>
    </row>
    <row r="350" spans="1:4" ht="18" customHeight="1" x14ac:dyDescent="0.25">
      <c r="A350" s="1" t="s">
        <v>3632</v>
      </c>
      <c r="B350" s="1" t="s">
        <v>2443</v>
      </c>
      <c r="C350" s="1" t="s">
        <v>3459</v>
      </c>
      <c r="D350" s="1" t="s">
        <v>3460</v>
      </c>
    </row>
    <row r="351" spans="1:4" ht="18" customHeight="1" x14ac:dyDescent="0.25">
      <c r="A351" s="1" t="s">
        <v>3665</v>
      </c>
      <c r="B351" s="1" t="s">
        <v>2505</v>
      </c>
      <c r="C351" s="1" t="s">
        <v>3459</v>
      </c>
      <c r="D351" s="1" t="s">
        <v>3460</v>
      </c>
    </row>
    <row r="352" spans="1:4" ht="18" customHeight="1" x14ac:dyDescent="0.25">
      <c r="A352" s="1" t="s">
        <v>3670</v>
      </c>
      <c r="B352" s="1" t="s">
        <v>2515</v>
      </c>
      <c r="C352" s="1" t="s">
        <v>3459</v>
      </c>
      <c r="D352" s="1" t="s">
        <v>3460</v>
      </c>
    </row>
    <row r="353" spans="1:4" ht="18" customHeight="1" x14ac:dyDescent="0.25">
      <c r="A353" s="1" t="s">
        <v>3672</v>
      </c>
      <c r="B353" s="1" t="s">
        <v>2519</v>
      </c>
      <c r="C353" s="1" t="s">
        <v>3459</v>
      </c>
      <c r="D353" s="1" t="s">
        <v>3460</v>
      </c>
    </row>
    <row r="354" spans="1:4" ht="18" customHeight="1" x14ac:dyDescent="0.25">
      <c r="A354" s="1" t="s">
        <v>3683</v>
      </c>
      <c r="B354" s="1" t="s">
        <v>2541</v>
      </c>
      <c r="C354" s="1" t="s">
        <v>3459</v>
      </c>
      <c r="D354" s="1" t="s">
        <v>3460</v>
      </c>
    </row>
    <row r="355" spans="1:4" ht="18" customHeight="1" x14ac:dyDescent="0.25">
      <c r="A355" s="1" t="s">
        <v>3685</v>
      </c>
      <c r="B355" s="1" t="s">
        <v>2545</v>
      </c>
      <c r="C355" s="1" t="s">
        <v>3459</v>
      </c>
      <c r="D355" s="1" t="s">
        <v>3460</v>
      </c>
    </row>
    <row r="356" spans="1:4" ht="18" customHeight="1" x14ac:dyDescent="0.25">
      <c r="A356" s="1" t="s">
        <v>3690</v>
      </c>
      <c r="B356" s="1" t="s">
        <v>2554</v>
      </c>
      <c r="C356" s="1" t="s">
        <v>3459</v>
      </c>
      <c r="D356" s="1" t="s">
        <v>3460</v>
      </c>
    </row>
    <row r="357" spans="1:4" ht="18" customHeight="1" x14ac:dyDescent="0.25">
      <c r="A357" s="1" t="s">
        <v>3695</v>
      </c>
      <c r="B357" s="1" t="s">
        <v>2564</v>
      </c>
      <c r="C357" s="1" t="s">
        <v>3459</v>
      </c>
      <c r="D357" s="1" t="s">
        <v>3460</v>
      </c>
    </row>
    <row r="358" spans="1:4" ht="18" customHeight="1" x14ac:dyDescent="0.25">
      <c r="A358" s="1" t="s">
        <v>3697</v>
      </c>
      <c r="B358" s="1" t="s">
        <v>2568</v>
      </c>
      <c r="C358" s="1" t="s">
        <v>3459</v>
      </c>
      <c r="D358" s="1" t="s">
        <v>3460</v>
      </c>
    </row>
    <row r="359" spans="1:4" ht="18" customHeight="1" x14ac:dyDescent="0.25">
      <c r="A359" s="1" t="s">
        <v>3704</v>
      </c>
      <c r="B359" s="1" t="s">
        <v>2582</v>
      </c>
      <c r="C359" s="1" t="s">
        <v>3459</v>
      </c>
      <c r="D359" s="1" t="s">
        <v>3460</v>
      </c>
    </row>
    <row r="360" spans="1:4" ht="18" customHeight="1" x14ac:dyDescent="0.25">
      <c r="A360" s="1" t="s">
        <v>3712</v>
      </c>
      <c r="B360" s="1" t="s">
        <v>2596</v>
      </c>
      <c r="C360" s="1" t="s">
        <v>3459</v>
      </c>
      <c r="D360" s="1" t="s">
        <v>3460</v>
      </c>
    </row>
    <row r="361" spans="1:4" ht="18" customHeight="1" x14ac:dyDescent="0.25">
      <c r="A361" s="1" t="s">
        <v>3715</v>
      </c>
      <c r="B361" s="1" t="s">
        <v>2602</v>
      </c>
      <c r="C361" s="1" t="s">
        <v>3459</v>
      </c>
      <c r="D361" s="1" t="s">
        <v>3460</v>
      </c>
    </row>
    <row r="362" spans="1:4" ht="18" customHeight="1" x14ac:dyDescent="0.25">
      <c r="A362" s="1" t="s">
        <v>3724</v>
      </c>
      <c r="B362" s="1" t="s">
        <v>2619</v>
      </c>
      <c r="C362" s="1" t="s">
        <v>3459</v>
      </c>
      <c r="D362" s="1" t="s">
        <v>3460</v>
      </c>
    </row>
    <row r="363" spans="1:4" ht="18" customHeight="1" x14ac:dyDescent="0.25">
      <c r="A363" s="1" t="s">
        <v>3735</v>
      </c>
      <c r="B363" s="1" t="s">
        <v>2641</v>
      </c>
      <c r="C363" s="1" t="s">
        <v>3459</v>
      </c>
      <c r="D363" s="1" t="s">
        <v>3460</v>
      </c>
    </row>
    <row r="364" spans="1:4" ht="18" customHeight="1" x14ac:dyDescent="0.25">
      <c r="A364" s="1" t="s">
        <v>3740</v>
      </c>
      <c r="B364" s="1" t="s">
        <v>2650</v>
      </c>
      <c r="C364" s="1" t="s">
        <v>3459</v>
      </c>
      <c r="D364" s="1" t="s">
        <v>3460</v>
      </c>
    </row>
    <row r="365" spans="1:4" ht="18" customHeight="1" x14ac:dyDescent="0.25">
      <c r="A365" s="1" t="s">
        <v>3743</v>
      </c>
      <c r="B365" s="1" t="s">
        <v>2656</v>
      </c>
      <c r="C365" s="1" t="s">
        <v>3459</v>
      </c>
      <c r="D365" s="1" t="s">
        <v>3460</v>
      </c>
    </row>
    <row r="366" spans="1:4" ht="18" customHeight="1" x14ac:dyDescent="0.25">
      <c r="A366" s="1" t="s">
        <v>3745</v>
      </c>
      <c r="B366" s="1" t="s">
        <v>2660</v>
      </c>
      <c r="C366" s="1" t="s">
        <v>3459</v>
      </c>
      <c r="D366" s="1" t="s">
        <v>3460</v>
      </c>
    </row>
    <row r="367" spans="1:4" ht="18" customHeight="1" x14ac:dyDescent="0.25">
      <c r="A367" s="1" t="s">
        <v>3751</v>
      </c>
      <c r="B367" s="1" t="s">
        <v>2672</v>
      </c>
      <c r="C367" s="1" t="s">
        <v>3459</v>
      </c>
      <c r="D367" s="1" t="s">
        <v>3460</v>
      </c>
    </row>
    <row r="368" spans="1:4" ht="18" customHeight="1" x14ac:dyDescent="0.25">
      <c r="A368" s="1" t="s">
        <v>3753</v>
      </c>
      <c r="B368" s="1" t="s">
        <v>2675</v>
      </c>
      <c r="C368" s="1" t="s">
        <v>3459</v>
      </c>
      <c r="D368" s="1" t="s">
        <v>3460</v>
      </c>
    </row>
    <row r="369" spans="1:4" ht="18" customHeight="1" x14ac:dyDescent="0.25">
      <c r="A369" s="1" t="s">
        <v>3754</v>
      </c>
      <c r="B369" s="1" t="s">
        <v>2677</v>
      </c>
      <c r="C369" s="1" t="s">
        <v>3459</v>
      </c>
      <c r="D369" s="1" t="s">
        <v>3460</v>
      </c>
    </row>
    <row r="370" spans="1:4" ht="18" customHeight="1" x14ac:dyDescent="0.25">
      <c r="A370" s="1" t="s">
        <v>3755</v>
      </c>
      <c r="B370" s="1" t="s">
        <v>2679</v>
      </c>
      <c r="C370" s="1" t="s">
        <v>3459</v>
      </c>
      <c r="D370" s="1" t="s">
        <v>3460</v>
      </c>
    </row>
    <row r="371" spans="1:4" ht="18" customHeight="1" x14ac:dyDescent="0.25">
      <c r="A371" s="1" t="s">
        <v>3760</v>
      </c>
      <c r="B371" s="1" t="s">
        <v>2687</v>
      </c>
      <c r="C371" s="1" t="s">
        <v>3459</v>
      </c>
      <c r="D371" s="1" t="s">
        <v>3460</v>
      </c>
    </row>
    <row r="372" spans="1:4" ht="18" customHeight="1" x14ac:dyDescent="0.25">
      <c r="A372" s="1" t="s">
        <v>3764</v>
      </c>
      <c r="B372" s="1" t="s">
        <v>2694</v>
      </c>
      <c r="C372" s="1" t="s">
        <v>3459</v>
      </c>
      <c r="D372" s="1" t="s">
        <v>3460</v>
      </c>
    </row>
    <row r="373" spans="1:4" ht="18" customHeight="1" x14ac:dyDescent="0.25">
      <c r="A373" s="1" t="s">
        <v>3779</v>
      </c>
      <c r="B373" s="1" t="s">
        <v>2720</v>
      </c>
      <c r="C373" s="1" t="s">
        <v>3459</v>
      </c>
      <c r="D373" s="1" t="s">
        <v>3460</v>
      </c>
    </row>
    <row r="374" spans="1:4" ht="18" customHeight="1" x14ac:dyDescent="0.25">
      <c r="A374" s="1" t="s">
        <v>3781</v>
      </c>
      <c r="B374" s="1" t="s">
        <v>2724</v>
      </c>
      <c r="C374" s="1" t="s">
        <v>3459</v>
      </c>
      <c r="D374" s="1" t="s">
        <v>3460</v>
      </c>
    </row>
    <row r="375" spans="1:4" ht="18" customHeight="1" x14ac:dyDescent="0.25">
      <c r="A375" s="1" t="s">
        <v>3782</v>
      </c>
      <c r="B375" s="1" t="s">
        <v>2726</v>
      </c>
      <c r="C375" s="1" t="s">
        <v>3459</v>
      </c>
      <c r="D375" s="1" t="s">
        <v>3460</v>
      </c>
    </row>
    <row r="376" spans="1:4" ht="18" customHeight="1" x14ac:dyDescent="0.25">
      <c r="A376" s="1" t="s">
        <v>3786</v>
      </c>
      <c r="B376" s="1" t="s">
        <v>2733</v>
      </c>
      <c r="C376" s="1" t="s">
        <v>3459</v>
      </c>
      <c r="D376" s="1" t="s">
        <v>3460</v>
      </c>
    </row>
    <row r="377" spans="1:4" ht="18" customHeight="1" x14ac:dyDescent="0.25">
      <c r="A377" s="1" t="s">
        <v>3788</v>
      </c>
      <c r="B377" s="1" t="s">
        <v>2737</v>
      </c>
      <c r="C377" s="1" t="s">
        <v>3459</v>
      </c>
      <c r="D377" s="1" t="s">
        <v>3460</v>
      </c>
    </row>
    <row r="378" spans="1:4" ht="18" customHeight="1" x14ac:dyDescent="0.25">
      <c r="A378" s="1" t="s">
        <v>3790</v>
      </c>
      <c r="B378" s="1" t="s">
        <v>2740</v>
      </c>
      <c r="C378" s="1" t="s">
        <v>3459</v>
      </c>
      <c r="D378" s="1" t="s">
        <v>3460</v>
      </c>
    </row>
    <row r="379" spans="1:4" ht="18" customHeight="1" x14ac:dyDescent="0.25">
      <c r="A379" s="1" t="s">
        <v>3792</v>
      </c>
      <c r="B379" s="1" t="s">
        <v>2743</v>
      </c>
      <c r="C379" s="1" t="s">
        <v>3459</v>
      </c>
      <c r="D379" s="1" t="s">
        <v>3460</v>
      </c>
    </row>
    <row r="380" spans="1:4" ht="18" customHeight="1" x14ac:dyDescent="0.25">
      <c r="A380" s="1" t="s">
        <v>3802</v>
      </c>
      <c r="B380" s="1" t="s">
        <v>2763</v>
      </c>
      <c r="C380" s="1" t="s">
        <v>3459</v>
      </c>
      <c r="D380" s="1" t="s">
        <v>3460</v>
      </c>
    </row>
    <row r="381" spans="1:4" ht="18" customHeight="1" x14ac:dyDescent="0.25">
      <c r="A381" s="1" t="s">
        <v>3812</v>
      </c>
      <c r="B381" s="1" t="s">
        <v>2781</v>
      </c>
      <c r="C381" s="1" t="s">
        <v>3459</v>
      </c>
      <c r="D381" s="1" t="s">
        <v>3460</v>
      </c>
    </row>
    <row r="382" spans="1:4" ht="18" customHeight="1" x14ac:dyDescent="0.25">
      <c r="A382" s="1" t="s">
        <v>3819</v>
      </c>
      <c r="B382" s="1" t="s">
        <v>2792</v>
      </c>
      <c r="C382" s="1" t="s">
        <v>3459</v>
      </c>
      <c r="D382" s="1" t="s">
        <v>3460</v>
      </c>
    </row>
    <row r="383" spans="1:4" ht="18" customHeight="1" x14ac:dyDescent="0.25">
      <c r="A383" s="1" t="s">
        <v>3823</v>
      </c>
      <c r="B383" s="1" t="s">
        <v>2800</v>
      </c>
      <c r="C383" s="1" t="s">
        <v>3459</v>
      </c>
      <c r="D383" s="1" t="s">
        <v>3460</v>
      </c>
    </row>
    <row r="384" spans="1:4" ht="18" customHeight="1" x14ac:dyDescent="0.25">
      <c r="A384" s="1" t="s">
        <v>3829</v>
      </c>
      <c r="B384" s="1" t="s">
        <v>2810</v>
      </c>
      <c r="C384" s="1" t="s">
        <v>3459</v>
      </c>
      <c r="D384" s="1" t="s">
        <v>3460</v>
      </c>
    </row>
    <row r="385" spans="1:4" ht="18" customHeight="1" x14ac:dyDescent="0.25">
      <c r="A385" s="1" t="s">
        <v>3837</v>
      </c>
      <c r="B385" s="1" t="s">
        <v>2826</v>
      </c>
      <c r="C385" s="1" t="s">
        <v>3459</v>
      </c>
      <c r="D385" s="1" t="s">
        <v>3460</v>
      </c>
    </row>
    <row r="386" spans="1:4" ht="18" customHeight="1" x14ac:dyDescent="0.25">
      <c r="A386" s="1" t="s">
        <v>3840</v>
      </c>
      <c r="B386" s="1" t="s">
        <v>2831</v>
      </c>
      <c r="C386" s="1" t="s">
        <v>3459</v>
      </c>
      <c r="D386" s="1" t="s">
        <v>3460</v>
      </c>
    </row>
    <row r="387" spans="1:4" ht="18" customHeight="1" x14ac:dyDescent="0.25">
      <c r="A387" s="1" t="s">
        <v>3853</v>
      </c>
      <c r="B387" s="1" t="s">
        <v>2855</v>
      </c>
      <c r="C387" s="1" t="s">
        <v>3459</v>
      </c>
      <c r="D387" s="1" t="s">
        <v>3460</v>
      </c>
    </row>
    <row r="388" spans="1:4" ht="18" customHeight="1" x14ac:dyDescent="0.25">
      <c r="A388" s="1" t="s">
        <v>3858</v>
      </c>
      <c r="B388" s="1" t="s">
        <v>2864</v>
      </c>
      <c r="C388" s="1" t="s">
        <v>3459</v>
      </c>
      <c r="D388" s="1" t="s">
        <v>3460</v>
      </c>
    </row>
    <row r="389" spans="1:4" ht="18" customHeight="1" x14ac:dyDescent="0.25">
      <c r="A389" s="1" t="s">
        <v>3871</v>
      </c>
      <c r="B389" s="1" t="s">
        <v>2885</v>
      </c>
      <c r="C389" s="1" t="s">
        <v>3459</v>
      </c>
      <c r="D389" s="1" t="s">
        <v>3460</v>
      </c>
    </row>
    <row r="390" spans="1:4" ht="18" customHeight="1" x14ac:dyDescent="0.25">
      <c r="A390" s="1" t="s">
        <v>3878</v>
      </c>
      <c r="B390" s="1" t="s">
        <v>2895</v>
      </c>
      <c r="C390" s="1" t="s">
        <v>3459</v>
      </c>
      <c r="D390" s="1" t="s">
        <v>3460</v>
      </c>
    </row>
    <row r="391" spans="1:4" ht="18" customHeight="1" x14ac:dyDescent="0.25">
      <c r="A391" s="1" t="s">
        <v>3883</v>
      </c>
      <c r="B391" s="1" t="s">
        <v>2905</v>
      </c>
      <c r="C391" s="1" t="s">
        <v>3459</v>
      </c>
      <c r="D391" s="1" t="s">
        <v>3460</v>
      </c>
    </row>
    <row r="392" spans="1:4" ht="18" customHeight="1" x14ac:dyDescent="0.25">
      <c r="A392" s="1" t="s">
        <v>3889</v>
      </c>
      <c r="B392" s="1" t="s">
        <v>2916</v>
      </c>
      <c r="C392" s="1" t="s">
        <v>3459</v>
      </c>
      <c r="D392" s="1" t="s">
        <v>3460</v>
      </c>
    </row>
    <row r="393" spans="1:4" ht="18" customHeight="1" x14ac:dyDescent="0.25">
      <c r="A393" s="1" t="s">
        <v>3890</v>
      </c>
      <c r="B393" s="1" t="s">
        <v>2917</v>
      </c>
      <c r="C393" s="1" t="s">
        <v>3459</v>
      </c>
      <c r="D393" s="1" t="s">
        <v>3460</v>
      </c>
    </row>
    <row r="394" spans="1:4" ht="18" customHeight="1" x14ac:dyDescent="0.25">
      <c r="A394" s="1" t="s">
        <v>3898</v>
      </c>
      <c r="B394" s="1" t="s">
        <v>2931</v>
      </c>
      <c r="C394" s="1" t="s">
        <v>3459</v>
      </c>
      <c r="D394" s="1" t="s">
        <v>3460</v>
      </c>
    </row>
    <row r="395" spans="1:4" ht="18" customHeight="1" x14ac:dyDescent="0.25">
      <c r="A395" s="1" t="s">
        <v>3906</v>
      </c>
      <c r="B395" s="1" t="s">
        <v>2942</v>
      </c>
      <c r="C395" s="1" t="s">
        <v>3459</v>
      </c>
      <c r="D395" s="1" t="s">
        <v>3460</v>
      </c>
    </row>
    <row r="396" spans="1:4" ht="18" customHeight="1" x14ac:dyDescent="0.25">
      <c r="A396" s="1" t="s">
        <v>3907</v>
      </c>
      <c r="B396" s="1" t="s">
        <v>2944</v>
      </c>
      <c r="C396" s="1" t="s">
        <v>3459</v>
      </c>
      <c r="D396" s="1" t="s">
        <v>3460</v>
      </c>
    </row>
    <row r="397" spans="1:4" ht="18" customHeight="1" x14ac:dyDescent="0.25">
      <c r="A397" s="1" t="s">
        <v>3909</v>
      </c>
      <c r="B397" s="1" t="s">
        <v>2948</v>
      </c>
      <c r="C397" s="1" t="s">
        <v>3459</v>
      </c>
      <c r="D397" s="1" t="s">
        <v>3460</v>
      </c>
    </row>
    <row r="398" spans="1:4" ht="18" customHeight="1" x14ac:dyDescent="0.25">
      <c r="A398" s="1" t="s">
        <v>3917</v>
      </c>
      <c r="B398" s="1" t="s">
        <v>2961</v>
      </c>
      <c r="C398" s="1" t="s">
        <v>3459</v>
      </c>
      <c r="D398" s="1" t="s">
        <v>3460</v>
      </c>
    </row>
    <row r="399" spans="1:4" ht="18" customHeight="1" x14ac:dyDescent="0.25">
      <c r="A399" s="1" t="s">
        <v>3919</v>
      </c>
      <c r="B399" s="1" t="s">
        <v>2965</v>
      </c>
      <c r="C399" s="1" t="s">
        <v>3459</v>
      </c>
      <c r="D399" s="1" t="s">
        <v>3460</v>
      </c>
    </row>
    <row r="400" spans="1:4" ht="18" customHeight="1" x14ac:dyDescent="0.25">
      <c r="A400" s="1" t="s">
        <v>3925</v>
      </c>
      <c r="B400" s="1" t="s">
        <v>2977</v>
      </c>
      <c r="C400" s="1" t="s">
        <v>3459</v>
      </c>
      <c r="D400" s="1" t="s">
        <v>3460</v>
      </c>
    </row>
    <row r="401" spans="1:4" ht="18" customHeight="1" x14ac:dyDescent="0.25">
      <c r="A401" s="1" t="s">
        <v>3943</v>
      </c>
      <c r="B401" s="1" t="s">
        <v>3007</v>
      </c>
      <c r="C401" s="1" t="s">
        <v>3459</v>
      </c>
      <c r="D401" s="1" t="s">
        <v>3460</v>
      </c>
    </row>
    <row r="402" spans="1:4" ht="18" customHeight="1" x14ac:dyDescent="0.25">
      <c r="A402" s="1" t="s">
        <v>3945</v>
      </c>
      <c r="B402" s="1" t="s">
        <v>3011</v>
      </c>
      <c r="C402" s="1" t="s">
        <v>3459</v>
      </c>
      <c r="D402" s="1" t="s">
        <v>3460</v>
      </c>
    </row>
    <row r="403" spans="1:4" ht="18" customHeight="1" x14ac:dyDescent="0.25">
      <c r="A403" s="1" t="s">
        <v>3954</v>
      </c>
      <c r="B403" s="1" t="s">
        <v>3028</v>
      </c>
      <c r="C403" s="1" t="s">
        <v>3459</v>
      </c>
      <c r="D403" s="1" t="s">
        <v>3460</v>
      </c>
    </row>
    <row r="404" spans="1:4" ht="18" customHeight="1" x14ac:dyDescent="0.25">
      <c r="A404" s="1" t="s">
        <v>3955</v>
      </c>
      <c r="B404" s="1" t="s">
        <v>3030</v>
      </c>
      <c r="C404" s="1" t="s">
        <v>3459</v>
      </c>
      <c r="D404" s="1" t="s">
        <v>3460</v>
      </c>
    </row>
    <row r="405" spans="1:4" ht="18" customHeight="1" x14ac:dyDescent="0.25">
      <c r="A405" s="1" t="s">
        <v>3962</v>
      </c>
      <c r="B405" s="1" t="s">
        <v>3043</v>
      </c>
      <c r="C405" s="1" t="s">
        <v>3459</v>
      </c>
      <c r="D405" s="1" t="s">
        <v>3460</v>
      </c>
    </row>
    <row r="406" spans="1:4" ht="18" customHeight="1" x14ac:dyDescent="0.25">
      <c r="A406" s="1" t="s">
        <v>3476</v>
      </c>
      <c r="B406" s="1" t="s">
        <v>2128</v>
      </c>
      <c r="C406" s="1" t="s">
        <v>3477</v>
      </c>
      <c r="D406" s="1" t="s">
        <v>3478</v>
      </c>
    </row>
    <row r="407" spans="1:4" ht="18" customHeight="1" x14ac:dyDescent="0.25">
      <c r="A407" s="1" t="s">
        <v>3484</v>
      </c>
      <c r="B407" s="1" t="s">
        <v>2144</v>
      </c>
      <c r="C407" s="1" t="s">
        <v>3477</v>
      </c>
      <c r="D407" s="1" t="s">
        <v>3478</v>
      </c>
    </row>
    <row r="408" spans="1:4" ht="18" customHeight="1" x14ac:dyDescent="0.25">
      <c r="A408" s="1" t="s">
        <v>3491</v>
      </c>
      <c r="B408" s="1" t="s">
        <v>2161</v>
      </c>
      <c r="C408" s="1" t="s">
        <v>3477</v>
      </c>
      <c r="D408" s="1" t="s">
        <v>3478</v>
      </c>
    </row>
    <row r="409" spans="1:4" ht="18" customHeight="1" x14ac:dyDescent="0.25">
      <c r="A409" s="1" t="s">
        <v>3492</v>
      </c>
      <c r="B409" s="1" t="s">
        <v>2164</v>
      </c>
      <c r="C409" s="1" t="s">
        <v>3477</v>
      </c>
      <c r="D409" s="1" t="s">
        <v>3478</v>
      </c>
    </row>
    <row r="410" spans="1:4" ht="18" customHeight="1" x14ac:dyDescent="0.25">
      <c r="A410" s="1" t="s">
        <v>3496</v>
      </c>
      <c r="B410" s="1" t="s">
        <v>2173</v>
      </c>
      <c r="C410" s="1" t="s">
        <v>3477</v>
      </c>
      <c r="D410" s="1" t="s">
        <v>3478</v>
      </c>
    </row>
    <row r="411" spans="1:4" ht="18" customHeight="1" x14ac:dyDescent="0.25">
      <c r="A411" s="1" t="s">
        <v>3503</v>
      </c>
      <c r="B411" s="1" t="s">
        <v>2189</v>
      </c>
      <c r="C411" s="1" t="s">
        <v>3477</v>
      </c>
      <c r="D411" s="1" t="s">
        <v>3478</v>
      </c>
    </row>
    <row r="412" spans="1:4" ht="18" customHeight="1" x14ac:dyDescent="0.25">
      <c r="A412" s="1" t="s">
        <v>3506</v>
      </c>
      <c r="B412" s="1" t="s">
        <v>2195</v>
      </c>
      <c r="C412" s="1" t="s">
        <v>3477</v>
      </c>
      <c r="D412" s="1" t="s">
        <v>3478</v>
      </c>
    </row>
    <row r="413" spans="1:4" ht="18" customHeight="1" x14ac:dyDescent="0.25">
      <c r="A413" s="1" t="s">
        <v>3510</v>
      </c>
      <c r="B413" s="1" t="s">
        <v>2204</v>
      </c>
      <c r="C413" s="1" t="s">
        <v>3477</v>
      </c>
      <c r="D413" s="1" t="s">
        <v>3478</v>
      </c>
    </row>
    <row r="414" spans="1:4" ht="18" customHeight="1" x14ac:dyDescent="0.25">
      <c r="A414" s="1" t="s">
        <v>3512</v>
      </c>
      <c r="B414" s="1" t="s">
        <v>2207</v>
      </c>
      <c r="C414" s="1" t="s">
        <v>3477</v>
      </c>
      <c r="D414" s="1" t="s">
        <v>3478</v>
      </c>
    </row>
    <row r="415" spans="1:4" ht="18" customHeight="1" x14ac:dyDescent="0.25">
      <c r="A415" s="1" t="s">
        <v>3516</v>
      </c>
      <c r="B415" s="1" t="s">
        <v>2215</v>
      </c>
      <c r="C415" s="1" t="s">
        <v>3477</v>
      </c>
      <c r="D415" s="1" t="s">
        <v>3478</v>
      </c>
    </row>
    <row r="416" spans="1:4" ht="18" customHeight="1" x14ac:dyDescent="0.25">
      <c r="A416" s="1" t="s">
        <v>3517</v>
      </c>
      <c r="B416" s="1" t="s">
        <v>2218</v>
      </c>
      <c r="C416" s="1" t="s">
        <v>3477</v>
      </c>
      <c r="D416" s="1" t="s">
        <v>3478</v>
      </c>
    </row>
    <row r="417" spans="1:4" ht="18" customHeight="1" x14ac:dyDescent="0.25">
      <c r="A417" s="1" t="s">
        <v>3518</v>
      </c>
      <c r="B417" s="1" t="s">
        <v>2220</v>
      </c>
      <c r="C417" s="1" t="s">
        <v>3477</v>
      </c>
      <c r="D417" s="1" t="s">
        <v>3478</v>
      </c>
    </row>
    <row r="418" spans="1:4" ht="18" customHeight="1" x14ac:dyDescent="0.25">
      <c r="A418" s="1" t="s">
        <v>3520</v>
      </c>
      <c r="B418" s="1" t="s">
        <v>2224</v>
      </c>
      <c r="C418" s="1" t="s">
        <v>3477</v>
      </c>
      <c r="D418" s="1" t="s">
        <v>3478</v>
      </c>
    </row>
    <row r="419" spans="1:4" ht="18" customHeight="1" x14ac:dyDescent="0.25">
      <c r="A419" s="1" t="s">
        <v>3521</v>
      </c>
      <c r="B419" s="1" t="s">
        <v>2226</v>
      </c>
      <c r="C419" s="1" t="s">
        <v>3477</v>
      </c>
      <c r="D419" s="1" t="s">
        <v>3478</v>
      </c>
    </row>
    <row r="420" spans="1:4" ht="18" customHeight="1" x14ac:dyDescent="0.25">
      <c r="A420" s="1" t="s">
        <v>3532</v>
      </c>
      <c r="B420" s="1" t="s">
        <v>2249</v>
      </c>
      <c r="C420" s="1" t="s">
        <v>3477</v>
      </c>
      <c r="D420" s="1" t="s">
        <v>3478</v>
      </c>
    </row>
    <row r="421" spans="1:4" ht="18" customHeight="1" x14ac:dyDescent="0.25">
      <c r="A421" s="1" t="s">
        <v>3536</v>
      </c>
      <c r="B421" s="1" t="s">
        <v>2257</v>
      </c>
      <c r="C421" s="1" t="s">
        <v>3477</v>
      </c>
      <c r="D421" s="1" t="s">
        <v>3478</v>
      </c>
    </row>
    <row r="422" spans="1:4" ht="18" customHeight="1" x14ac:dyDescent="0.25">
      <c r="A422" s="1" t="s">
        <v>3543</v>
      </c>
      <c r="B422" s="1" t="s">
        <v>2271</v>
      </c>
      <c r="C422" s="1" t="s">
        <v>3477</v>
      </c>
      <c r="D422" s="1" t="s">
        <v>3478</v>
      </c>
    </row>
    <row r="423" spans="1:4" ht="18" customHeight="1" x14ac:dyDescent="0.25">
      <c r="A423" s="1" t="s">
        <v>3547</v>
      </c>
      <c r="B423" s="1" t="s">
        <v>2279</v>
      </c>
      <c r="C423" s="1" t="s">
        <v>3477</v>
      </c>
      <c r="D423" s="1" t="s">
        <v>3478</v>
      </c>
    </row>
    <row r="424" spans="1:4" ht="18" customHeight="1" x14ac:dyDescent="0.25">
      <c r="A424" s="1" t="s">
        <v>3554</v>
      </c>
      <c r="B424" s="1" t="s">
        <v>2292</v>
      </c>
      <c r="C424" s="1" t="s">
        <v>3477</v>
      </c>
      <c r="D424" s="1" t="s">
        <v>3478</v>
      </c>
    </row>
    <row r="425" spans="1:4" ht="18" customHeight="1" x14ac:dyDescent="0.25">
      <c r="A425" s="1" t="s">
        <v>3556</v>
      </c>
      <c r="B425" s="1" t="s">
        <v>2296</v>
      </c>
      <c r="C425" s="1" t="s">
        <v>3477</v>
      </c>
      <c r="D425" s="1" t="s">
        <v>3478</v>
      </c>
    </row>
    <row r="426" spans="1:4" ht="18" customHeight="1" x14ac:dyDescent="0.25">
      <c r="A426" s="1" t="s">
        <v>3561</v>
      </c>
      <c r="B426" s="1" t="s">
        <v>2306</v>
      </c>
      <c r="C426" s="1" t="s">
        <v>3477</v>
      </c>
      <c r="D426" s="1" t="s">
        <v>3478</v>
      </c>
    </row>
    <row r="427" spans="1:4" ht="18" customHeight="1" x14ac:dyDescent="0.25">
      <c r="A427" s="1" t="s">
        <v>3567</v>
      </c>
      <c r="B427" s="1" t="s">
        <v>2319</v>
      </c>
      <c r="C427" s="1" t="s">
        <v>3477</v>
      </c>
      <c r="D427" s="1" t="s">
        <v>3478</v>
      </c>
    </row>
    <row r="428" spans="1:4" ht="18" customHeight="1" x14ac:dyDescent="0.25">
      <c r="A428" s="1" t="s">
        <v>3576</v>
      </c>
      <c r="B428" s="1" t="s">
        <v>2336</v>
      </c>
      <c r="C428" s="1" t="s">
        <v>3477</v>
      </c>
      <c r="D428" s="1" t="s">
        <v>3478</v>
      </c>
    </row>
    <row r="429" spans="1:4" ht="18" customHeight="1" x14ac:dyDescent="0.25">
      <c r="A429" s="1" t="s">
        <v>3579</v>
      </c>
      <c r="B429" s="1" t="s">
        <v>2342</v>
      </c>
      <c r="C429" s="1" t="s">
        <v>3477</v>
      </c>
      <c r="D429" s="1" t="s">
        <v>3478</v>
      </c>
    </row>
    <row r="430" spans="1:4" ht="18" customHeight="1" x14ac:dyDescent="0.25">
      <c r="A430" s="1" t="s">
        <v>3580</v>
      </c>
      <c r="B430" s="1" t="s">
        <v>2344</v>
      </c>
      <c r="C430" s="1" t="s">
        <v>3477</v>
      </c>
      <c r="D430" s="1" t="s">
        <v>3478</v>
      </c>
    </row>
    <row r="431" spans="1:4" ht="18" customHeight="1" x14ac:dyDescent="0.25">
      <c r="A431" s="1" t="s">
        <v>3589</v>
      </c>
      <c r="B431" s="1" t="s">
        <v>2361</v>
      </c>
      <c r="C431" s="1" t="s">
        <v>3477</v>
      </c>
      <c r="D431" s="1" t="s">
        <v>3478</v>
      </c>
    </row>
    <row r="432" spans="1:4" ht="18" customHeight="1" x14ac:dyDescent="0.25">
      <c r="A432" s="1" t="s">
        <v>3594</v>
      </c>
      <c r="B432" s="1" t="s">
        <v>2371</v>
      </c>
      <c r="C432" s="1" t="s">
        <v>3477</v>
      </c>
      <c r="D432" s="1" t="s">
        <v>3478</v>
      </c>
    </row>
    <row r="433" spans="1:4" ht="18" customHeight="1" x14ac:dyDescent="0.25">
      <c r="A433" s="1" t="s">
        <v>3599</v>
      </c>
      <c r="B433" s="1" t="s">
        <v>2380</v>
      </c>
      <c r="C433" s="1" t="s">
        <v>3477</v>
      </c>
      <c r="D433" s="1" t="s">
        <v>3478</v>
      </c>
    </row>
    <row r="434" spans="1:4" ht="18" customHeight="1" x14ac:dyDescent="0.25">
      <c r="A434" s="1" t="s">
        <v>3604</v>
      </c>
      <c r="B434" s="1" t="s">
        <v>2390</v>
      </c>
      <c r="C434" s="1" t="s">
        <v>3477</v>
      </c>
      <c r="D434" s="1" t="s">
        <v>3478</v>
      </c>
    </row>
    <row r="435" spans="1:4" ht="18" customHeight="1" x14ac:dyDescent="0.25">
      <c r="A435" s="1" t="s">
        <v>3606</v>
      </c>
      <c r="B435" s="1" t="s">
        <v>2394</v>
      </c>
      <c r="C435" s="1" t="s">
        <v>3477</v>
      </c>
      <c r="D435" s="1" t="s">
        <v>3478</v>
      </c>
    </row>
    <row r="436" spans="1:4" ht="18" customHeight="1" x14ac:dyDescent="0.25">
      <c r="A436" s="1" t="s">
        <v>3622</v>
      </c>
      <c r="B436" s="1" t="s">
        <v>2424</v>
      </c>
      <c r="C436" s="1" t="s">
        <v>3477</v>
      </c>
      <c r="D436" s="1" t="s">
        <v>3478</v>
      </c>
    </row>
    <row r="437" spans="1:4" ht="18" customHeight="1" x14ac:dyDescent="0.25">
      <c r="A437" s="1" t="s">
        <v>3627</v>
      </c>
      <c r="B437" s="1" t="s">
        <v>2433</v>
      </c>
      <c r="C437" s="1" t="s">
        <v>3477</v>
      </c>
      <c r="D437" s="1" t="s">
        <v>3478</v>
      </c>
    </row>
    <row r="438" spans="1:4" ht="18" customHeight="1" x14ac:dyDescent="0.25">
      <c r="A438" s="1" t="s">
        <v>3639</v>
      </c>
      <c r="B438" s="1" t="s">
        <v>2457</v>
      </c>
      <c r="C438" s="1" t="s">
        <v>3477</v>
      </c>
      <c r="D438" s="1" t="s">
        <v>3478</v>
      </c>
    </row>
    <row r="439" spans="1:4" ht="18" customHeight="1" x14ac:dyDescent="0.25">
      <c r="A439" s="1" t="s">
        <v>3647</v>
      </c>
      <c r="B439" s="1" t="s">
        <v>2473</v>
      </c>
      <c r="C439" s="1" t="s">
        <v>3477</v>
      </c>
      <c r="D439" s="1" t="s">
        <v>3478</v>
      </c>
    </row>
    <row r="440" spans="1:4" ht="18" customHeight="1" x14ac:dyDescent="0.25">
      <c r="A440" s="1" t="s">
        <v>3653</v>
      </c>
      <c r="B440" s="1" t="s">
        <v>2484</v>
      </c>
      <c r="C440" s="1" t="s">
        <v>3477</v>
      </c>
      <c r="D440" s="1" t="s">
        <v>3478</v>
      </c>
    </row>
    <row r="441" spans="1:4" ht="18" customHeight="1" x14ac:dyDescent="0.25">
      <c r="A441" s="1" t="s">
        <v>3657</v>
      </c>
      <c r="B441" s="1" t="s">
        <v>2492</v>
      </c>
      <c r="C441" s="1" t="s">
        <v>3477</v>
      </c>
      <c r="D441" s="1" t="s">
        <v>3478</v>
      </c>
    </row>
    <row r="442" spans="1:4" ht="18" customHeight="1" x14ac:dyDescent="0.25">
      <c r="A442" s="1" t="s">
        <v>3658</v>
      </c>
      <c r="B442" s="1" t="s">
        <v>2494</v>
      </c>
      <c r="C442" s="1" t="s">
        <v>3477</v>
      </c>
      <c r="D442" s="1" t="s">
        <v>3478</v>
      </c>
    </row>
    <row r="443" spans="1:4" ht="18" customHeight="1" x14ac:dyDescent="0.25">
      <c r="A443" s="1" t="s">
        <v>3661</v>
      </c>
      <c r="B443" s="1" t="s">
        <v>2499</v>
      </c>
      <c r="C443" s="1" t="s">
        <v>3477</v>
      </c>
      <c r="D443" s="1" t="s">
        <v>3478</v>
      </c>
    </row>
    <row r="444" spans="1:4" ht="18" customHeight="1" x14ac:dyDescent="0.25">
      <c r="A444" s="1" t="s">
        <v>3662</v>
      </c>
      <c r="B444" s="1" t="s">
        <v>2501</v>
      </c>
      <c r="C444" s="1" t="s">
        <v>3477</v>
      </c>
      <c r="D444" s="1" t="s">
        <v>3478</v>
      </c>
    </row>
    <row r="445" spans="1:4" ht="18" customHeight="1" x14ac:dyDescent="0.25">
      <c r="A445" s="1" t="s">
        <v>3664</v>
      </c>
      <c r="B445" s="1" t="s">
        <v>2503</v>
      </c>
      <c r="C445" s="1" t="s">
        <v>3477</v>
      </c>
      <c r="D445" s="1" t="s">
        <v>3478</v>
      </c>
    </row>
    <row r="446" spans="1:4" ht="18" customHeight="1" x14ac:dyDescent="0.25">
      <c r="A446" s="1" t="s">
        <v>3675</v>
      </c>
      <c r="B446" s="1" t="s">
        <v>2525</v>
      </c>
      <c r="C446" s="1" t="s">
        <v>3477</v>
      </c>
      <c r="D446" s="1" t="s">
        <v>3478</v>
      </c>
    </row>
    <row r="447" spans="1:4" ht="18" customHeight="1" x14ac:dyDescent="0.25">
      <c r="A447" s="1" t="s">
        <v>3679</v>
      </c>
      <c r="B447" s="1" t="s">
        <v>2533</v>
      </c>
      <c r="C447" s="1" t="s">
        <v>3477</v>
      </c>
      <c r="D447" s="1" t="s">
        <v>3478</v>
      </c>
    </row>
    <row r="448" spans="1:4" ht="18" customHeight="1" x14ac:dyDescent="0.25">
      <c r="A448" s="1" t="s">
        <v>3680</v>
      </c>
      <c r="B448" s="1" t="s">
        <v>2535</v>
      </c>
      <c r="C448" s="1" t="s">
        <v>3477</v>
      </c>
      <c r="D448" s="1" t="s">
        <v>3478</v>
      </c>
    </row>
    <row r="449" spans="1:4" ht="18" customHeight="1" x14ac:dyDescent="0.25">
      <c r="A449" s="1" t="s">
        <v>3686</v>
      </c>
      <c r="B449" s="1" t="s">
        <v>2547</v>
      </c>
      <c r="C449" s="1" t="s">
        <v>3477</v>
      </c>
      <c r="D449" s="1" t="s">
        <v>3478</v>
      </c>
    </row>
    <row r="450" spans="1:4" ht="18" customHeight="1" x14ac:dyDescent="0.25">
      <c r="A450" s="1" t="s">
        <v>3691</v>
      </c>
      <c r="B450" s="1" t="s">
        <v>2556</v>
      </c>
      <c r="C450" s="1" t="s">
        <v>3477</v>
      </c>
      <c r="D450" s="1" t="s">
        <v>3478</v>
      </c>
    </row>
    <row r="451" spans="1:4" ht="18" customHeight="1" x14ac:dyDescent="0.25">
      <c r="A451" s="1" t="s">
        <v>3698</v>
      </c>
      <c r="B451" s="1" t="s">
        <v>2570</v>
      </c>
      <c r="C451" s="1" t="s">
        <v>3477</v>
      </c>
      <c r="D451" s="1" t="s">
        <v>3478</v>
      </c>
    </row>
    <row r="452" spans="1:4" ht="18" customHeight="1" x14ac:dyDescent="0.25">
      <c r="A452" s="1" t="s">
        <v>3699</v>
      </c>
      <c r="B452" s="1" t="s">
        <v>2572</v>
      </c>
      <c r="C452" s="1" t="s">
        <v>3477</v>
      </c>
      <c r="D452" s="1" t="s">
        <v>3478</v>
      </c>
    </row>
    <row r="453" spans="1:4" ht="18" customHeight="1" x14ac:dyDescent="0.25">
      <c r="A453" s="1" t="s">
        <v>3706</v>
      </c>
      <c r="B453" s="1" t="s">
        <v>2585</v>
      </c>
      <c r="C453" s="1" t="s">
        <v>3477</v>
      </c>
      <c r="D453" s="1" t="s">
        <v>3478</v>
      </c>
    </row>
    <row r="454" spans="1:4" ht="18" customHeight="1" x14ac:dyDescent="0.25">
      <c r="A454" s="1" t="s">
        <v>3708</v>
      </c>
      <c r="B454" s="1" t="s">
        <v>2588</v>
      </c>
      <c r="C454" s="1" t="s">
        <v>3477</v>
      </c>
      <c r="D454" s="1" t="s">
        <v>3478</v>
      </c>
    </row>
    <row r="455" spans="1:4" ht="18" customHeight="1" x14ac:dyDescent="0.25">
      <c r="A455" s="1" t="s">
        <v>3709</v>
      </c>
      <c r="B455" s="1" t="s">
        <v>2590</v>
      </c>
      <c r="C455" s="1" t="s">
        <v>3477</v>
      </c>
      <c r="D455" s="1" t="s">
        <v>3478</v>
      </c>
    </row>
    <row r="456" spans="1:4" ht="18" customHeight="1" x14ac:dyDescent="0.25">
      <c r="A456" s="1" t="s">
        <v>3711</v>
      </c>
      <c r="B456" s="1" t="s">
        <v>2594</v>
      </c>
      <c r="C456" s="1" t="s">
        <v>3477</v>
      </c>
      <c r="D456" s="1" t="s">
        <v>3478</v>
      </c>
    </row>
    <row r="457" spans="1:4" ht="18" customHeight="1" x14ac:dyDescent="0.25">
      <c r="A457" s="1" t="s">
        <v>3713</v>
      </c>
      <c r="B457" s="1" t="s">
        <v>2598</v>
      </c>
      <c r="C457" s="1" t="s">
        <v>3477</v>
      </c>
      <c r="D457" s="1" t="s">
        <v>3478</v>
      </c>
    </row>
    <row r="458" spans="1:4" ht="18" customHeight="1" x14ac:dyDescent="0.25">
      <c r="A458" s="1" t="s">
        <v>3717</v>
      </c>
      <c r="B458" s="1" t="s">
        <v>2606</v>
      </c>
      <c r="C458" s="1" t="s">
        <v>3477</v>
      </c>
      <c r="D458" s="1" t="s">
        <v>3478</v>
      </c>
    </row>
    <row r="459" spans="1:4" ht="18" customHeight="1" x14ac:dyDescent="0.25">
      <c r="A459" s="1" t="s">
        <v>3719</v>
      </c>
      <c r="B459" s="1" t="s">
        <v>2610</v>
      </c>
      <c r="C459" s="1" t="s">
        <v>3477</v>
      </c>
      <c r="D459" s="1" t="s">
        <v>3478</v>
      </c>
    </row>
    <row r="460" spans="1:4" ht="18" customHeight="1" x14ac:dyDescent="0.25">
      <c r="A460" s="1" t="s">
        <v>3721</v>
      </c>
      <c r="B460" s="1" t="s">
        <v>2614</v>
      </c>
      <c r="C460" s="1" t="s">
        <v>3477</v>
      </c>
      <c r="D460" s="1" t="s">
        <v>3478</v>
      </c>
    </row>
    <row r="461" spans="1:4" ht="18" customHeight="1" x14ac:dyDescent="0.25">
      <c r="A461" s="1" t="s">
        <v>3726</v>
      </c>
      <c r="B461" s="1" t="s">
        <v>2623</v>
      </c>
      <c r="C461" s="1" t="s">
        <v>3477</v>
      </c>
      <c r="D461" s="1" t="s">
        <v>3478</v>
      </c>
    </row>
    <row r="462" spans="1:4" ht="18" customHeight="1" x14ac:dyDescent="0.25">
      <c r="A462" s="1" t="s">
        <v>3727</v>
      </c>
      <c r="B462" s="1" t="s">
        <v>2625</v>
      </c>
      <c r="C462" s="1" t="s">
        <v>3477</v>
      </c>
      <c r="D462" s="1" t="s">
        <v>3478</v>
      </c>
    </row>
    <row r="463" spans="1:4" ht="18" customHeight="1" x14ac:dyDescent="0.25">
      <c r="A463" s="1" t="s">
        <v>3729</v>
      </c>
      <c r="B463" s="1" t="s">
        <v>2629</v>
      </c>
      <c r="C463" s="1" t="s">
        <v>3477</v>
      </c>
      <c r="D463" s="1" t="s">
        <v>3478</v>
      </c>
    </row>
    <row r="464" spans="1:4" ht="18" customHeight="1" x14ac:dyDescent="0.25">
      <c r="A464" s="1" t="s">
        <v>3733</v>
      </c>
      <c r="B464" s="1" t="s">
        <v>2637</v>
      </c>
      <c r="C464" s="1" t="s">
        <v>3477</v>
      </c>
      <c r="D464" s="1" t="s">
        <v>3478</v>
      </c>
    </row>
    <row r="465" spans="1:4" ht="18" customHeight="1" x14ac:dyDescent="0.25">
      <c r="A465" s="1" t="s">
        <v>3757</v>
      </c>
      <c r="B465" s="1" t="s">
        <v>2682</v>
      </c>
      <c r="C465" s="1" t="s">
        <v>3477</v>
      </c>
      <c r="D465" s="1" t="s">
        <v>3478</v>
      </c>
    </row>
    <row r="466" spans="1:4" ht="18" customHeight="1" x14ac:dyDescent="0.25">
      <c r="A466" s="1" t="s">
        <v>3759</v>
      </c>
      <c r="B466" s="1" t="s">
        <v>2685</v>
      </c>
      <c r="C466" s="1" t="s">
        <v>3477</v>
      </c>
      <c r="D466" s="1" t="s">
        <v>3478</v>
      </c>
    </row>
    <row r="467" spans="1:4" ht="18" customHeight="1" x14ac:dyDescent="0.25">
      <c r="A467" s="1" t="s">
        <v>3763</v>
      </c>
      <c r="B467" s="1" t="s">
        <v>2692</v>
      </c>
      <c r="C467" s="1" t="s">
        <v>3477</v>
      </c>
      <c r="D467" s="1" t="s">
        <v>3478</v>
      </c>
    </row>
    <row r="468" spans="1:4" ht="18" customHeight="1" x14ac:dyDescent="0.25">
      <c r="A468" s="1" t="s">
        <v>3765</v>
      </c>
      <c r="B468" s="1" t="s">
        <v>2696</v>
      </c>
      <c r="C468" s="1" t="s">
        <v>3477</v>
      </c>
      <c r="D468" s="1" t="s">
        <v>3478</v>
      </c>
    </row>
    <row r="469" spans="1:4" ht="18" customHeight="1" x14ac:dyDescent="0.25">
      <c r="A469" s="1" t="s">
        <v>3766</v>
      </c>
      <c r="B469" s="1" t="s">
        <v>2698</v>
      </c>
      <c r="C469" s="1" t="s">
        <v>3477</v>
      </c>
      <c r="D469" s="1" t="s">
        <v>3478</v>
      </c>
    </row>
    <row r="470" spans="1:4" ht="18" customHeight="1" x14ac:dyDescent="0.25">
      <c r="A470" s="1" t="s">
        <v>3773</v>
      </c>
      <c r="B470" s="1" t="s">
        <v>2710</v>
      </c>
      <c r="C470" s="1" t="s">
        <v>3477</v>
      </c>
      <c r="D470" s="1" t="s">
        <v>3478</v>
      </c>
    </row>
    <row r="471" spans="1:4" ht="18" customHeight="1" x14ac:dyDescent="0.25">
      <c r="A471" s="1" t="s">
        <v>3784</v>
      </c>
      <c r="B471" s="1" t="s">
        <v>2730</v>
      </c>
      <c r="C471" s="1" t="s">
        <v>3477</v>
      </c>
      <c r="D471" s="1" t="s">
        <v>3478</v>
      </c>
    </row>
    <row r="472" spans="1:4" ht="18" customHeight="1" x14ac:dyDescent="0.25">
      <c r="A472" s="1" t="s">
        <v>3795</v>
      </c>
      <c r="B472" s="1" t="s">
        <v>2749</v>
      </c>
      <c r="C472" s="1" t="s">
        <v>3477</v>
      </c>
      <c r="D472" s="1" t="s">
        <v>3478</v>
      </c>
    </row>
    <row r="473" spans="1:4" ht="18" customHeight="1" x14ac:dyDescent="0.25">
      <c r="A473" s="1" t="s">
        <v>3800</v>
      </c>
      <c r="B473" s="1" t="s">
        <v>2759</v>
      </c>
      <c r="C473" s="1" t="s">
        <v>3477</v>
      </c>
      <c r="D473" s="1" t="s">
        <v>3478</v>
      </c>
    </row>
    <row r="474" spans="1:4" ht="18" customHeight="1" x14ac:dyDescent="0.25">
      <c r="A474" s="1" t="s">
        <v>3803</v>
      </c>
      <c r="B474" s="1" t="s">
        <v>2765</v>
      </c>
      <c r="C474" s="1" t="s">
        <v>3477</v>
      </c>
      <c r="D474" s="1" t="s">
        <v>3478</v>
      </c>
    </row>
    <row r="475" spans="1:4" ht="18" customHeight="1" x14ac:dyDescent="0.25">
      <c r="A475" s="1" t="s">
        <v>3825</v>
      </c>
      <c r="B475" s="1" t="s">
        <v>2803</v>
      </c>
      <c r="C475" s="1" t="s">
        <v>3477</v>
      </c>
      <c r="D475" s="1" t="s">
        <v>3478</v>
      </c>
    </row>
    <row r="476" spans="1:4" ht="18" customHeight="1" x14ac:dyDescent="0.25">
      <c r="A476" s="1" t="s">
        <v>3827</v>
      </c>
      <c r="B476" s="1" t="s">
        <v>2807</v>
      </c>
      <c r="C476" s="1" t="s">
        <v>3477</v>
      </c>
      <c r="D476" s="1" t="s">
        <v>3478</v>
      </c>
    </row>
    <row r="477" spans="1:4" ht="18" customHeight="1" x14ac:dyDescent="0.25">
      <c r="A477" s="1" t="s">
        <v>3835</v>
      </c>
      <c r="B477" s="1" t="s">
        <v>2822</v>
      </c>
      <c r="C477" s="1" t="s">
        <v>3477</v>
      </c>
      <c r="D477" s="1" t="s">
        <v>3478</v>
      </c>
    </row>
    <row r="478" spans="1:4" ht="18" customHeight="1" x14ac:dyDescent="0.25">
      <c r="A478" s="1" t="s">
        <v>3842</v>
      </c>
      <c r="B478" s="1" t="s">
        <v>2834</v>
      </c>
      <c r="C478" s="1" t="s">
        <v>3477</v>
      </c>
      <c r="D478" s="1" t="s">
        <v>3478</v>
      </c>
    </row>
    <row r="479" spans="1:4" ht="18" customHeight="1" x14ac:dyDescent="0.25">
      <c r="A479" s="1" t="s">
        <v>3845</v>
      </c>
      <c r="B479" s="1" t="s">
        <v>2839</v>
      </c>
      <c r="C479" s="1" t="s">
        <v>3477</v>
      </c>
      <c r="D479" s="1" t="s">
        <v>3478</v>
      </c>
    </row>
    <row r="480" spans="1:4" ht="18" customHeight="1" x14ac:dyDescent="0.25">
      <c r="A480" s="1" t="s">
        <v>3850</v>
      </c>
      <c r="B480" s="1" t="s">
        <v>2849</v>
      </c>
      <c r="C480" s="1" t="s">
        <v>3477</v>
      </c>
      <c r="D480" s="1" t="s">
        <v>3478</v>
      </c>
    </row>
    <row r="481" spans="1:4" ht="18" customHeight="1" x14ac:dyDescent="0.25">
      <c r="A481" s="1" t="s">
        <v>3854</v>
      </c>
      <c r="B481" s="1" t="s">
        <v>2857</v>
      </c>
      <c r="C481" s="1" t="s">
        <v>3477</v>
      </c>
      <c r="D481" s="1" t="s">
        <v>3478</v>
      </c>
    </row>
    <row r="482" spans="1:4" ht="18" customHeight="1" x14ac:dyDescent="0.25">
      <c r="A482" s="1" t="s">
        <v>3855</v>
      </c>
      <c r="B482" s="1" t="s">
        <v>2858</v>
      </c>
      <c r="C482" s="1" t="s">
        <v>3477</v>
      </c>
      <c r="D482" s="1" t="s">
        <v>3478</v>
      </c>
    </row>
    <row r="483" spans="1:4" ht="18" customHeight="1" x14ac:dyDescent="0.25">
      <c r="A483" s="1" t="s">
        <v>3857</v>
      </c>
      <c r="B483" s="1" t="s">
        <v>2862</v>
      </c>
      <c r="C483" s="1" t="s">
        <v>3477</v>
      </c>
      <c r="D483" s="1" t="s">
        <v>3478</v>
      </c>
    </row>
    <row r="484" spans="1:4" ht="18" customHeight="1" x14ac:dyDescent="0.25">
      <c r="A484" s="1" t="s">
        <v>3861</v>
      </c>
      <c r="B484" s="1" t="s">
        <v>2869</v>
      </c>
      <c r="C484" s="1" t="s">
        <v>3477</v>
      </c>
      <c r="D484" s="1" t="s">
        <v>3478</v>
      </c>
    </row>
    <row r="485" spans="1:4" ht="18" customHeight="1" x14ac:dyDescent="0.25">
      <c r="A485" s="1" t="s">
        <v>3863</v>
      </c>
      <c r="B485" s="1" t="s">
        <v>2873</v>
      </c>
      <c r="C485" s="1" t="s">
        <v>3477</v>
      </c>
      <c r="D485" s="1" t="s">
        <v>3478</v>
      </c>
    </row>
    <row r="486" spans="1:4" ht="18" customHeight="1" x14ac:dyDescent="0.25">
      <c r="A486" s="1" t="s">
        <v>3865</v>
      </c>
      <c r="B486" s="1" t="s">
        <v>2876</v>
      </c>
      <c r="C486" s="1" t="s">
        <v>3477</v>
      </c>
      <c r="D486" s="1" t="s">
        <v>3478</v>
      </c>
    </row>
    <row r="487" spans="1:4" ht="18" customHeight="1" x14ac:dyDescent="0.25">
      <c r="A487" s="1" t="s">
        <v>3866</v>
      </c>
      <c r="B487" s="1" t="s">
        <v>2878</v>
      </c>
      <c r="C487" s="1" t="s">
        <v>3477</v>
      </c>
      <c r="D487" s="1" t="s">
        <v>3478</v>
      </c>
    </row>
    <row r="488" spans="1:4" ht="18" customHeight="1" x14ac:dyDescent="0.25">
      <c r="A488" s="1" t="s">
        <v>3867</v>
      </c>
      <c r="B488" s="1" t="s">
        <v>2880</v>
      </c>
      <c r="C488" s="1" t="s">
        <v>3477</v>
      </c>
      <c r="D488" s="1" t="s">
        <v>3478</v>
      </c>
    </row>
    <row r="489" spans="1:4" ht="18" customHeight="1" x14ac:dyDescent="0.25">
      <c r="A489" s="1" t="s">
        <v>3882</v>
      </c>
      <c r="B489" s="1" t="s">
        <v>2903</v>
      </c>
      <c r="C489" s="1" t="s">
        <v>3477</v>
      </c>
      <c r="D489" s="1" t="s">
        <v>3478</v>
      </c>
    </row>
    <row r="490" spans="1:4" ht="18" customHeight="1" x14ac:dyDescent="0.25">
      <c r="A490" s="1" t="s">
        <v>3888</v>
      </c>
      <c r="B490" s="1" t="s">
        <v>2914</v>
      </c>
      <c r="C490" s="1" t="s">
        <v>3477</v>
      </c>
      <c r="D490" s="1" t="s">
        <v>3478</v>
      </c>
    </row>
    <row r="491" spans="1:4" ht="18" customHeight="1" x14ac:dyDescent="0.25">
      <c r="A491" s="1" t="s">
        <v>3891</v>
      </c>
      <c r="B491" s="1" t="s">
        <v>2919</v>
      </c>
      <c r="C491" s="1" t="s">
        <v>3477</v>
      </c>
      <c r="D491" s="1" t="s">
        <v>3478</v>
      </c>
    </row>
    <row r="492" spans="1:4" ht="18" customHeight="1" x14ac:dyDescent="0.25">
      <c r="A492" s="1" t="s">
        <v>3911</v>
      </c>
      <c r="B492" s="1" t="s">
        <v>2951</v>
      </c>
      <c r="C492" s="1" t="s">
        <v>3477</v>
      </c>
      <c r="D492" s="1" t="s">
        <v>3478</v>
      </c>
    </row>
    <row r="493" spans="1:4" ht="18" customHeight="1" x14ac:dyDescent="0.25">
      <c r="A493" s="1" t="s">
        <v>3913</v>
      </c>
      <c r="B493" s="1" t="s">
        <v>2954</v>
      </c>
      <c r="C493" s="1" t="s">
        <v>3477</v>
      </c>
      <c r="D493" s="1" t="s">
        <v>3478</v>
      </c>
    </row>
    <row r="494" spans="1:4" ht="18" customHeight="1" x14ac:dyDescent="0.25">
      <c r="A494" s="1" t="s">
        <v>3920</v>
      </c>
      <c r="B494" s="1" t="s">
        <v>2967</v>
      </c>
      <c r="C494" s="1" t="s">
        <v>3477</v>
      </c>
      <c r="D494" s="1" t="s">
        <v>3478</v>
      </c>
    </row>
    <row r="495" spans="1:4" ht="18" customHeight="1" x14ac:dyDescent="0.25">
      <c r="A495" s="1" t="s">
        <v>3929</v>
      </c>
      <c r="B495" s="1" t="s">
        <v>2983</v>
      </c>
      <c r="C495" s="1" t="s">
        <v>3477</v>
      </c>
      <c r="D495" s="1" t="s">
        <v>3478</v>
      </c>
    </row>
    <row r="496" spans="1:4" ht="18" customHeight="1" x14ac:dyDescent="0.25">
      <c r="A496" s="1" t="s">
        <v>3933</v>
      </c>
      <c r="B496" s="1" t="s">
        <v>2989</v>
      </c>
      <c r="C496" s="1" t="s">
        <v>3477</v>
      </c>
      <c r="D496" s="1" t="s">
        <v>3478</v>
      </c>
    </row>
    <row r="497" spans="1:4" ht="18" customHeight="1" x14ac:dyDescent="0.25">
      <c r="A497" s="1" t="s">
        <v>3941</v>
      </c>
      <c r="B497" s="1" t="s">
        <v>3004</v>
      </c>
      <c r="C497" s="1" t="s">
        <v>3477</v>
      </c>
      <c r="D497" s="1" t="s">
        <v>3478</v>
      </c>
    </row>
    <row r="498" spans="1:4" ht="18" customHeight="1" x14ac:dyDescent="0.25">
      <c r="A498" s="1" t="s">
        <v>3947</v>
      </c>
      <c r="B498" s="1" t="s">
        <v>3014</v>
      </c>
      <c r="C498" s="1" t="s">
        <v>3477</v>
      </c>
      <c r="D498" s="1" t="s">
        <v>3478</v>
      </c>
    </row>
    <row r="499" spans="1:4" ht="18" customHeight="1" x14ac:dyDescent="0.25">
      <c r="A499" s="1" t="s">
        <v>3956</v>
      </c>
      <c r="B499" s="1" t="s">
        <v>3032</v>
      </c>
      <c r="C499" s="1" t="s">
        <v>3477</v>
      </c>
      <c r="D499" s="1" t="s">
        <v>3478</v>
      </c>
    </row>
    <row r="500" spans="1:4" ht="18" customHeight="1" x14ac:dyDescent="0.25">
      <c r="A500" s="1" t="s">
        <v>3961</v>
      </c>
      <c r="B500" s="1" t="s">
        <v>3042</v>
      </c>
      <c r="C500" s="1" t="s">
        <v>3477</v>
      </c>
      <c r="D500" s="1" t="s">
        <v>3478</v>
      </c>
    </row>
    <row r="501" spans="1:4" ht="18" customHeight="1" x14ac:dyDescent="0.25">
      <c r="A501" s="1" t="s">
        <v>3964</v>
      </c>
      <c r="B501" s="1" t="s">
        <v>3047</v>
      </c>
      <c r="C501" s="1" t="s">
        <v>3477</v>
      </c>
      <c r="D501" s="1" t="s">
        <v>3478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92662-4F64-4855-A7C4-859934D0303C}">
  <dimension ref="A1:B5"/>
  <sheetViews>
    <sheetView workbookViewId="0">
      <selection activeCell="O24" sqref="O24"/>
    </sheetView>
  </sheetViews>
  <sheetFormatPr defaultRowHeight="15.75" x14ac:dyDescent="0.25"/>
  <cols>
    <col min="1" max="1" width="12.25" bestFit="1" customWidth="1"/>
    <col min="2" max="2" width="35.25" bestFit="1" customWidth="1"/>
  </cols>
  <sheetData>
    <row r="1" spans="1:2" ht="18" customHeight="1" x14ac:dyDescent="0.25">
      <c r="A1" s="1" t="s">
        <v>3965</v>
      </c>
      <c r="B1" s="1" t="s">
        <v>3966</v>
      </c>
    </row>
    <row r="2" spans="1:2" ht="18" customHeight="1" x14ac:dyDescent="0.25">
      <c r="A2" s="1">
        <v>80053</v>
      </c>
      <c r="B2" s="1" t="s">
        <v>3970</v>
      </c>
    </row>
    <row r="3" spans="1:2" ht="18" customHeight="1" x14ac:dyDescent="0.25">
      <c r="A3" s="1">
        <v>85025</v>
      </c>
      <c r="B3" s="1" t="s">
        <v>3972</v>
      </c>
    </row>
    <row r="4" spans="1:2" ht="18" customHeight="1" x14ac:dyDescent="0.25">
      <c r="A4" s="1">
        <v>99203</v>
      </c>
      <c r="B4" s="1" t="s">
        <v>3974</v>
      </c>
    </row>
    <row r="5" spans="1:2" ht="18" customHeight="1" x14ac:dyDescent="0.25">
      <c r="A5" s="1">
        <v>99213</v>
      </c>
      <c r="B5" s="1" t="s">
        <v>3968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311BB-7ACD-40CD-B9F4-0C0A0860AA2F}">
  <dimension ref="A1:E501"/>
  <sheetViews>
    <sheetView topLeftCell="A19" workbookViewId="0">
      <selection activeCell="H24" sqref="H24"/>
    </sheetView>
  </sheetViews>
  <sheetFormatPr defaultRowHeight="15.75" x14ac:dyDescent="0.25"/>
  <cols>
    <col min="1" max="1" width="11.375" bestFit="1" customWidth="1"/>
    <col min="2" max="2" width="14.25" bestFit="1" customWidth="1"/>
    <col min="3" max="3" width="12.25" bestFit="1" customWidth="1"/>
    <col min="4" max="4" width="16.625" bestFit="1" customWidth="1"/>
    <col min="5" max="5" width="35.25" bestFit="1" customWidth="1"/>
  </cols>
  <sheetData>
    <row r="1" spans="1:5" ht="18" customHeight="1" x14ac:dyDescent="0.25">
      <c r="A1" s="1" t="s">
        <v>4480</v>
      </c>
      <c r="B1" s="1" t="s">
        <v>2080</v>
      </c>
      <c r="C1" s="1" t="s">
        <v>3965</v>
      </c>
      <c r="D1" s="1" t="s">
        <v>4481</v>
      </c>
      <c r="E1" s="1" t="s">
        <v>3966</v>
      </c>
    </row>
    <row r="2" spans="1:5" ht="18" customHeight="1" x14ac:dyDescent="0.25">
      <c r="A2" s="1" t="s">
        <v>4785</v>
      </c>
      <c r="B2" s="1" t="s">
        <v>2701</v>
      </c>
      <c r="C2" s="1">
        <v>80053</v>
      </c>
      <c r="D2" s="6">
        <v>499.36</v>
      </c>
      <c r="E2" s="1" t="str">
        <f>_xlfn.XLOOKUP(C2,'Clean Procedures'!$A$2:$A$5,'Clean Procedures'!$B$2:$B$5,"Not mapped")</f>
        <v>Comprehensive metabolic panel</v>
      </c>
    </row>
    <row r="3" spans="1:5" ht="18" customHeight="1" x14ac:dyDescent="0.25">
      <c r="A3" s="1" t="s">
        <v>4690</v>
      </c>
      <c r="B3" s="1" t="s">
        <v>2521</v>
      </c>
      <c r="C3" s="1">
        <v>85025</v>
      </c>
      <c r="D3" s="6">
        <v>498.45</v>
      </c>
      <c r="E3" s="1" t="str">
        <f>_xlfn.XLOOKUP(C3,'Clean Procedures'!$A$2:$A$5,'Clean Procedures'!$B$2:$B$5,"Not mapped")</f>
        <v>Complete blood count (CBC)</v>
      </c>
    </row>
    <row r="4" spans="1:5" ht="18" customHeight="1" x14ac:dyDescent="0.25">
      <c r="A4" s="1" t="s">
        <v>4865</v>
      </c>
      <c r="B4" s="1" t="s">
        <v>2845</v>
      </c>
      <c r="C4" s="1">
        <v>80053</v>
      </c>
      <c r="D4" s="6">
        <v>497.94</v>
      </c>
      <c r="E4" s="1" t="str">
        <f>_xlfn.XLOOKUP(C4,'Clean Procedures'!$A$2:$A$5,'Clean Procedures'!$B$2:$B$5,"Not mapped")</f>
        <v>Comprehensive metabolic panel</v>
      </c>
    </row>
    <row r="5" spans="1:5" ht="18" customHeight="1" x14ac:dyDescent="0.25">
      <c r="A5" s="1" t="s">
        <v>4651</v>
      </c>
      <c r="B5" s="1" t="s">
        <v>2447</v>
      </c>
      <c r="C5" s="1">
        <v>99213</v>
      </c>
      <c r="D5" s="6">
        <v>496.51</v>
      </c>
      <c r="E5" s="1" t="str">
        <f>_xlfn.XLOOKUP(C5,'Clean Procedures'!$A$2:$A$5,'Clean Procedures'!$B$2:$B$5,"Not mapped")</f>
        <v>Office visit, established patient, 15 min</v>
      </c>
    </row>
    <row r="6" spans="1:5" ht="18" customHeight="1" x14ac:dyDescent="0.25">
      <c r="A6" s="1" t="s">
        <v>4576</v>
      </c>
      <c r="B6" s="1" t="s">
        <v>2302</v>
      </c>
      <c r="C6" s="1">
        <v>80053</v>
      </c>
      <c r="D6" s="6">
        <v>495.11</v>
      </c>
      <c r="E6" s="1" t="str">
        <f>_xlfn.XLOOKUP(C6,'Clean Procedures'!$A$2:$A$5,'Clean Procedures'!$B$2:$B$5,"Not mapped")</f>
        <v>Comprehensive metabolic panel</v>
      </c>
    </row>
    <row r="7" spans="1:5" ht="18" customHeight="1" x14ac:dyDescent="0.25">
      <c r="A7" s="1" t="s">
        <v>4694</v>
      </c>
      <c r="B7" s="1" t="s">
        <v>2529</v>
      </c>
      <c r="C7" s="1">
        <v>80053</v>
      </c>
      <c r="D7" s="6">
        <v>494.34</v>
      </c>
      <c r="E7" s="1" t="str">
        <f>_xlfn.XLOOKUP(C7,'Clean Procedures'!$A$2:$A$5,'Clean Procedures'!$B$2:$B$5,"Not mapped")</f>
        <v>Comprehensive metabolic panel</v>
      </c>
    </row>
    <row r="8" spans="1:5" ht="18" customHeight="1" x14ac:dyDescent="0.25">
      <c r="A8" s="1" t="s">
        <v>4535</v>
      </c>
      <c r="B8" s="1" t="s">
        <v>2220</v>
      </c>
      <c r="C8" s="1">
        <v>80053</v>
      </c>
      <c r="D8" s="6">
        <v>493.7</v>
      </c>
      <c r="E8" s="1" t="str">
        <f>_xlfn.XLOOKUP(C8,'Clean Procedures'!$A$2:$A$5,'Clean Procedures'!$B$2:$B$5,"Not mapped")</f>
        <v>Comprehensive metabolic panel</v>
      </c>
    </row>
    <row r="9" spans="1:5" ht="18" customHeight="1" x14ac:dyDescent="0.25">
      <c r="A9" s="1" t="s">
        <v>4840</v>
      </c>
      <c r="B9" s="1" t="s">
        <v>2800</v>
      </c>
      <c r="C9" s="1">
        <v>99203</v>
      </c>
      <c r="D9" s="6">
        <v>493.62</v>
      </c>
      <c r="E9" s="1" t="str">
        <f>_xlfn.XLOOKUP(C9,'Clean Procedures'!$A$2:$A$5,'Clean Procedures'!$B$2:$B$5,"Not mapped")</f>
        <v>Office visit, new patient, 30 min</v>
      </c>
    </row>
    <row r="10" spans="1:5" ht="18" customHeight="1" x14ac:dyDescent="0.25">
      <c r="A10" s="1" t="s">
        <v>4634</v>
      </c>
      <c r="B10" s="1" t="s">
        <v>2414</v>
      </c>
      <c r="C10" s="1">
        <v>99213</v>
      </c>
      <c r="D10" s="6">
        <v>493.37</v>
      </c>
      <c r="E10" s="1" t="str">
        <f>_xlfn.XLOOKUP(C10,'Clean Procedures'!$A$2:$A$5,'Clean Procedures'!$B$2:$B$5,"Not mapped")</f>
        <v>Office visit, established patient, 15 min</v>
      </c>
    </row>
    <row r="11" spans="1:5" ht="18" customHeight="1" x14ac:dyDescent="0.25">
      <c r="A11" s="1" t="s">
        <v>4530</v>
      </c>
      <c r="B11" s="1" t="s">
        <v>2209</v>
      </c>
      <c r="C11" s="1">
        <v>99213</v>
      </c>
      <c r="D11" s="6">
        <v>493.29</v>
      </c>
      <c r="E11" s="1" t="str">
        <f>_xlfn.XLOOKUP(C11,'Clean Procedures'!$A$2:$A$5,'Clean Procedures'!$B$2:$B$5,"Not mapped")</f>
        <v>Office visit, established patient, 15 min</v>
      </c>
    </row>
    <row r="12" spans="1:5" ht="18" customHeight="1" x14ac:dyDescent="0.25">
      <c r="A12" s="1" t="s">
        <v>4978</v>
      </c>
      <c r="B12" s="1" t="s">
        <v>3042</v>
      </c>
      <c r="C12" s="1">
        <v>80053</v>
      </c>
      <c r="D12" s="6">
        <v>492.88</v>
      </c>
      <c r="E12" s="1" t="str">
        <f>_xlfn.XLOOKUP(C12,'Clean Procedures'!$A$2:$A$5,'Clean Procedures'!$B$2:$B$5,"Not mapped")</f>
        <v>Comprehensive metabolic panel</v>
      </c>
    </row>
    <row r="13" spans="1:5" ht="18" customHeight="1" x14ac:dyDescent="0.25">
      <c r="A13" s="1" t="s">
        <v>4892</v>
      </c>
      <c r="B13" s="1" t="s">
        <v>2890</v>
      </c>
      <c r="C13" s="1">
        <v>99203</v>
      </c>
      <c r="D13" s="6">
        <v>490.26</v>
      </c>
      <c r="E13" s="1" t="str">
        <f>_xlfn.XLOOKUP(C13,'Clean Procedures'!$A$2:$A$5,'Clean Procedures'!$B$2:$B$5,"Not mapped")</f>
        <v>Office visit, new patient, 30 min</v>
      </c>
    </row>
    <row r="14" spans="1:5" ht="18" customHeight="1" x14ac:dyDescent="0.25">
      <c r="A14" s="1" t="s">
        <v>4819</v>
      </c>
      <c r="B14" s="1" t="s">
        <v>2763</v>
      </c>
      <c r="C14" s="1">
        <v>99203</v>
      </c>
      <c r="D14" s="6">
        <v>489.48</v>
      </c>
      <c r="E14" s="1" t="str">
        <f>_xlfn.XLOOKUP(C14,'Clean Procedures'!$A$2:$A$5,'Clean Procedures'!$B$2:$B$5,"Not mapped")</f>
        <v>Office visit, new patient, 30 min</v>
      </c>
    </row>
    <row r="15" spans="1:5" ht="18" customHeight="1" x14ac:dyDescent="0.25">
      <c r="A15" s="1" t="s">
        <v>4852</v>
      </c>
      <c r="B15" s="1" t="s">
        <v>2822</v>
      </c>
      <c r="C15" s="1">
        <v>99203</v>
      </c>
      <c r="D15" s="6">
        <v>488.08</v>
      </c>
      <c r="E15" s="1" t="str">
        <f>_xlfn.XLOOKUP(C15,'Clean Procedures'!$A$2:$A$5,'Clean Procedures'!$B$2:$B$5,"Not mapped")</f>
        <v>Office visit, new patient, 30 min</v>
      </c>
    </row>
    <row r="16" spans="1:5" ht="18" customHeight="1" x14ac:dyDescent="0.25">
      <c r="A16" s="1" t="s">
        <v>4726</v>
      </c>
      <c r="B16" s="1" t="s">
        <v>2590</v>
      </c>
      <c r="C16" s="1">
        <v>99213</v>
      </c>
      <c r="D16" s="6">
        <v>487.23</v>
      </c>
      <c r="E16" s="1" t="str">
        <f>_xlfn.XLOOKUP(C16,'Clean Procedures'!$A$2:$A$5,'Clean Procedures'!$B$2:$B$5,"Not mapped")</f>
        <v>Office visit, established patient, 15 min</v>
      </c>
    </row>
    <row r="17" spans="1:5" ht="18" customHeight="1" x14ac:dyDescent="0.25">
      <c r="A17" s="1" t="s">
        <v>4805</v>
      </c>
      <c r="B17" s="1" t="s">
        <v>2737</v>
      </c>
      <c r="C17" s="1">
        <v>99213</v>
      </c>
      <c r="D17" s="6">
        <v>487.1</v>
      </c>
      <c r="E17" s="1" t="str">
        <f>_xlfn.XLOOKUP(C17,'Clean Procedures'!$A$2:$A$5,'Clean Procedures'!$B$2:$B$5,"Not mapped")</f>
        <v>Office visit, established patient, 15 min</v>
      </c>
    </row>
    <row r="18" spans="1:5" ht="18" customHeight="1" x14ac:dyDescent="0.25">
      <c r="A18" s="1" t="s">
        <v>4616</v>
      </c>
      <c r="B18" s="1" t="s">
        <v>2380</v>
      </c>
      <c r="C18" s="1">
        <v>85025</v>
      </c>
      <c r="D18" s="6">
        <v>486.81</v>
      </c>
      <c r="E18" s="1" t="str">
        <f>_xlfn.XLOOKUP(C18,'Clean Procedures'!$A$2:$A$5,'Clean Procedures'!$B$2:$B$5,"Not mapped")</f>
        <v>Complete blood count (CBC)</v>
      </c>
    </row>
    <row r="19" spans="1:5" ht="18" customHeight="1" x14ac:dyDescent="0.25">
      <c r="A19" s="1" t="s">
        <v>4681</v>
      </c>
      <c r="B19" s="1" t="s">
        <v>2503</v>
      </c>
      <c r="C19" s="1">
        <v>99203</v>
      </c>
      <c r="D19" s="6">
        <v>484.98</v>
      </c>
      <c r="E19" s="1" t="str">
        <f>_xlfn.XLOOKUP(C19,'Clean Procedures'!$A$2:$A$5,'Clean Procedures'!$B$2:$B$5,"Not mapped")</f>
        <v>Office visit, new patient, 30 min</v>
      </c>
    </row>
    <row r="20" spans="1:5" ht="18" customHeight="1" x14ac:dyDescent="0.25">
      <c r="A20" s="1" t="s">
        <v>4594</v>
      </c>
      <c r="B20" s="1" t="s">
        <v>2338</v>
      </c>
      <c r="C20" s="1">
        <v>85025</v>
      </c>
      <c r="D20" s="6">
        <v>483.92</v>
      </c>
      <c r="E20" s="1" t="str">
        <f>_xlfn.XLOOKUP(C20,'Clean Procedures'!$A$2:$A$5,'Clean Procedures'!$B$2:$B$5,"Not mapped")</f>
        <v>Complete blood count (CBC)</v>
      </c>
    </row>
    <row r="21" spans="1:5" ht="18" customHeight="1" x14ac:dyDescent="0.25">
      <c r="A21" s="1" t="s">
        <v>4923</v>
      </c>
      <c r="B21" s="1" t="s">
        <v>2942</v>
      </c>
      <c r="C21" s="1">
        <v>99213</v>
      </c>
      <c r="D21" s="6">
        <v>482.31</v>
      </c>
      <c r="E21" s="1" t="str">
        <f>_xlfn.XLOOKUP(C21,'Clean Procedures'!$A$2:$A$5,'Clean Procedures'!$B$2:$B$5,"Not mapped")</f>
        <v>Office visit, established patient, 15 min</v>
      </c>
    </row>
    <row r="22" spans="1:5" ht="18" customHeight="1" x14ac:dyDescent="0.25">
      <c r="A22" s="1" t="s">
        <v>4689</v>
      </c>
      <c r="B22" s="1" t="s">
        <v>2519</v>
      </c>
      <c r="C22" s="1">
        <v>80053</v>
      </c>
      <c r="D22" s="6">
        <v>481.84</v>
      </c>
      <c r="E22" s="1" t="str">
        <f>_xlfn.XLOOKUP(C22,'Clean Procedures'!$A$2:$A$5,'Clean Procedures'!$B$2:$B$5,"Not mapped")</f>
        <v>Comprehensive metabolic panel</v>
      </c>
    </row>
    <row r="23" spans="1:5" ht="18" customHeight="1" x14ac:dyDescent="0.25">
      <c r="A23" s="1" t="s">
        <v>4596</v>
      </c>
      <c r="B23" s="1" t="s">
        <v>2342</v>
      </c>
      <c r="C23" s="1">
        <v>80053</v>
      </c>
      <c r="D23" s="6">
        <v>481.71</v>
      </c>
      <c r="E23" s="1" t="str">
        <f>_xlfn.XLOOKUP(C23,'Clean Procedures'!$A$2:$A$5,'Clean Procedures'!$B$2:$B$5,"Not mapped")</f>
        <v>Comprehensive metabolic panel</v>
      </c>
    </row>
    <row r="24" spans="1:5" ht="18" customHeight="1" x14ac:dyDescent="0.25">
      <c r="A24" s="1" t="s">
        <v>4590</v>
      </c>
      <c r="B24" s="1" t="s">
        <v>2330</v>
      </c>
      <c r="C24" s="1">
        <v>80053</v>
      </c>
      <c r="D24" s="6">
        <v>481.16</v>
      </c>
      <c r="E24" s="1" t="str">
        <f>_xlfn.XLOOKUP(C24,'Clean Procedures'!$A$2:$A$5,'Clean Procedures'!$B$2:$B$5,"Not mapped")</f>
        <v>Comprehensive metabolic panel</v>
      </c>
    </row>
    <row r="25" spans="1:5" ht="18" customHeight="1" x14ac:dyDescent="0.25">
      <c r="A25" s="1" t="s">
        <v>4953</v>
      </c>
      <c r="B25" s="1" t="s">
        <v>2994</v>
      </c>
      <c r="C25" s="1">
        <v>99213</v>
      </c>
      <c r="D25" s="6">
        <v>480.81</v>
      </c>
      <c r="E25" s="1" t="str">
        <f>_xlfn.XLOOKUP(C25,'Clean Procedures'!$A$2:$A$5,'Clean Procedures'!$B$2:$B$5,"Not mapped")</f>
        <v>Office visit, established patient, 15 min</v>
      </c>
    </row>
    <row r="26" spans="1:5" ht="18" customHeight="1" x14ac:dyDescent="0.25">
      <c r="A26" s="1" t="s">
        <v>4632</v>
      </c>
      <c r="B26" s="1" t="s">
        <v>2410</v>
      </c>
      <c r="C26" s="1">
        <v>85025</v>
      </c>
      <c r="D26" s="6">
        <v>479.87</v>
      </c>
      <c r="E26" s="1" t="str">
        <f>_xlfn.XLOOKUP(C26,'Clean Procedures'!$A$2:$A$5,'Clean Procedures'!$B$2:$B$5,"Not mapped")</f>
        <v>Complete blood count (CBC)</v>
      </c>
    </row>
    <row r="27" spans="1:5" ht="18" customHeight="1" x14ac:dyDescent="0.25">
      <c r="A27" s="1" t="s">
        <v>4532</v>
      </c>
      <c r="B27" s="1" t="s">
        <v>2213</v>
      </c>
      <c r="C27" s="1">
        <v>80053</v>
      </c>
      <c r="D27" s="6">
        <v>479.5</v>
      </c>
      <c r="E27" s="1" t="str">
        <f>_xlfn.XLOOKUP(C27,'Clean Procedures'!$A$2:$A$5,'Clean Procedures'!$B$2:$B$5,"Not mapped")</f>
        <v>Comprehensive metabolic panel</v>
      </c>
    </row>
    <row r="28" spans="1:5" ht="18" customHeight="1" x14ac:dyDescent="0.25">
      <c r="A28" s="1" t="s">
        <v>4904</v>
      </c>
      <c r="B28" s="1" t="s">
        <v>2912</v>
      </c>
      <c r="C28" s="1">
        <v>99213</v>
      </c>
      <c r="D28" s="6">
        <v>479.5</v>
      </c>
      <c r="E28" s="1" t="str">
        <f>_xlfn.XLOOKUP(C28,'Clean Procedures'!$A$2:$A$5,'Clean Procedures'!$B$2:$B$5,"Not mapped")</f>
        <v>Office visit, established patient, 15 min</v>
      </c>
    </row>
    <row r="29" spans="1:5" ht="18" customHeight="1" x14ac:dyDescent="0.25">
      <c r="A29" s="1" t="s">
        <v>4693</v>
      </c>
      <c r="B29" s="1" t="s">
        <v>2527</v>
      </c>
      <c r="C29" s="1">
        <v>85025</v>
      </c>
      <c r="D29" s="6">
        <v>479.34</v>
      </c>
      <c r="E29" s="1" t="str">
        <f>_xlfn.XLOOKUP(C29,'Clean Procedures'!$A$2:$A$5,'Clean Procedures'!$B$2:$B$5,"Not mapped")</f>
        <v>Complete blood count (CBC)</v>
      </c>
    </row>
    <row r="30" spans="1:5" ht="18" customHeight="1" x14ac:dyDescent="0.25">
      <c r="A30" s="1" t="s">
        <v>4905</v>
      </c>
      <c r="B30" s="1" t="s">
        <v>2914</v>
      </c>
      <c r="C30" s="1">
        <v>99203</v>
      </c>
      <c r="D30" s="6">
        <v>478.64</v>
      </c>
      <c r="E30" s="1" t="str">
        <f>_xlfn.XLOOKUP(C30,'Clean Procedures'!$A$2:$A$5,'Clean Procedures'!$B$2:$B$5,"Not mapped")</f>
        <v>Office visit, new patient, 30 min</v>
      </c>
    </row>
    <row r="31" spans="1:5" ht="18" customHeight="1" x14ac:dyDescent="0.25">
      <c r="A31" s="1" t="s">
        <v>4887</v>
      </c>
      <c r="B31" s="1" t="s">
        <v>2884</v>
      </c>
      <c r="C31" s="1">
        <v>80053</v>
      </c>
      <c r="D31" s="6">
        <v>478.23</v>
      </c>
      <c r="E31" s="1" t="str">
        <f>_xlfn.XLOOKUP(C31,'Clean Procedures'!$A$2:$A$5,'Clean Procedures'!$B$2:$B$5,"Not mapped")</f>
        <v>Comprehensive metabolic panel</v>
      </c>
    </row>
    <row r="32" spans="1:5" ht="18" customHeight="1" x14ac:dyDescent="0.25">
      <c r="A32" s="1" t="s">
        <v>4621</v>
      </c>
      <c r="B32" s="1" t="s">
        <v>2390</v>
      </c>
      <c r="C32" s="1">
        <v>85025</v>
      </c>
      <c r="D32" s="6">
        <v>477.05</v>
      </c>
      <c r="E32" s="1" t="str">
        <f>_xlfn.XLOOKUP(C32,'Clean Procedures'!$A$2:$A$5,'Clean Procedures'!$B$2:$B$5,"Not mapped")</f>
        <v>Complete blood count (CBC)</v>
      </c>
    </row>
    <row r="33" spans="1:5" ht="18" customHeight="1" x14ac:dyDescent="0.25">
      <c r="A33" s="1" t="s">
        <v>4724</v>
      </c>
      <c r="B33" s="1" t="s">
        <v>2586</v>
      </c>
      <c r="C33" s="1">
        <v>80053</v>
      </c>
      <c r="D33" s="6">
        <v>476.58</v>
      </c>
      <c r="E33" s="1" t="str">
        <f>_xlfn.XLOOKUP(C33,'Clean Procedures'!$A$2:$A$5,'Clean Procedures'!$B$2:$B$5,"Not mapped")</f>
        <v>Comprehensive metabolic panel</v>
      </c>
    </row>
    <row r="34" spans="1:5" ht="18" customHeight="1" x14ac:dyDescent="0.25">
      <c r="A34" s="1" t="s">
        <v>4779</v>
      </c>
      <c r="B34" s="1" t="s">
        <v>2690</v>
      </c>
      <c r="C34" s="1">
        <v>99213</v>
      </c>
      <c r="D34" s="6">
        <v>476.16</v>
      </c>
      <c r="E34" s="1" t="str">
        <f>_xlfn.XLOOKUP(C34,'Clean Procedures'!$A$2:$A$5,'Clean Procedures'!$B$2:$B$5,"Not mapped")</f>
        <v>Office visit, established patient, 15 min</v>
      </c>
    </row>
    <row r="35" spans="1:5" ht="18" customHeight="1" x14ac:dyDescent="0.25">
      <c r="A35" s="1" t="s">
        <v>4828</v>
      </c>
      <c r="B35" s="1" t="s">
        <v>2779</v>
      </c>
      <c r="C35" s="1">
        <v>99203</v>
      </c>
      <c r="D35" s="6">
        <v>476.13</v>
      </c>
      <c r="E35" s="1" t="str">
        <f>_xlfn.XLOOKUP(C35,'Clean Procedures'!$A$2:$A$5,'Clean Procedures'!$B$2:$B$5,"Not mapped")</f>
        <v>Office visit, new patient, 30 min</v>
      </c>
    </row>
    <row r="36" spans="1:5" ht="18" customHeight="1" x14ac:dyDescent="0.25">
      <c r="A36" s="1" t="s">
        <v>4715</v>
      </c>
      <c r="B36" s="1" t="s">
        <v>2570</v>
      </c>
      <c r="C36" s="1">
        <v>99203</v>
      </c>
      <c r="D36" s="6">
        <v>475.61</v>
      </c>
      <c r="E36" s="1" t="str">
        <f>_xlfn.XLOOKUP(C36,'Clean Procedures'!$A$2:$A$5,'Clean Procedures'!$B$2:$B$5,"Not mapped")</f>
        <v>Office visit, new patient, 30 min</v>
      </c>
    </row>
    <row r="37" spans="1:5" ht="18" customHeight="1" x14ac:dyDescent="0.25">
      <c r="A37" s="1" t="s">
        <v>4578</v>
      </c>
      <c r="B37" s="1" t="s">
        <v>2306</v>
      </c>
      <c r="C37" s="1">
        <v>99213</v>
      </c>
      <c r="D37" s="6">
        <v>475.29</v>
      </c>
      <c r="E37" s="1" t="str">
        <f>_xlfn.XLOOKUP(C37,'Clean Procedures'!$A$2:$A$5,'Clean Procedures'!$B$2:$B$5,"Not mapped")</f>
        <v>Office visit, established patient, 15 min</v>
      </c>
    </row>
    <row r="38" spans="1:5" ht="18" customHeight="1" x14ac:dyDescent="0.25">
      <c r="A38" s="1" t="s">
        <v>4882</v>
      </c>
      <c r="B38" s="1" t="s">
        <v>2876</v>
      </c>
      <c r="C38" s="1">
        <v>99213</v>
      </c>
      <c r="D38" s="6">
        <v>473.93</v>
      </c>
      <c r="E38" s="1" t="str">
        <f>_xlfn.XLOOKUP(C38,'Clean Procedures'!$A$2:$A$5,'Clean Procedures'!$B$2:$B$5,"Not mapped")</f>
        <v>Office visit, established patient, 15 min</v>
      </c>
    </row>
    <row r="39" spans="1:5" ht="18" customHeight="1" x14ac:dyDescent="0.25">
      <c r="A39" s="1" t="s">
        <v>4743</v>
      </c>
      <c r="B39" s="1" t="s">
        <v>2623</v>
      </c>
      <c r="C39" s="1">
        <v>99213</v>
      </c>
      <c r="D39" s="6">
        <v>472.39</v>
      </c>
      <c r="E39" s="1" t="str">
        <f>_xlfn.XLOOKUP(C39,'Clean Procedures'!$A$2:$A$5,'Clean Procedures'!$B$2:$B$5,"Not mapped")</f>
        <v>Office visit, established patient, 15 min</v>
      </c>
    </row>
    <row r="40" spans="1:5" ht="18" customHeight="1" x14ac:dyDescent="0.25">
      <c r="A40" s="1" t="s">
        <v>4735</v>
      </c>
      <c r="B40" s="1" t="s">
        <v>2608</v>
      </c>
      <c r="C40" s="1">
        <v>99203</v>
      </c>
      <c r="D40" s="6">
        <v>470.85</v>
      </c>
      <c r="E40" s="1" t="str">
        <f>_xlfn.XLOOKUP(C40,'Clean Procedures'!$A$2:$A$5,'Clean Procedures'!$B$2:$B$5,"Not mapped")</f>
        <v>Office visit, new patient, 30 min</v>
      </c>
    </row>
    <row r="41" spans="1:5" ht="18" customHeight="1" x14ac:dyDescent="0.25">
      <c r="A41" s="1" t="s">
        <v>4567</v>
      </c>
      <c r="B41" s="1" t="s">
        <v>2284</v>
      </c>
      <c r="C41" s="1">
        <v>99213</v>
      </c>
      <c r="D41" s="6">
        <v>470.46</v>
      </c>
      <c r="E41" s="1" t="str">
        <f>_xlfn.XLOOKUP(C41,'Clean Procedures'!$A$2:$A$5,'Clean Procedures'!$B$2:$B$5,"Not mapped")</f>
        <v>Office visit, established patient, 15 min</v>
      </c>
    </row>
    <row r="42" spans="1:5" ht="18" customHeight="1" x14ac:dyDescent="0.25">
      <c r="A42" s="1" t="s">
        <v>4686</v>
      </c>
      <c r="B42" s="1" t="s">
        <v>2513</v>
      </c>
      <c r="C42" s="1">
        <v>99203</v>
      </c>
      <c r="D42" s="6">
        <v>470.46</v>
      </c>
      <c r="E42" s="1" t="str">
        <f>_xlfn.XLOOKUP(C42,'Clean Procedures'!$A$2:$A$5,'Clean Procedures'!$B$2:$B$5,"Not mapped")</f>
        <v>Office visit, new patient, 30 min</v>
      </c>
    </row>
    <row r="43" spans="1:5" ht="18" customHeight="1" x14ac:dyDescent="0.25">
      <c r="A43" s="1" t="s">
        <v>4817</v>
      </c>
      <c r="B43" s="1" t="s">
        <v>2759</v>
      </c>
      <c r="C43" s="1">
        <v>99213</v>
      </c>
      <c r="D43" s="6">
        <v>469.1</v>
      </c>
      <c r="E43" s="1" t="str">
        <f>_xlfn.XLOOKUP(C43,'Clean Procedures'!$A$2:$A$5,'Clean Procedures'!$B$2:$B$5,"Not mapped")</f>
        <v>Office visit, established patient, 15 min</v>
      </c>
    </row>
    <row r="44" spans="1:5" ht="18" customHeight="1" x14ac:dyDescent="0.25">
      <c r="A44" s="1" t="s">
        <v>4830</v>
      </c>
      <c r="B44" s="1" t="s">
        <v>2783</v>
      </c>
      <c r="C44" s="1">
        <v>80053</v>
      </c>
      <c r="D44" s="6">
        <v>468</v>
      </c>
      <c r="E44" s="1" t="str">
        <f>_xlfn.XLOOKUP(C44,'Clean Procedures'!$A$2:$A$5,'Clean Procedures'!$B$2:$B$5,"Not mapped")</f>
        <v>Comprehensive metabolic panel</v>
      </c>
    </row>
    <row r="45" spans="1:5" ht="18" customHeight="1" x14ac:dyDescent="0.25">
      <c r="A45" s="1" t="s">
        <v>4909</v>
      </c>
      <c r="B45" s="1" t="s">
        <v>2920</v>
      </c>
      <c r="C45" s="1">
        <v>85025</v>
      </c>
      <c r="D45" s="6">
        <v>466.83</v>
      </c>
      <c r="E45" s="1" t="str">
        <f>_xlfn.XLOOKUP(C45,'Clean Procedures'!$A$2:$A$5,'Clean Procedures'!$B$2:$B$5,"Not mapped")</f>
        <v>Complete blood count (CBC)</v>
      </c>
    </row>
    <row r="46" spans="1:5" ht="18" customHeight="1" x14ac:dyDescent="0.25">
      <c r="A46" s="1" t="s">
        <v>4804</v>
      </c>
      <c r="B46" s="1" t="s">
        <v>2735</v>
      </c>
      <c r="C46" s="1">
        <v>85025</v>
      </c>
      <c r="D46" s="6">
        <v>465.72</v>
      </c>
      <c r="E46" s="1" t="str">
        <f>_xlfn.XLOOKUP(C46,'Clean Procedures'!$A$2:$A$5,'Clean Procedures'!$B$2:$B$5,"Not mapped")</f>
        <v>Complete blood count (CBC)</v>
      </c>
    </row>
    <row r="47" spans="1:5" ht="18" customHeight="1" x14ac:dyDescent="0.25">
      <c r="A47" s="1" t="s">
        <v>4919</v>
      </c>
      <c r="B47" s="1" t="s">
        <v>2936</v>
      </c>
      <c r="C47" s="1">
        <v>99213</v>
      </c>
      <c r="D47" s="6">
        <v>464.51</v>
      </c>
      <c r="E47" s="1" t="str">
        <f>_xlfn.XLOOKUP(C47,'Clean Procedures'!$A$2:$A$5,'Clean Procedures'!$B$2:$B$5,"Not mapped")</f>
        <v>Office visit, established patient, 15 min</v>
      </c>
    </row>
    <row r="48" spans="1:5" ht="18" customHeight="1" x14ac:dyDescent="0.25">
      <c r="A48" s="1" t="s">
        <v>4542</v>
      </c>
      <c r="B48" s="1" t="s">
        <v>2234</v>
      </c>
      <c r="C48" s="1">
        <v>99213</v>
      </c>
      <c r="D48" s="6">
        <v>464.4</v>
      </c>
      <c r="E48" s="1" t="str">
        <f>_xlfn.XLOOKUP(C48,'Clean Procedures'!$A$2:$A$5,'Clean Procedures'!$B$2:$B$5,"Not mapped")</f>
        <v>Office visit, established patient, 15 min</v>
      </c>
    </row>
    <row r="49" spans="1:5" ht="18" customHeight="1" x14ac:dyDescent="0.25">
      <c r="A49" s="1" t="s">
        <v>4507</v>
      </c>
      <c r="B49" s="1" t="s">
        <v>2159</v>
      </c>
      <c r="C49" s="1">
        <v>99203</v>
      </c>
      <c r="D49" s="6">
        <v>464.21</v>
      </c>
      <c r="E49" s="1" t="str">
        <f>_xlfn.XLOOKUP(C49,'Clean Procedures'!$A$2:$A$5,'Clean Procedures'!$B$2:$B$5,"Not mapped")</f>
        <v>Office visit, new patient, 30 min</v>
      </c>
    </row>
    <row r="50" spans="1:5" ht="18" customHeight="1" x14ac:dyDescent="0.25">
      <c r="A50" s="1" t="s">
        <v>4825</v>
      </c>
      <c r="B50" s="1" t="s">
        <v>2774</v>
      </c>
      <c r="C50" s="1">
        <v>99203</v>
      </c>
      <c r="D50" s="6">
        <v>464.02</v>
      </c>
      <c r="E50" s="1" t="str">
        <f>_xlfn.XLOOKUP(C50,'Clean Procedures'!$A$2:$A$5,'Clean Procedures'!$B$2:$B$5,"Not mapped")</f>
        <v>Office visit, new patient, 30 min</v>
      </c>
    </row>
    <row r="51" spans="1:5" ht="18" customHeight="1" x14ac:dyDescent="0.25">
      <c r="A51" s="1" t="s">
        <v>4956</v>
      </c>
      <c r="B51" s="1" t="s">
        <v>3000</v>
      </c>
      <c r="C51" s="1">
        <v>85025</v>
      </c>
      <c r="D51" s="6">
        <v>463.18</v>
      </c>
      <c r="E51" s="1" t="str">
        <f>_xlfn.XLOOKUP(C51,'Clean Procedures'!$A$2:$A$5,'Clean Procedures'!$B$2:$B$5,"Not mapped")</f>
        <v>Complete blood count (CBC)</v>
      </c>
    </row>
    <row r="52" spans="1:5" ht="18" customHeight="1" x14ac:dyDescent="0.25">
      <c r="A52" s="1" t="s">
        <v>4773</v>
      </c>
      <c r="B52" s="1" t="s">
        <v>2681</v>
      </c>
      <c r="C52" s="1">
        <v>80053</v>
      </c>
      <c r="D52" s="6">
        <v>461.21</v>
      </c>
      <c r="E52" s="1" t="str">
        <f>_xlfn.XLOOKUP(C52,'Clean Procedures'!$A$2:$A$5,'Clean Procedures'!$B$2:$B$5,"Not mapped")</f>
        <v>Comprehensive metabolic panel</v>
      </c>
    </row>
    <row r="53" spans="1:5" ht="18" customHeight="1" x14ac:dyDescent="0.25">
      <c r="A53" s="1" t="s">
        <v>4770</v>
      </c>
      <c r="B53" s="1" t="s">
        <v>2675</v>
      </c>
      <c r="C53" s="1">
        <v>99203</v>
      </c>
      <c r="D53" s="6">
        <v>460.07</v>
      </c>
      <c r="E53" s="1" t="str">
        <f>_xlfn.XLOOKUP(C53,'Clean Procedures'!$A$2:$A$5,'Clean Procedures'!$B$2:$B$5,"Not mapped")</f>
        <v>Office visit, new patient, 30 min</v>
      </c>
    </row>
    <row r="54" spans="1:5" ht="18" customHeight="1" x14ac:dyDescent="0.25">
      <c r="A54" s="1" t="s">
        <v>4917</v>
      </c>
      <c r="B54" s="1" t="s">
        <v>2934</v>
      </c>
      <c r="C54" s="1">
        <v>80053</v>
      </c>
      <c r="D54" s="6">
        <v>459.33</v>
      </c>
      <c r="E54" s="1" t="str">
        <f>_xlfn.XLOOKUP(C54,'Clean Procedures'!$A$2:$A$5,'Clean Procedures'!$B$2:$B$5,"Not mapped")</f>
        <v>Comprehensive metabolic panel</v>
      </c>
    </row>
    <row r="55" spans="1:5" ht="18" customHeight="1" x14ac:dyDescent="0.25">
      <c r="A55" s="1" t="s">
        <v>4802</v>
      </c>
      <c r="B55" s="1" t="s">
        <v>2732</v>
      </c>
      <c r="C55" s="1">
        <v>99213</v>
      </c>
      <c r="D55" s="6">
        <v>458.84</v>
      </c>
      <c r="E55" s="1" t="str">
        <f>_xlfn.XLOOKUP(C55,'Clean Procedures'!$A$2:$A$5,'Clean Procedures'!$B$2:$B$5,"Not mapped")</f>
        <v>Office visit, established patient, 15 min</v>
      </c>
    </row>
    <row r="56" spans="1:5" ht="18" customHeight="1" x14ac:dyDescent="0.25">
      <c r="A56" s="1" t="s">
        <v>4657</v>
      </c>
      <c r="B56" s="1" t="s">
        <v>2459</v>
      </c>
      <c r="C56" s="1">
        <v>80053</v>
      </c>
      <c r="D56" s="6">
        <v>458.44</v>
      </c>
      <c r="E56" s="1" t="str">
        <f>_xlfn.XLOOKUP(C56,'Clean Procedures'!$A$2:$A$5,'Clean Procedures'!$B$2:$B$5,"Not mapped")</f>
        <v>Comprehensive metabolic panel</v>
      </c>
    </row>
    <row r="57" spans="1:5" ht="18" customHeight="1" x14ac:dyDescent="0.25">
      <c r="A57" s="1" t="s">
        <v>4772</v>
      </c>
      <c r="B57" s="1" t="s">
        <v>2679</v>
      </c>
      <c r="C57" s="1">
        <v>99213</v>
      </c>
      <c r="D57" s="6">
        <v>455.95</v>
      </c>
      <c r="E57" s="1" t="str">
        <f>_xlfn.XLOOKUP(C57,'Clean Procedures'!$A$2:$A$5,'Clean Procedures'!$B$2:$B$5,"Not mapped")</f>
        <v>Office visit, established patient, 15 min</v>
      </c>
    </row>
    <row r="58" spans="1:5" ht="18" customHeight="1" x14ac:dyDescent="0.25">
      <c r="A58" s="1" t="s">
        <v>4514</v>
      </c>
      <c r="B58" s="1" t="s">
        <v>2175</v>
      </c>
      <c r="C58" s="1">
        <v>80053</v>
      </c>
      <c r="D58" s="6">
        <v>455.17</v>
      </c>
      <c r="E58" s="1" t="str">
        <f>_xlfn.XLOOKUP(C58,'Clean Procedures'!$A$2:$A$5,'Clean Procedures'!$B$2:$B$5,"Not mapped")</f>
        <v>Comprehensive metabolic panel</v>
      </c>
    </row>
    <row r="59" spans="1:5" ht="18" customHeight="1" x14ac:dyDescent="0.25">
      <c r="A59" s="1" t="s">
        <v>4932</v>
      </c>
      <c r="B59" s="1" t="s">
        <v>2957</v>
      </c>
      <c r="C59" s="1">
        <v>99203</v>
      </c>
      <c r="D59" s="6">
        <v>454.4</v>
      </c>
      <c r="E59" s="1" t="str">
        <f>_xlfn.XLOOKUP(C59,'Clean Procedures'!$A$2:$A$5,'Clean Procedures'!$B$2:$B$5,"Not mapped")</f>
        <v>Office visit, new patient, 30 min</v>
      </c>
    </row>
    <row r="60" spans="1:5" ht="18" customHeight="1" x14ac:dyDescent="0.25">
      <c r="A60" s="1" t="s">
        <v>4595</v>
      </c>
      <c r="B60" s="1" t="s">
        <v>2340</v>
      </c>
      <c r="C60" s="1">
        <v>85025</v>
      </c>
      <c r="D60" s="6">
        <v>451.5</v>
      </c>
      <c r="E60" s="1" t="str">
        <f>_xlfn.XLOOKUP(C60,'Clean Procedures'!$A$2:$A$5,'Clean Procedures'!$B$2:$B$5,"Not mapped")</f>
        <v>Complete blood count (CBC)</v>
      </c>
    </row>
    <row r="61" spans="1:5" ht="18" customHeight="1" x14ac:dyDescent="0.25">
      <c r="A61" s="1" t="s">
        <v>4976</v>
      </c>
      <c r="B61" s="1" t="s">
        <v>3038</v>
      </c>
      <c r="C61" s="1">
        <v>85025</v>
      </c>
      <c r="D61" s="6">
        <v>451.26</v>
      </c>
      <c r="E61" s="1" t="str">
        <f>_xlfn.XLOOKUP(C61,'Clean Procedures'!$A$2:$A$5,'Clean Procedures'!$B$2:$B$5,"Not mapped")</f>
        <v>Complete blood count (CBC)</v>
      </c>
    </row>
    <row r="62" spans="1:5" ht="18" customHeight="1" x14ac:dyDescent="0.25">
      <c r="A62" s="1" t="s">
        <v>4637</v>
      </c>
      <c r="B62" s="1" t="s">
        <v>2420</v>
      </c>
      <c r="C62" s="1">
        <v>99213</v>
      </c>
      <c r="D62" s="6">
        <v>451.04</v>
      </c>
      <c r="E62" s="1" t="str">
        <f>_xlfn.XLOOKUP(C62,'Clean Procedures'!$A$2:$A$5,'Clean Procedures'!$B$2:$B$5,"Not mapped")</f>
        <v>Office visit, established patient, 15 min</v>
      </c>
    </row>
    <row r="63" spans="1:5" ht="18" customHeight="1" x14ac:dyDescent="0.25">
      <c r="A63" s="1" t="s">
        <v>4589</v>
      </c>
      <c r="B63" s="1" t="s">
        <v>2328</v>
      </c>
      <c r="C63" s="1">
        <v>85025</v>
      </c>
      <c r="D63" s="6">
        <v>449.98</v>
      </c>
      <c r="E63" s="1" t="str">
        <f>_xlfn.XLOOKUP(C63,'Clean Procedures'!$A$2:$A$5,'Clean Procedures'!$B$2:$B$5,"Not mapped")</f>
        <v>Complete blood count (CBC)</v>
      </c>
    </row>
    <row r="64" spans="1:5" ht="18" customHeight="1" x14ac:dyDescent="0.25">
      <c r="A64" s="1" t="s">
        <v>4700</v>
      </c>
      <c r="B64" s="1" t="s">
        <v>2541</v>
      </c>
      <c r="C64" s="1">
        <v>99213</v>
      </c>
      <c r="D64" s="6">
        <v>447.97</v>
      </c>
      <c r="E64" s="1" t="str">
        <f>_xlfn.XLOOKUP(C64,'Clean Procedures'!$A$2:$A$5,'Clean Procedures'!$B$2:$B$5,"Not mapped")</f>
        <v>Office visit, established patient, 15 min</v>
      </c>
    </row>
    <row r="65" spans="1:5" ht="18" customHeight="1" x14ac:dyDescent="0.25">
      <c r="A65" s="1" t="s">
        <v>4624</v>
      </c>
      <c r="B65" s="1" t="s">
        <v>2396</v>
      </c>
      <c r="C65" s="1">
        <v>99213</v>
      </c>
      <c r="D65" s="6">
        <v>446.1</v>
      </c>
      <c r="E65" s="1" t="str">
        <f>_xlfn.XLOOKUP(C65,'Clean Procedures'!$A$2:$A$5,'Clean Procedures'!$B$2:$B$5,"Not mapped")</f>
        <v>Office visit, established patient, 15 min</v>
      </c>
    </row>
    <row r="66" spans="1:5" ht="18" customHeight="1" x14ac:dyDescent="0.25">
      <c r="A66" s="1" t="s">
        <v>4952</v>
      </c>
      <c r="B66" s="1" t="s">
        <v>2992</v>
      </c>
      <c r="C66" s="1">
        <v>99213</v>
      </c>
      <c r="D66" s="6">
        <v>444.94</v>
      </c>
      <c r="E66" s="1" t="str">
        <f>_xlfn.XLOOKUP(C66,'Clean Procedures'!$A$2:$A$5,'Clean Procedures'!$B$2:$B$5,"Not mapped")</f>
        <v>Office visit, established patient, 15 min</v>
      </c>
    </row>
    <row r="67" spans="1:5" ht="18" customHeight="1" x14ac:dyDescent="0.25">
      <c r="A67" s="1" t="s">
        <v>4899</v>
      </c>
      <c r="B67" s="1" t="s">
        <v>2903</v>
      </c>
      <c r="C67" s="1">
        <v>99213</v>
      </c>
      <c r="D67" s="6">
        <v>444.72</v>
      </c>
      <c r="E67" s="1" t="str">
        <f>_xlfn.XLOOKUP(C67,'Clean Procedures'!$A$2:$A$5,'Clean Procedures'!$B$2:$B$5,"Not mapped")</f>
        <v>Office visit, established patient, 15 min</v>
      </c>
    </row>
    <row r="68" spans="1:5" ht="18" customHeight="1" x14ac:dyDescent="0.25">
      <c r="A68" s="1" t="s">
        <v>4536</v>
      </c>
      <c r="B68" s="1" t="s">
        <v>2222</v>
      </c>
      <c r="C68" s="1">
        <v>80053</v>
      </c>
      <c r="D68" s="6">
        <v>444.53</v>
      </c>
      <c r="E68" s="1" t="str">
        <f>_xlfn.XLOOKUP(C68,'Clean Procedures'!$A$2:$A$5,'Clean Procedures'!$B$2:$B$5,"Not mapped")</f>
        <v>Comprehensive metabolic panel</v>
      </c>
    </row>
    <row r="69" spans="1:5" ht="18" customHeight="1" x14ac:dyDescent="0.25">
      <c r="A69" s="1" t="s">
        <v>4859</v>
      </c>
      <c r="B69" s="1" t="s">
        <v>2834</v>
      </c>
      <c r="C69" s="1">
        <v>99203</v>
      </c>
      <c r="D69" s="6">
        <v>444.08</v>
      </c>
      <c r="E69" s="1" t="str">
        <f>_xlfn.XLOOKUP(C69,'Clean Procedures'!$A$2:$A$5,'Clean Procedures'!$B$2:$B$5,"Not mapped")</f>
        <v>Office visit, new patient, 30 min</v>
      </c>
    </row>
    <row r="70" spans="1:5" ht="18" customHeight="1" x14ac:dyDescent="0.25">
      <c r="A70" s="1" t="s">
        <v>4579</v>
      </c>
      <c r="B70" s="1" t="s">
        <v>2308</v>
      </c>
      <c r="C70" s="1">
        <v>99213</v>
      </c>
      <c r="D70" s="6">
        <v>442.87</v>
      </c>
      <c r="E70" s="1" t="str">
        <f>_xlfn.XLOOKUP(C70,'Clean Procedures'!$A$2:$A$5,'Clean Procedures'!$B$2:$B$5,"Not mapped")</f>
        <v>Office visit, established patient, 15 min</v>
      </c>
    </row>
    <row r="71" spans="1:5" ht="18" customHeight="1" x14ac:dyDescent="0.25">
      <c r="A71" s="1" t="s">
        <v>4896</v>
      </c>
      <c r="B71" s="1" t="s">
        <v>2897</v>
      </c>
      <c r="C71" s="1">
        <v>99213</v>
      </c>
      <c r="D71" s="6">
        <v>442.46</v>
      </c>
      <c r="E71" s="1" t="str">
        <f>_xlfn.XLOOKUP(C71,'Clean Procedures'!$A$2:$A$5,'Clean Procedures'!$B$2:$B$5,"Not mapped")</f>
        <v>Office visit, established patient, 15 min</v>
      </c>
    </row>
    <row r="72" spans="1:5" ht="18" customHeight="1" x14ac:dyDescent="0.25">
      <c r="A72" s="1" t="s">
        <v>4838</v>
      </c>
      <c r="B72" s="1" t="s">
        <v>2796</v>
      </c>
      <c r="C72" s="1">
        <v>80053</v>
      </c>
      <c r="D72" s="6">
        <v>442.44</v>
      </c>
      <c r="E72" s="1" t="str">
        <f>_xlfn.XLOOKUP(C72,'Clean Procedures'!$A$2:$A$5,'Clean Procedures'!$B$2:$B$5,"Not mapped")</f>
        <v>Comprehensive metabolic panel</v>
      </c>
    </row>
    <row r="73" spans="1:5" ht="18" customHeight="1" x14ac:dyDescent="0.25">
      <c r="A73" s="1" t="s">
        <v>4757</v>
      </c>
      <c r="B73" s="1" t="s">
        <v>2650</v>
      </c>
      <c r="C73" s="1">
        <v>99203</v>
      </c>
      <c r="D73" s="6">
        <v>440.43</v>
      </c>
      <c r="E73" s="1" t="str">
        <f>_xlfn.XLOOKUP(C73,'Clean Procedures'!$A$2:$A$5,'Clean Procedures'!$B$2:$B$5,"Not mapped")</f>
        <v>Office visit, new patient, 30 min</v>
      </c>
    </row>
    <row r="74" spans="1:5" ht="18" customHeight="1" x14ac:dyDescent="0.25">
      <c r="A74" s="1" t="s">
        <v>4729</v>
      </c>
      <c r="B74" s="1" t="s">
        <v>2596</v>
      </c>
      <c r="C74" s="1">
        <v>99213</v>
      </c>
      <c r="D74" s="6">
        <v>439.2</v>
      </c>
      <c r="E74" s="1" t="str">
        <f>_xlfn.XLOOKUP(C74,'Clean Procedures'!$A$2:$A$5,'Clean Procedures'!$B$2:$B$5,"Not mapped")</f>
        <v>Office visit, established patient, 15 min</v>
      </c>
    </row>
    <row r="75" spans="1:5" ht="18" customHeight="1" x14ac:dyDescent="0.25">
      <c r="A75" s="1" t="s">
        <v>4527</v>
      </c>
      <c r="B75" s="1" t="s">
        <v>2204</v>
      </c>
      <c r="C75" s="1">
        <v>85025</v>
      </c>
      <c r="D75" s="6">
        <v>438.77</v>
      </c>
      <c r="E75" s="1" t="str">
        <f>_xlfn.XLOOKUP(C75,'Clean Procedures'!$A$2:$A$5,'Clean Procedures'!$B$2:$B$5,"Not mapped")</f>
        <v>Complete blood count (CBC)</v>
      </c>
    </row>
    <row r="76" spans="1:5" ht="18" customHeight="1" x14ac:dyDescent="0.25">
      <c r="A76" s="1" t="s">
        <v>4708</v>
      </c>
      <c r="B76" s="1" t="s">
        <v>2556</v>
      </c>
      <c r="C76" s="1">
        <v>99203</v>
      </c>
      <c r="D76" s="6">
        <v>437.71</v>
      </c>
      <c r="E76" s="1" t="str">
        <f>_xlfn.XLOOKUP(C76,'Clean Procedures'!$A$2:$A$5,'Clean Procedures'!$B$2:$B$5,"Not mapped")</f>
        <v>Office visit, new patient, 30 min</v>
      </c>
    </row>
    <row r="77" spans="1:5" ht="18" customHeight="1" x14ac:dyDescent="0.25">
      <c r="A77" s="1" t="s">
        <v>4748</v>
      </c>
      <c r="B77" s="1" t="s">
        <v>2633</v>
      </c>
      <c r="C77" s="1">
        <v>99203</v>
      </c>
      <c r="D77" s="6">
        <v>436.47</v>
      </c>
      <c r="E77" s="1" t="str">
        <f>_xlfn.XLOOKUP(C77,'Clean Procedures'!$A$2:$A$5,'Clean Procedures'!$B$2:$B$5,"Not mapped")</f>
        <v>Office visit, new patient, 30 min</v>
      </c>
    </row>
    <row r="78" spans="1:5" ht="18" customHeight="1" x14ac:dyDescent="0.25">
      <c r="A78" s="1" t="s">
        <v>4654</v>
      </c>
      <c r="B78" s="1" t="s">
        <v>2453</v>
      </c>
      <c r="C78" s="1">
        <v>85025</v>
      </c>
      <c r="D78" s="6">
        <v>432.74</v>
      </c>
      <c r="E78" s="1" t="str">
        <f>_xlfn.XLOOKUP(C78,'Clean Procedures'!$A$2:$A$5,'Clean Procedures'!$B$2:$B$5,"Not mapped")</f>
        <v>Complete blood count (CBC)</v>
      </c>
    </row>
    <row r="79" spans="1:5" ht="18" customHeight="1" x14ac:dyDescent="0.25">
      <c r="A79" s="1" t="s">
        <v>4482</v>
      </c>
      <c r="B79" s="1" t="s">
        <v>2085</v>
      </c>
      <c r="C79" s="1">
        <v>99213</v>
      </c>
      <c r="D79" s="6">
        <v>432.61</v>
      </c>
      <c r="E79" s="1" t="str">
        <f>_xlfn.XLOOKUP(C79,'Clean Procedures'!$A$2:$A$5,'Clean Procedures'!$B$2:$B$5,"Not mapped")</f>
        <v>Office visit, established patient, 15 min</v>
      </c>
    </row>
    <row r="80" spans="1:5" ht="18" customHeight="1" x14ac:dyDescent="0.25">
      <c r="A80" s="1" t="s">
        <v>4502</v>
      </c>
      <c r="B80" s="1" t="s">
        <v>2146</v>
      </c>
      <c r="C80" s="1">
        <v>80053</v>
      </c>
      <c r="D80" s="6">
        <v>429.87</v>
      </c>
      <c r="E80" s="1" t="str">
        <f>_xlfn.XLOOKUP(C80,'Clean Procedures'!$A$2:$A$5,'Clean Procedures'!$B$2:$B$5,"Not mapped")</f>
        <v>Comprehensive metabolic panel</v>
      </c>
    </row>
    <row r="81" spans="1:5" ht="18" customHeight="1" x14ac:dyDescent="0.25">
      <c r="A81" s="1" t="s">
        <v>4800</v>
      </c>
      <c r="B81" s="1" t="s">
        <v>2728</v>
      </c>
      <c r="C81" s="1">
        <v>99213</v>
      </c>
      <c r="D81" s="6">
        <v>428.66</v>
      </c>
      <c r="E81" s="1" t="str">
        <f>_xlfn.XLOOKUP(C81,'Clean Procedures'!$A$2:$A$5,'Clean Procedures'!$B$2:$B$5,"Not mapped")</f>
        <v>Office visit, established patient, 15 min</v>
      </c>
    </row>
    <row r="82" spans="1:5" ht="18" customHeight="1" x14ac:dyDescent="0.25">
      <c r="A82" s="1" t="s">
        <v>4914</v>
      </c>
      <c r="B82" s="1" t="s">
        <v>2929</v>
      </c>
      <c r="C82" s="1">
        <v>85025</v>
      </c>
      <c r="D82" s="6">
        <v>428.62</v>
      </c>
      <c r="E82" s="1" t="str">
        <f>_xlfn.XLOOKUP(C82,'Clean Procedures'!$A$2:$A$5,'Clean Procedures'!$B$2:$B$5,"Not mapped")</f>
        <v>Complete blood count (CBC)</v>
      </c>
    </row>
    <row r="83" spans="1:5" ht="18" customHeight="1" x14ac:dyDescent="0.25">
      <c r="A83" s="1" t="s">
        <v>4511</v>
      </c>
      <c r="B83" s="1" t="s">
        <v>2168</v>
      </c>
      <c r="C83" s="1">
        <v>99203</v>
      </c>
      <c r="D83" s="6">
        <v>427.73</v>
      </c>
      <c r="E83" s="1" t="str">
        <f>_xlfn.XLOOKUP(C83,'Clean Procedures'!$A$2:$A$5,'Clean Procedures'!$B$2:$B$5,"Not mapped")</f>
        <v>Office visit, new patient, 30 min</v>
      </c>
    </row>
    <row r="84" spans="1:5" ht="18" customHeight="1" x14ac:dyDescent="0.25">
      <c r="A84" s="1" t="s">
        <v>4885</v>
      </c>
      <c r="B84" s="1" t="s">
        <v>2881</v>
      </c>
      <c r="C84" s="1">
        <v>99203</v>
      </c>
      <c r="D84" s="6">
        <v>427.14</v>
      </c>
      <c r="E84" s="1" t="str">
        <f>_xlfn.XLOOKUP(C84,'Clean Procedures'!$A$2:$A$5,'Clean Procedures'!$B$2:$B$5,"Not mapped")</f>
        <v>Office visit, new patient, 30 min</v>
      </c>
    </row>
    <row r="85" spans="1:5" ht="18" customHeight="1" x14ac:dyDescent="0.25">
      <c r="A85" s="1" t="s">
        <v>4736</v>
      </c>
      <c r="B85" s="1" t="s">
        <v>2610</v>
      </c>
      <c r="C85" s="1">
        <v>99203</v>
      </c>
      <c r="D85" s="6">
        <v>426.34</v>
      </c>
      <c r="E85" s="1" t="str">
        <f>_xlfn.XLOOKUP(C85,'Clean Procedures'!$A$2:$A$5,'Clean Procedures'!$B$2:$B$5,"Not mapped")</f>
        <v>Office visit, new patient, 30 min</v>
      </c>
    </row>
    <row r="86" spans="1:5" ht="18" customHeight="1" x14ac:dyDescent="0.25">
      <c r="A86" s="1" t="s">
        <v>4703</v>
      </c>
      <c r="B86" s="1" t="s">
        <v>2547</v>
      </c>
      <c r="C86" s="1">
        <v>99203</v>
      </c>
      <c r="D86" s="6">
        <v>426.02</v>
      </c>
      <c r="E86" s="1" t="str">
        <f>_xlfn.XLOOKUP(C86,'Clean Procedures'!$A$2:$A$5,'Clean Procedures'!$B$2:$B$5,"Not mapped")</f>
        <v>Office visit, new patient, 30 min</v>
      </c>
    </row>
    <row r="87" spans="1:5" ht="18" customHeight="1" x14ac:dyDescent="0.25">
      <c r="A87" s="1" t="s">
        <v>4815</v>
      </c>
      <c r="B87" s="1" t="s">
        <v>2755</v>
      </c>
      <c r="C87" s="1">
        <v>99213</v>
      </c>
      <c r="D87" s="6">
        <v>425.09</v>
      </c>
      <c r="E87" s="1" t="str">
        <f>_xlfn.XLOOKUP(C87,'Clean Procedures'!$A$2:$A$5,'Clean Procedures'!$B$2:$B$5,"Not mapped")</f>
        <v>Office visit, established patient, 15 min</v>
      </c>
    </row>
    <row r="88" spans="1:5" ht="18" customHeight="1" x14ac:dyDescent="0.25">
      <c r="A88" s="1" t="s">
        <v>4569</v>
      </c>
      <c r="B88" s="1" t="s">
        <v>2288</v>
      </c>
      <c r="C88" s="1">
        <v>99213</v>
      </c>
      <c r="D88" s="6">
        <v>424.68</v>
      </c>
      <c r="E88" s="1" t="str">
        <f>_xlfn.XLOOKUP(C88,'Clean Procedures'!$A$2:$A$5,'Clean Procedures'!$B$2:$B$5,"Not mapped")</f>
        <v>Office visit, established patient, 15 min</v>
      </c>
    </row>
    <row r="89" spans="1:5" ht="18" customHeight="1" x14ac:dyDescent="0.25">
      <c r="A89" s="1" t="s">
        <v>4608</v>
      </c>
      <c r="B89" s="1" t="s">
        <v>2365</v>
      </c>
      <c r="C89" s="1">
        <v>99203</v>
      </c>
      <c r="D89" s="6">
        <v>424.12</v>
      </c>
      <c r="E89" s="1" t="str">
        <f>_xlfn.XLOOKUP(C89,'Clean Procedures'!$A$2:$A$5,'Clean Procedures'!$B$2:$B$5,"Not mapped")</f>
        <v>Office visit, new patient, 30 min</v>
      </c>
    </row>
    <row r="90" spans="1:5" ht="18" customHeight="1" x14ac:dyDescent="0.25">
      <c r="A90" s="1" t="s">
        <v>4644</v>
      </c>
      <c r="B90" s="1" t="s">
        <v>2433</v>
      </c>
      <c r="C90" s="1">
        <v>99213</v>
      </c>
      <c r="D90" s="6">
        <v>423.81</v>
      </c>
      <c r="E90" s="1" t="str">
        <f>_xlfn.XLOOKUP(C90,'Clean Procedures'!$A$2:$A$5,'Clean Procedures'!$B$2:$B$5,"Not mapped")</f>
        <v>Office visit, established patient, 15 min</v>
      </c>
    </row>
    <row r="91" spans="1:5" ht="18" customHeight="1" x14ac:dyDescent="0.25">
      <c r="A91" s="1" t="s">
        <v>4666</v>
      </c>
      <c r="B91" s="1" t="s">
        <v>2477</v>
      </c>
      <c r="C91" s="1">
        <v>99213</v>
      </c>
      <c r="D91" s="6">
        <v>422.3</v>
      </c>
      <c r="E91" s="1" t="str">
        <f>_xlfn.XLOOKUP(C91,'Clean Procedures'!$A$2:$A$5,'Clean Procedures'!$B$2:$B$5,"Not mapped")</f>
        <v>Office visit, established patient, 15 min</v>
      </c>
    </row>
    <row r="92" spans="1:5" ht="18" customHeight="1" x14ac:dyDescent="0.25">
      <c r="A92" s="1" t="s">
        <v>4630</v>
      </c>
      <c r="B92" s="1" t="s">
        <v>2406</v>
      </c>
      <c r="C92" s="1">
        <v>80053</v>
      </c>
      <c r="D92" s="6">
        <v>421.93</v>
      </c>
      <c r="E92" s="1" t="str">
        <f>_xlfn.XLOOKUP(C92,'Clean Procedures'!$A$2:$A$5,'Clean Procedures'!$B$2:$B$5,"Not mapped")</f>
        <v>Comprehensive metabolic panel</v>
      </c>
    </row>
    <row r="93" spans="1:5" ht="18" customHeight="1" x14ac:dyDescent="0.25">
      <c r="A93" s="1" t="s">
        <v>4861</v>
      </c>
      <c r="B93" s="1" t="s">
        <v>2838</v>
      </c>
      <c r="C93" s="1">
        <v>99213</v>
      </c>
      <c r="D93" s="6">
        <v>421.62</v>
      </c>
      <c r="E93" s="1" t="str">
        <f>_xlfn.XLOOKUP(C93,'Clean Procedures'!$A$2:$A$5,'Clean Procedures'!$B$2:$B$5,"Not mapped")</f>
        <v>Office visit, established patient, 15 min</v>
      </c>
    </row>
    <row r="94" spans="1:5" ht="18" customHeight="1" x14ac:dyDescent="0.25">
      <c r="A94" s="1" t="s">
        <v>4827</v>
      </c>
      <c r="B94" s="1" t="s">
        <v>2778</v>
      </c>
      <c r="C94" s="1">
        <v>80053</v>
      </c>
      <c r="D94" s="6">
        <v>418.01</v>
      </c>
      <c r="E94" s="1" t="str">
        <f>_xlfn.XLOOKUP(C94,'Clean Procedures'!$A$2:$A$5,'Clean Procedures'!$B$2:$B$5,"Not mapped")</f>
        <v>Comprehensive metabolic panel</v>
      </c>
    </row>
    <row r="95" spans="1:5" ht="18" customHeight="1" x14ac:dyDescent="0.25">
      <c r="A95" s="1" t="s">
        <v>4962</v>
      </c>
      <c r="B95" s="1" t="s">
        <v>3011</v>
      </c>
      <c r="C95" s="1">
        <v>80053</v>
      </c>
      <c r="D95" s="6">
        <v>417.21</v>
      </c>
      <c r="E95" s="1" t="str">
        <f>_xlfn.XLOOKUP(C95,'Clean Procedures'!$A$2:$A$5,'Clean Procedures'!$B$2:$B$5,"Not mapped")</f>
        <v>Comprehensive metabolic panel</v>
      </c>
    </row>
    <row r="96" spans="1:5" ht="18" customHeight="1" x14ac:dyDescent="0.25">
      <c r="A96" s="1" t="s">
        <v>4667</v>
      </c>
      <c r="B96" s="1" t="s">
        <v>2479</v>
      </c>
      <c r="C96" s="1">
        <v>80053</v>
      </c>
      <c r="D96" s="6">
        <v>416.87</v>
      </c>
      <c r="E96" s="1" t="str">
        <f>_xlfn.XLOOKUP(C96,'Clean Procedures'!$A$2:$A$5,'Clean Procedures'!$B$2:$B$5,"Not mapped")</f>
        <v>Comprehensive metabolic panel</v>
      </c>
    </row>
    <row r="97" spans="1:5" ht="18" customHeight="1" x14ac:dyDescent="0.25">
      <c r="A97" s="1" t="s">
        <v>4864</v>
      </c>
      <c r="B97" s="1" t="s">
        <v>2843</v>
      </c>
      <c r="C97" s="1">
        <v>99203</v>
      </c>
      <c r="D97" s="6">
        <v>416.87</v>
      </c>
      <c r="E97" s="1" t="str">
        <f>_xlfn.XLOOKUP(C97,'Clean Procedures'!$A$2:$A$5,'Clean Procedures'!$B$2:$B$5,"Not mapped")</f>
        <v>Office visit, new patient, 30 min</v>
      </c>
    </row>
    <row r="98" spans="1:5" ht="18" customHeight="1" x14ac:dyDescent="0.25">
      <c r="A98" s="1" t="s">
        <v>4931</v>
      </c>
      <c r="B98" s="1" t="s">
        <v>2956</v>
      </c>
      <c r="C98" s="1">
        <v>99203</v>
      </c>
      <c r="D98" s="6">
        <v>416.75</v>
      </c>
      <c r="E98" s="1" t="str">
        <f>_xlfn.XLOOKUP(C98,'Clean Procedures'!$A$2:$A$5,'Clean Procedures'!$B$2:$B$5,"Not mapped")</f>
        <v>Office visit, new patient, 30 min</v>
      </c>
    </row>
    <row r="99" spans="1:5" ht="18" customHeight="1" x14ac:dyDescent="0.25">
      <c r="A99" s="1" t="s">
        <v>4900</v>
      </c>
      <c r="B99" s="1" t="s">
        <v>2905</v>
      </c>
      <c r="C99" s="1">
        <v>99213</v>
      </c>
      <c r="D99" s="6">
        <v>416.09</v>
      </c>
      <c r="E99" s="1" t="str">
        <f>_xlfn.XLOOKUP(C99,'Clean Procedures'!$A$2:$A$5,'Clean Procedures'!$B$2:$B$5,"Not mapped")</f>
        <v>Office visit, established patient, 15 min</v>
      </c>
    </row>
    <row r="100" spans="1:5" ht="18" customHeight="1" x14ac:dyDescent="0.25">
      <c r="A100" s="1" t="s">
        <v>4741</v>
      </c>
      <c r="B100" s="1" t="s">
        <v>2619</v>
      </c>
      <c r="C100" s="1">
        <v>99203</v>
      </c>
      <c r="D100" s="6">
        <v>415.4</v>
      </c>
      <c r="E100" s="1" t="str">
        <f>_xlfn.XLOOKUP(C100,'Clean Procedures'!$A$2:$A$5,'Clean Procedures'!$B$2:$B$5,"Not mapped")</f>
        <v>Office visit, new patient, 30 min</v>
      </c>
    </row>
    <row r="101" spans="1:5" ht="18" customHeight="1" x14ac:dyDescent="0.25">
      <c r="A101" s="1" t="s">
        <v>4874</v>
      </c>
      <c r="B101" s="1" t="s">
        <v>2862</v>
      </c>
      <c r="C101" s="1">
        <v>85025</v>
      </c>
      <c r="D101" s="6">
        <v>415.32</v>
      </c>
      <c r="E101" s="1" t="str">
        <f>_xlfn.XLOOKUP(C101,'Clean Procedures'!$A$2:$A$5,'Clean Procedures'!$B$2:$B$5,"Not mapped")</f>
        <v>Complete blood count (CBC)</v>
      </c>
    </row>
    <row r="102" spans="1:5" ht="18" customHeight="1" x14ac:dyDescent="0.25">
      <c r="A102" s="1" t="s">
        <v>4811</v>
      </c>
      <c r="B102" s="1" t="s">
        <v>2747</v>
      </c>
      <c r="C102" s="1">
        <v>99203</v>
      </c>
      <c r="D102" s="6">
        <v>414.08</v>
      </c>
      <c r="E102" s="1" t="str">
        <f>_xlfn.XLOOKUP(C102,'Clean Procedures'!$A$2:$A$5,'Clean Procedures'!$B$2:$B$5,"Not mapped")</f>
        <v>Office visit, new patient, 30 min</v>
      </c>
    </row>
    <row r="103" spans="1:5" ht="18" customHeight="1" x14ac:dyDescent="0.25">
      <c r="A103" s="1" t="s">
        <v>4730</v>
      </c>
      <c r="B103" s="1" t="s">
        <v>2598</v>
      </c>
      <c r="C103" s="1">
        <v>80053</v>
      </c>
      <c r="D103" s="6">
        <v>413.65</v>
      </c>
      <c r="E103" s="1" t="str">
        <f>_xlfn.XLOOKUP(C103,'Clean Procedures'!$A$2:$A$5,'Clean Procedures'!$B$2:$B$5,"Not mapped")</f>
        <v>Comprehensive metabolic panel</v>
      </c>
    </row>
    <row r="104" spans="1:5" ht="18" customHeight="1" x14ac:dyDescent="0.25">
      <c r="A104" s="1" t="s">
        <v>4913</v>
      </c>
      <c r="B104" s="1" t="s">
        <v>2927</v>
      </c>
      <c r="C104" s="1">
        <v>99213</v>
      </c>
      <c r="D104" s="6">
        <v>413.65</v>
      </c>
      <c r="E104" s="1" t="str">
        <f>_xlfn.XLOOKUP(C104,'Clean Procedures'!$A$2:$A$5,'Clean Procedures'!$B$2:$B$5,"Not mapped")</f>
        <v>Office visit, established patient, 15 min</v>
      </c>
    </row>
    <row r="105" spans="1:5" ht="18" customHeight="1" x14ac:dyDescent="0.25">
      <c r="A105" s="1" t="s">
        <v>4663</v>
      </c>
      <c r="B105" s="1" t="s">
        <v>2471</v>
      </c>
      <c r="C105" s="1">
        <v>99213</v>
      </c>
      <c r="D105" s="6">
        <v>413.44</v>
      </c>
      <c r="E105" s="1" t="str">
        <f>_xlfn.XLOOKUP(C105,'Clean Procedures'!$A$2:$A$5,'Clean Procedures'!$B$2:$B$5,"Not mapped")</f>
        <v>Office visit, established patient, 15 min</v>
      </c>
    </row>
    <row r="106" spans="1:5" ht="18" customHeight="1" x14ac:dyDescent="0.25">
      <c r="A106" s="1" t="s">
        <v>4933</v>
      </c>
      <c r="B106" s="1" t="s">
        <v>2959</v>
      </c>
      <c r="C106" s="1">
        <v>85025</v>
      </c>
      <c r="D106" s="6">
        <v>412.59</v>
      </c>
      <c r="E106" s="1" t="str">
        <f>_xlfn.XLOOKUP(C106,'Clean Procedures'!$A$2:$A$5,'Clean Procedures'!$B$2:$B$5,"Not mapped")</f>
        <v>Complete blood count (CBC)</v>
      </c>
    </row>
    <row r="107" spans="1:5" ht="18" customHeight="1" x14ac:dyDescent="0.25">
      <c r="A107" s="1" t="s">
        <v>4964</v>
      </c>
      <c r="B107" s="1" t="s">
        <v>3014</v>
      </c>
      <c r="C107" s="1">
        <v>99213</v>
      </c>
      <c r="D107" s="6">
        <v>411.84</v>
      </c>
      <c r="E107" s="1" t="str">
        <f>_xlfn.XLOOKUP(C107,'Clean Procedures'!$A$2:$A$5,'Clean Procedures'!$B$2:$B$5,"Not mapped")</f>
        <v>Office visit, established patient, 15 min</v>
      </c>
    </row>
    <row r="108" spans="1:5" ht="18" customHeight="1" x14ac:dyDescent="0.25">
      <c r="A108" s="1" t="s">
        <v>4967</v>
      </c>
      <c r="B108" s="1" t="s">
        <v>3020</v>
      </c>
      <c r="C108" s="1">
        <v>99213</v>
      </c>
      <c r="D108" s="6">
        <v>408.5</v>
      </c>
      <c r="E108" s="1" t="str">
        <f>_xlfn.XLOOKUP(C108,'Clean Procedures'!$A$2:$A$5,'Clean Procedures'!$B$2:$B$5,"Not mapped")</f>
        <v>Office visit, established patient, 15 min</v>
      </c>
    </row>
    <row r="109" spans="1:5" ht="18" customHeight="1" x14ac:dyDescent="0.25">
      <c r="A109" s="1" t="s">
        <v>4823</v>
      </c>
      <c r="B109" s="1" t="s">
        <v>2770</v>
      </c>
      <c r="C109" s="1">
        <v>85025</v>
      </c>
      <c r="D109" s="6">
        <v>407.89</v>
      </c>
      <c r="E109" s="1" t="str">
        <f>_xlfn.XLOOKUP(C109,'Clean Procedures'!$A$2:$A$5,'Clean Procedures'!$B$2:$B$5,"Not mapped")</f>
        <v>Complete blood count (CBC)</v>
      </c>
    </row>
    <row r="110" spans="1:5" ht="18" customHeight="1" x14ac:dyDescent="0.25">
      <c r="A110" s="1" t="s">
        <v>4591</v>
      </c>
      <c r="B110" s="1" t="s">
        <v>2332</v>
      </c>
      <c r="C110" s="1">
        <v>85025</v>
      </c>
      <c r="D110" s="6">
        <v>406.65</v>
      </c>
      <c r="E110" s="1" t="str">
        <f>_xlfn.XLOOKUP(C110,'Clean Procedures'!$A$2:$A$5,'Clean Procedures'!$B$2:$B$5,"Not mapped")</f>
        <v>Complete blood count (CBC)</v>
      </c>
    </row>
    <row r="111" spans="1:5" ht="18" customHeight="1" x14ac:dyDescent="0.25">
      <c r="A111" s="1" t="s">
        <v>4551</v>
      </c>
      <c r="B111" s="1" t="s">
        <v>2253</v>
      </c>
      <c r="C111" s="1">
        <v>99203</v>
      </c>
      <c r="D111" s="6">
        <v>404.03</v>
      </c>
      <c r="E111" s="1" t="str">
        <f>_xlfn.XLOOKUP(C111,'Clean Procedures'!$A$2:$A$5,'Clean Procedures'!$B$2:$B$5,"Not mapped")</f>
        <v>Office visit, new patient, 30 min</v>
      </c>
    </row>
    <row r="112" spans="1:5" ht="18" customHeight="1" x14ac:dyDescent="0.25">
      <c r="A112" s="1" t="s">
        <v>4766</v>
      </c>
      <c r="B112" s="1" t="s">
        <v>2668</v>
      </c>
      <c r="C112" s="1">
        <v>80053</v>
      </c>
      <c r="D112" s="6">
        <v>403.82</v>
      </c>
      <c r="E112" s="1" t="str">
        <f>_xlfn.XLOOKUP(C112,'Clean Procedures'!$A$2:$A$5,'Clean Procedures'!$B$2:$B$5,"Not mapped")</f>
        <v>Comprehensive metabolic panel</v>
      </c>
    </row>
    <row r="113" spans="1:5" ht="18" customHeight="1" x14ac:dyDescent="0.25">
      <c r="A113" s="1" t="s">
        <v>4678</v>
      </c>
      <c r="B113" s="1" t="s">
        <v>2499</v>
      </c>
      <c r="C113" s="1">
        <v>85025</v>
      </c>
      <c r="D113" s="6">
        <v>403.58</v>
      </c>
      <c r="E113" s="1" t="str">
        <f>_xlfn.XLOOKUP(C113,'Clean Procedures'!$A$2:$A$5,'Clean Procedures'!$B$2:$B$5,"Not mapped")</f>
        <v>Complete blood count (CBC)</v>
      </c>
    </row>
    <row r="114" spans="1:5" ht="18" customHeight="1" x14ac:dyDescent="0.25">
      <c r="A114" s="1" t="s">
        <v>4818</v>
      </c>
      <c r="B114" s="1" t="s">
        <v>2761</v>
      </c>
      <c r="C114" s="1">
        <v>85025</v>
      </c>
      <c r="D114" s="6">
        <v>403.15</v>
      </c>
      <c r="E114" s="1" t="str">
        <f>_xlfn.XLOOKUP(C114,'Clean Procedures'!$A$2:$A$5,'Clean Procedures'!$B$2:$B$5,"Not mapped")</f>
        <v>Complete blood count (CBC)</v>
      </c>
    </row>
    <row r="115" spans="1:5" ht="18" customHeight="1" x14ac:dyDescent="0.25">
      <c r="A115" s="1" t="s">
        <v>4813</v>
      </c>
      <c r="B115" s="1" t="s">
        <v>2751</v>
      </c>
      <c r="C115" s="1">
        <v>85025</v>
      </c>
      <c r="D115" s="6">
        <v>402.02</v>
      </c>
      <c r="E115" s="1" t="str">
        <f>_xlfn.XLOOKUP(C115,'Clean Procedures'!$A$2:$A$5,'Clean Procedures'!$B$2:$B$5,"Not mapped")</f>
        <v>Complete blood count (CBC)</v>
      </c>
    </row>
    <row r="116" spans="1:5" ht="18" customHeight="1" x14ac:dyDescent="0.25">
      <c r="A116" s="1" t="s">
        <v>4571</v>
      </c>
      <c r="B116" s="1" t="s">
        <v>2292</v>
      </c>
      <c r="C116" s="1">
        <v>99203</v>
      </c>
      <c r="D116" s="6">
        <v>401.64</v>
      </c>
      <c r="E116" s="1" t="str">
        <f>_xlfn.XLOOKUP(C116,'Clean Procedures'!$A$2:$A$5,'Clean Procedures'!$B$2:$B$5,"Not mapped")</f>
        <v>Office visit, new patient, 30 min</v>
      </c>
    </row>
    <row r="117" spans="1:5" ht="18" customHeight="1" x14ac:dyDescent="0.25">
      <c r="A117" s="1" t="s">
        <v>4606</v>
      </c>
      <c r="B117" s="1" t="s">
        <v>2361</v>
      </c>
      <c r="C117" s="1">
        <v>99213</v>
      </c>
      <c r="D117" s="6">
        <v>400.19</v>
      </c>
      <c r="E117" s="1" t="str">
        <f>_xlfn.XLOOKUP(C117,'Clean Procedures'!$A$2:$A$5,'Clean Procedures'!$B$2:$B$5,"Not mapped")</f>
        <v>Office visit, established patient, 15 min</v>
      </c>
    </row>
    <row r="118" spans="1:5" ht="18" customHeight="1" x14ac:dyDescent="0.25">
      <c r="A118" s="1" t="s">
        <v>4936</v>
      </c>
      <c r="B118" s="1" t="s">
        <v>2965</v>
      </c>
      <c r="C118" s="1">
        <v>99203</v>
      </c>
      <c r="D118" s="6">
        <v>400.09</v>
      </c>
      <c r="E118" s="1" t="str">
        <f>_xlfn.XLOOKUP(C118,'Clean Procedures'!$A$2:$A$5,'Clean Procedures'!$B$2:$B$5,"Not mapped")</f>
        <v>Office visit, new patient, 30 min</v>
      </c>
    </row>
    <row r="119" spans="1:5" ht="18" customHeight="1" x14ac:dyDescent="0.25">
      <c r="A119" s="1" t="s">
        <v>4483</v>
      </c>
      <c r="B119" s="1" t="s">
        <v>2090</v>
      </c>
      <c r="C119" s="1">
        <v>80053</v>
      </c>
      <c r="D119" s="6">
        <v>399.89</v>
      </c>
      <c r="E119" s="1" t="str">
        <f>_xlfn.XLOOKUP(C119,'Clean Procedures'!$A$2:$A$5,'Clean Procedures'!$B$2:$B$5,"Not mapped")</f>
        <v>Comprehensive metabolic panel</v>
      </c>
    </row>
    <row r="120" spans="1:5" ht="18" customHeight="1" x14ac:dyDescent="0.25">
      <c r="A120" s="1" t="s">
        <v>4560</v>
      </c>
      <c r="B120" s="1" t="s">
        <v>2271</v>
      </c>
      <c r="C120" s="1">
        <v>80053</v>
      </c>
      <c r="D120" s="6">
        <v>398.42</v>
      </c>
      <c r="E120" s="1" t="str">
        <f>_xlfn.XLOOKUP(C120,'Clean Procedures'!$A$2:$A$5,'Clean Procedures'!$B$2:$B$5,"Not mapped")</f>
        <v>Comprehensive metabolic panel</v>
      </c>
    </row>
    <row r="121" spans="1:5" ht="18" customHeight="1" x14ac:dyDescent="0.25">
      <c r="A121" s="1" t="s">
        <v>4890</v>
      </c>
      <c r="B121" s="1" t="s">
        <v>2888</v>
      </c>
      <c r="C121" s="1">
        <v>99213</v>
      </c>
      <c r="D121" s="6">
        <v>398.21</v>
      </c>
      <c r="E121" s="1" t="str">
        <f>_xlfn.XLOOKUP(C121,'Clean Procedures'!$A$2:$A$5,'Clean Procedures'!$B$2:$B$5,"Not mapped")</f>
        <v>Office visit, established patient, 15 min</v>
      </c>
    </row>
    <row r="122" spans="1:5" ht="18" customHeight="1" x14ac:dyDescent="0.25">
      <c r="A122" s="1" t="s">
        <v>4949</v>
      </c>
      <c r="B122" s="1" t="s">
        <v>2987</v>
      </c>
      <c r="C122" s="1">
        <v>80053</v>
      </c>
      <c r="D122" s="6">
        <v>397.6</v>
      </c>
      <c r="E122" s="1" t="str">
        <f>_xlfn.XLOOKUP(C122,'Clean Procedures'!$A$2:$A$5,'Clean Procedures'!$B$2:$B$5,"Not mapped")</f>
        <v>Comprehensive metabolic panel</v>
      </c>
    </row>
    <row r="123" spans="1:5" ht="18" customHeight="1" x14ac:dyDescent="0.25">
      <c r="A123" s="1" t="s">
        <v>4954</v>
      </c>
      <c r="B123" s="1" t="s">
        <v>2996</v>
      </c>
      <c r="C123" s="1">
        <v>80053</v>
      </c>
      <c r="D123" s="6">
        <v>397.05</v>
      </c>
      <c r="E123" s="1" t="str">
        <f>_xlfn.XLOOKUP(C123,'Clean Procedures'!$A$2:$A$5,'Clean Procedures'!$B$2:$B$5,"Not mapped")</f>
        <v>Comprehensive metabolic panel</v>
      </c>
    </row>
    <row r="124" spans="1:5" ht="18" customHeight="1" x14ac:dyDescent="0.25">
      <c r="A124" s="1" t="s">
        <v>4944</v>
      </c>
      <c r="B124" s="1" t="s">
        <v>2980</v>
      </c>
      <c r="C124" s="1">
        <v>85025</v>
      </c>
      <c r="D124" s="6">
        <v>395.07</v>
      </c>
      <c r="E124" s="1" t="str">
        <f>_xlfn.XLOOKUP(C124,'Clean Procedures'!$A$2:$A$5,'Clean Procedures'!$B$2:$B$5,"Not mapped")</f>
        <v>Complete blood count (CBC)</v>
      </c>
    </row>
    <row r="125" spans="1:5" ht="18" customHeight="1" x14ac:dyDescent="0.25">
      <c r="A125" s="1" t="s">
        <v>4737</v>
      </c>
      <c r="B125" s="1" t="s">
        <v>2612</v>
      </c>
      <c r="C125" s="1">
        <v>99213</v>
      </c>
      <c r="D125" s="6">
        <v>395.03</v>
      </c>
      <c r="E125" s="1" t="str">
        <f>_xlfn.XLOOKUP(C125,'Clean Procedures'!$A$2:$A$5,'Clean Procedures'!$B$2:$B$5,"Not mapped")</f>
        <v>Office visit, established patient, 15 min</v>
      </c>
    </row>
    <row r="126" spans="1:5" ht="18" customHeight="1" x14ac:dyDescent="0.25">
      <c r="A126" s="1" t="s">
        <v>4491</v>
      </c>
      <c r="B126" s="1" t="s">
        <v>2118</v>
      </c>
      <c r="C126" s="1">
        <v>80053</v>
      </c>
      <c r="D126" s="6">
        <v>393.93</v>
      </c>
      <c r="E126" s="1" t="str">
        <f>_xlfn.XLOOKUP(C126,'Clean Procedures'!$A$2:$A$5,'Clean Procedures'!$B$2:$B$5,"Not mapped")</f>
        <v>Comprehensive metabolic panel</v>
      </c>
    </row>
    <row r="127" spans="1:5" ht="18" customHeight="1" x14ac:dyDescent="0.25">
      <c r="A127" s="1" t="s">
        <v>4831</v>
      </c>
      <c r="B127" s="1" t="s">
        <v>2784</v>
      </c>
      <c r="C127" s="1">
        <v>85025</v>
      </c>
      <c r="D127" s="6">
        <v>393.57</v>
      </c>
      <c r="E127" s="1" t="str">
        <f>_xlfn.XLOOKUP(C127,'Clean Procedures'!$A$2:$A$5,'Clean Procedures'!$B$2:$B$5,"Not mapped")</f>
        <v>Complete blood count (CBC)</v>
      </c>
    </row>
    <row r="128" spans="1:5" ht="18" customHeight="1" x14ac:dyDescent="0.25">
      <c r="A128" s="1" t="s">
        <v>4531</v>
      </c>
      <c r="B128" s="1" t="s">
        <v>2211</v>
      </c>
      <c r="C128" s="1">
        <v>99213</v>
      </c>
      <c r="D128" s="6">
        <v>392.93</v>
      </c>
      <c r="E128" s="1" t="str">
        <f>_xlfn.XLOOKUP(C128,'Clean Procedures'!$A$2:$A$5,'Clean Procedures'!$B$2:$B$5,"Not mapped")</f>
        <v>Office visit, established patient, 15 min</v>
      </c>
    </row>
    <row r="129" spans="1:5" ht="18" customHeight="1" x14ac:dyDescent="0.25">
      <c r="A129" s="1" t="s">
        <v>4561</v>
      </c>
      <c r="B129" s="1" t="s">
        <v>2273</v>
      </c>
      <c r="C129" s="1">
        <v>99203</v>
      </c>
      <c r="D129" s="6">
        <v>391.6</v>
      </c>
      <c r="E129" s="1" t="str">
        <f>_xlfn.XLOOKUP(C129,'Clean Procedures'!$A$2:$A$5,'Clean Procedures'!$B$2:$B$5,"Not mapped")</f>
        <v>Office visit, new patient, 30 min</v>
      </c>
    </row>
    <row r="130" spans="1:5" ht="18" customHeight="1" x14ac:dyDescent="0.25">
      <c r="A130" s="1" t="s">
        <v>4803</v>
      </c>
      <c r="B130" s="1" t="s">
        <v>2733</v>
      </c>
      <c r="C130" s="1">
        <v>80053</v>
      </c>
      <c r="D130" s="6">
        <v>390.66</v>
      </c>
      <c r="E130" s="1" t="str">
        <f>_xlfn.XLOOKUP(C130,'Clean Procedures'!$A$2:$A$5,'Clean Procedures'!$B$2:$B$5,"Not mapped")</f>
        <v>Comprehensive metabolic panel</v>
      </c>
    </row>
    <row r="131" spans="1:5" ht="18" customHeight="1" x14ac:dyDescent="0.25">
      <c r="A131" s="1" t="s">
        <v>4888</v>
      </c>
      <c r="B131" s="1" t="s">
        <v>2885</v>
      </c>
      <c r="C131" s="1">
        <v>85025</v>
      </c>
      <c r="D131" s="6">
        <v>390.59</v>
      </c>
      <c r="E131" s="1" t="str">
        <f>_xlfn.XLOOKUP(C131,'Clean Procedures'!$A$2:$A$5,'Clean Procedures'!$B$2:$B$5,"Not mapped")</f>
        <v>Complete blood count (CBC)</v>
      </c>
    </row>
    <row r="132" spans="1:5" ht="18" customHeight="1" x14ac:dyDescent="0.25">
      <c r="A132" s="1" t="s">
        <v>4680</v>
      </c>
      <c r="B132" s="1" t="s">
        <v>2502</v>
      </c>
      <c r="C132" s="1">
        <v>85025</v>
      </c>
      <c r="D132" s="6">
        <v>385.25</v>
      </c>
      <c r="E132" s="1" t="str">
        <f>_xlfn.XLOOKUP(C132,'Clean Procedures'!$A$2:$A$5,'Clean Procedures'!$B$2:$B$5,"Not mapped")</f>
        <v>Complete blood count (CBC)</v>
      </c>
    </row>
    <row r="133" spans="1:5" ht="18" customHeight="1" x14ac:dyDescent="0.25">
      <c r="A133" s="1" t="s">
        <v>4720</v>
      </c>
      <c r="B133" s="1" t="s">
        <v>2580</v>
      </c>
      <c r="C133" s="1">
        <v>85025</v>
      </c>
      <c r="D133" s="6">
        <v>384.55</v>
      </c>
      <c r="E133" s="1" t="str">
        <f>_xlfn.XLOOKUP(C133,'Clean Procedures'!$A$2:$A$5,'Clean Procedures'!$B$2:$B$5,"Not mapped")</f>
        <v>Complete blood count (CBC)</v>
      </c>
    </row>
    <row r="134" spans="1:5" ht="18" customHeight="1" x14ac:dyDescent="0.25">
      <c r="A134" s="1" t="s">
        <v>4642</v>
      </c>
      <c r="B134" s="1" t="s">
        <v>2429</v>
      </c>
      <c r="C134" s="1">
        <v>80053</v>
      </c>
      <c r="D134" s="6">
        <v>384.34</v>
      </c>
      <c r="E134" s="1" t="str">
        <f>_xlfn.XLOOKUP(C134,'Clean Procedures'!$A$2:$A$5,'Clean Procedures'!$B$2:$B$5,"Not mapped")</f>
        <v>Comprehensive metabolic panel</v>
      </c>
    </row>
    <row r="135" spans="1:5" ht="18" customHeight="1" x14ac:dyDescent="0.25">
      <c r="A135" s="1" t="s">
        <v>4814</v>
      </c>
      <c r="B135" s="1" t="s">
        <v>2753</v>
      </c>
      <c r="C135" s="1">
        <v>99203</v>
      </c>
      <c r="D135" s="6">
        <v>383.42</v>
      </c>
      <c r="E135" s="1" t="str">
        <f>_xlfn.XLOOKUP(C135,'Clean Procedures'!$A$2:$A$5,'Clean Procedures'!$B$2:$B$5,"Not mapped")</f>
        <v>Office visit, new patient, 30 min</v>
      </c>
    </row>
    <row r="136" spans="1:5" ht="18" customHeight="1" x14ac:dyDescent="0.25">
      <c r="A136" s="1" t="s">
        <v>4587</v>
      </c>
      <c r="B136" s="1" t="s">
        <v>2324</v>
      </c>
      <c r="C136" s="1">
        <v>85025</v>
      </c>
      <c r="D136" s="6">
        <v>381.83</v>
      </c>
      <c r="E136" s="1" t="str">
        <f>_xlfn.XLOOKUP(C136,'Clean Procedures'!$A$2:$A$5,'Clean Procedures'!$B$2:$B$5,"Not mapped")</f>
        <v>Complete blood count (CBC)</v>
      </c>
    </row>
    <row r="137" spans="1:5" ht="18" customHeight="1" x14ac:dyDescent="0.25">
      <c r="A137" s="1" t="s">
        <v>4980</v>
      </c>
      <c r="B137" s="1" t="s">
        <v>3045</v>
      </c>
      <c r="C137" s="1">
        <v>99203</v>
      </c>
      <c r="D137" s="6">
        <v>381.74</v>
      </c>
      <c r="E137" s="1" t="str">
        <f>_xlfn.XLOOKUP(C137,'Clean Procedures'!$A$2:$A$5,'Clean Procedures'!$B$2:$B$5,"Not mapped")</f>
        <v>Office visit, new patient, 30 min</v>
      </c>
    </row>
    <row r="138" spans="1:5" ht="18" customHeight="1" x14ac:dyDescent="0.25">
      <c r="A138" s="1" t="s">
        <v>4744</v>
      </c>
      <c r="B138" s="1" t="s">
        <v>2625</v>
      </c>
      <c r="C138" s="1">
        <v>99203</v>
      </c>
      <c r="D138" s="6">
        <v>380.64</v>
      </c>
      <c r="E138" s="1" t="str">
        <f>_xlfn.XLOOKUP(C138,'Clean Procedures'!$A$2:$A$5,'Clean Procedures'!$B$2:$B$5,"Not mapped")</f>
        <v>Office visit, new patient, 30 min</v>
      </c>
    </row>
    <row r="139" spans="1:5" ht="18" customHeight="1" x14ac:dyDescent="0.25">
      <c r="A139" s="1" t="s">
        <v>4758</v>
      </c>
      <c r="B139" s="1" t="s">
        <v>2652</v>
      </c>
      <c r="C139" s="1">
        <v>99203</v>
      </c>
      <c r="D139" s="6">
        <v>380.2</v>
      </c>
      <c r="E139" s="1" t="str">
        <f>_xlfn.XLOOKUP(C139,'Clean Procedures'!$A$2:$A$5,'Clean Procedures'!$B$2:$B$5,"Not mapped")</f>
        <v>Office visit, new patient, 30 min</v>
      </c>
    </row>
    <row r="140" spans="1:5" ht="18" customHeight="1" x14ac:dyDescent="0.25">
      <c r="A140" s="1" t="s">
        <v>4871</v>
      </c>
      <c r="B140" s="1" t="s">
        <v>2857</v>
      </c>
      <c r="C140" s="1">
        <v>99213</v>
      </c>
      <c r="D140" s="6">
        <v>379.87</v>
      </c>
      <c r="E140" s="1" t="str">
        <f>_xlfn.XLOOKUP(C140,'Clean Procedures'!$A$2:$A$5,'Clean Procedures'!$B$2:$B$5,"Not mapped")</f>
        <v>Office visit, established patient, 15 min</v>
      </c>
    </row>
    <row r="141" spans="1:5" ht="18" customHeight="1" x14ac:dyDescent="0.25">
      <c r="A141" s="1" t="s">
        <v>4633</v>
      </c>
      <c r="B141" s="1" t="s">
        <v>2412</v>
      </c>
      <c r="C141" s="1">
        <v>99213</v>
      </c>
      <c r="D141" s="6">
        <v>379.68</v>
      </c>
      <c r="E141" s="1" t="str">
        <f>_xlfn.XLOOKUP(C141,'Clean Procedures'!$A$2:$A$5,'Clean Procedures'!$B$2:$B$5,"Not mapped")</f>
        <v>Office visit, established patient, 15 min</v>
      </c>
    </row>
    <row r="142" spans="1:5" ht="18" customHeight="1" x14ac:dyDescent="0.25">
      <c r="A142" s="1" t="s">
        <v>4529</v>
      </c>
      <c r="B142" s="1" t="s">
        <v>2207</v>
      </c>
      <c r="C142" s="1">
        <v>80053</v>
      </c>
      <c r="D142" s="6">
        <v>378.64</v>
      </c>
      <c r="E142" s="1" t="str">
        <f>_xlfn.XLOOKUP(C142,'Clean Procedures'!$A$2:$A$5,'Clean Procedures'!$B$2:$B$5,"Not mapped")</f>
        <v>Comprehensive metabolic panel</v>
      </c>
    </row>
    <row r="143" spans="1:5" ht="18" customHeight="1" x14ac:dyDescent="0.25">
      <c r="A143" s="1" t="s">
        <v>4685</v>
      </c>
      <c r="B143" s="1" t="s">
        <v>2511</v>
      </c>
      <c r="C143" s="1">
        <v>99203</v>
      </c>
      <c r="D143" s="6">
        <v>377.73</v>
      </c>
      <c r="E143" s="1" t="str">
        <f>_xlfn.XLOOKUP(C143,'Clean Procedures'!$A$2:$A$5,'Clean Procedures'!$B$2:$B$5,"Not mapped")</f>
        <v>Office visit, new patient, 30 min</v>
      </c>
    </row>
    <row r="144" spans="1:5" ht="18" customHeight="1" x14ac:dyDescent="0.25">
      <c r="A144" s="1" t="s">
        <v>4598</v>
      </c>
      <c r="B144" s="1" t="s">
        <v>2346</v>
      </c>
      <c r="C144" s="1">
        <v>99213</v>
      </c>
      <c r="D144" s="6">
        <v>377.69</v>
      </c>
      <c r="E144" s="1" t="str">
        <f>_xlfn.XLOOKUP(C144,'Clean Procedures'!$A$2:$A$5,'Clean Procedures'!$B$2:$B$5,"Not mapped")</f>
        <v>Office visit, established patient, 15 min</v>
      </c>
    </row>
    <row r="145" spans="1:5" ht="18" customHeight="1" x14ac:dyDescent="0.25">
      <c r="A145" s="1" t="s">
        <v>4850</v>
      </c>
      <c r="B145" s="1" t="s">
        <v>2818</v>
      </c>
      <c r="C145" s="1">
        <v>85025</v>
      </c>
      <c r="D145" s="6">
        <v>377.65</v>
      </c>
      <c r="E145" s="1" t="str">
        <f>_xlfn.XLOOKUP(C145,'Clean Procedures'!$A$2:$A$5,'Clean Procedures'!$B$2:$B$5,"Not mapped")</f>
        <v>Complete blood count (CBC)</v>
      </c>
    </row>
    <row r="146" spans="1:5" ht="18" customHeight="1" x14ac:dyDescent="0.25">
      <c r="A146" s="1" t="s">
        <v>4556</v>
      </c>
      <c r="B146" s="1" t="s">
        <v>2264</v>
      </c>
      <c r="C146" s="1">
        <v>99213</v>
      </c>
      <c r="D146" s="6">
        <v>377.51</v>
      </c>
      <c r="E146" s="1" t="str">
        <f>_xlfn.XLOOKUP(C146,'Clean Procedures'!$A$2:$A$5,'Clean Procedures'!$B$2:$B$5,"Not mapped")</f>
        <v>Office visit, established patient, 15 min</v>
      </c>
    </row>
    <row r="147" spans="1:5" ht="18" customHeight="1" x14ac:dyDescent="0.25">
      <c r="A147" s="1" t="s">
        <v>4592</v>
      </c>
      <c r="B147" s="1" t="s">
        <v>2334</v>
      </c>
      <c r="C147" s="1">
        <v>80053</v>
      </c>
      <c r="D147" s="6">
        <v>376.57</v>
      </c>
      <c r="E147" s="1" t="str">
        <f>_xlfn.XLOOKUP(C147,'Clean Procedures'!$A$2:$A$5,'Clean Procedures'!$B$2:$B$5,"Not mapped")</f>
        <v>Comprehensive metabolic panel</v>
      </c>
    </row>
    <row r="148" spans="1:5" ht="18" customHeight="1" x14ac:dyDescent="0.25">
      <c r="A148" s="1" t="s">
        <v>4588</v>
      </c>
      <c r="B148" s="1" t="s">
        <v>2326</v>
      </c>
      <c r="C148" s="1">
        <v>85025</v>
      </c>
      <c r="D148" s="6">
        <v>374.53</v>
      </c>
      <c r="E148" s="1" t="str">
        <f>_xlfn.XLOOKUP(C148,'Clean Procedures'!$A$2:$A$5,'Clean Procedures'!$B$2:$B$5,"Not mapped")</f>
        <v>Complete blood count (CBC)</v>
      </c>
    </row>
    <row r="149" spans="1:5" ht="18" customHeight="1" x14ac:dyDescent="0.25">
      <c r="A149" s="1" t="s">
        <v>4834</v>
      </c>
      <c r="B149" s="1" t="s">
        <v>2789</v>
      </c>
      <c r="C149" s="1">
        <v>85025</v>
      </c>
      <c r="D149" s="6">
        <v>373.8</v>
      </c>
      <c r="E149" s="1" t="str">
        <f>_xlfn.XLOOKUP(C149,'Clean Procedures'!$A$2:$A$5,'Clean Procedures'!$B$2:$B$5,"Not mapped")</f>
        <v>Complete blood count (CBC)</v>
      </c>
    </row>
    <row r="150" spans="1:5" ht="18" customHeight="1" x14ac:dyDescent="0.25">
      <c r="A150" s="1" t="s">
        <v>4697</v>
      </c>
      <c r="B150" s="1" t="s">
        <v>2535</v>
      </c>
      <c r="C150" s="1">
        <v>85025</v>
      </c>
      <c r="D150" s="6">
        <v>373.48</v>
      </c>
      <c r="E150" s="1" t="str">
        <f>_xlfn.XLOOKUP(C150,'Clean Procedures'!$A$2:$A$5,'Clean Procedures'!$B$2:$B$5,"Not mapped")</f>
        <v>Complete blood count (CBC)</v>
      </c>
    </row>
    <row r="151" spans="1:5" ht="18" customHeight="1" x14ac:dyDescent="0.25">
      <c r="A151" s="1" t="s">
        <v>4489</v>
      </c>
      <c r="B151" s="1" t="s">
        <v>2112</v>
      </c>
      <c r="C151" s="1">
        <v>80053</v>
      </c>
      <c r="D151" s="6">
        <v>373.43</v>
      </c>
      <c r="E151" s="1" t="str">
        <f>_xlfn.XLOOKUP(C151,'Clean Procedures'!$A$2:$A$5,'Clean Procedures'!$B$2:$B$5,"Not mapped")</f>
        <v>Comprehensive metabolic panel</v>
      </c>
    </row>
    <row r="152" spans="1:5" ht="18" customHeight="1" x14ac:dyDescent="0.25">
      <c r="A152" s="1" t="s">
        <v>4500</v>
      </c>
      <c r="B152" s="1" t="s">
        <v>2142</v>
      </c>
      <c r="C152" s="1">
        <v>85025</v>
      </c>
      <c r="D152" s="6">
        <v>372.55</v>
      </c>
      <c r="E152" s="1" t="str">
        <f>_xlfn.XLOOKUP(C152,'Clean Procedures'!$A$2:$A$5,'Clean Procedures'!$B$2:$B$5,"Not mapped")</f>
        <v>Complete blood count (CBC)</v>
      </c>
    </row>
    <row r="153" spans="1:5" ht="18" customHeight="1" x14ac:dyDescent="0.25">
      <c r="A153" s="1" t="s">
        <v>4643</v>
      </c>
      <c r="B153" s="1" t="s">
        <v>2431</v>
      </c>
      <c r="C153" s="1">
        <v>85025</v>
      </c>
      <c r="D153" s="6">
        <v>371.52</v>
      </c>
      <c r="E153" s="1" t="str">
        <f>_xlfn.XLOOKUP(C153,'Clean Procedures'!$A$2:$A$5,'Clean Procedures'!$B$2:$B$5,"Not mapped")</f>
        <v>Complete blood count (CBC)</v>
      </c>
    </row>
    <row r="154" spans="1:5" ht="18" customHeight="1" x14ac:dyDescent="0.25">
      <c r="A154" s="1" t="s">
        <v>4486</v>
      </c>
      <c r="B154" s="1" t="s">
        <v>2101</v>
      </c>
      <c r="C154" s="1">
        <v>85025</v>
      </c>
      <c r="D154" s="6">
        <v>371.08</v>
      </c>
      <c r="E154" s="1" t="str">
        <f>_xlfn.XLOOKUP(C154,'Clean Procedures'!$A$2:$A$5,'Clean Procedures'!$B$2:$B$5,"Not mapped")</f>
        <v>Complete blood count (CBC)</v>
      </c>
    </row>
    <row r="155" spans="1:5" ht="18" customHeight="1" x14ac:dyDescent="0.25">
      <c r="A155" s="1" t="s">
        <v>4842</v>
      </c>
      <c r="B155" s="1" t="s">
        <v>2803</v>
      </c>
      <c r="C155" s="1">
        <v>85025</v>
      </c>
      <c r="D155" s="6">
        <v>370.78</v>
      </c>
      <c r="E155" s="1" t="str">
        <f>_xlfn.XLOOKUP(C155,'Clean Procedures'!$A$2:$A$5,'Clean Procedures'!$B$2:$B$5,"Not mapped")</f>
        <v>Complete blood count (CBC)</v>
      </c>
    </row>
    <row r="156" spans="1:5" ht="18" customHeight="1" x14ac:dyDescent="0.25">
      <c r="A156" s="1" t="s">
        <v>4796</v>
      </c>
      <c r="B156" s="1" t="s">
        <v>2720</v>
      </c>
      <c r="C156" s="1">
        <v>80053</v>
      </c>
      <c r="D156" s="6">
        <v>370.43</v>
      </c>
      <c r="E156" s="1" t="str">
        <f>_xlfn.XLOOKUP(C156,'Clean Procedures'!$A$2:$A$5,'Clean Procedures'!$B$2:$B$5,"Not mapped")</f>
        <v>Comprehensive metabolic panel</v>
      </c>
    </row>
    <row r="157" spans="1:5" ht="18" customHeight="1" x14ac:dyDescent="0.25">
      <c r="A157" s="1" t="s">
        <v>4555</v>
      </c>
      <c r="B157" s="1" t="s">
        <v>2262</v>
      </c>
      <c r="C157" s="1">
        <v>80053</v>
      </c>
      <c r="D157" s="6">
        <v>370.31</v>
      </c>
      <c r="E157" s="1" t="str">
        <f>_xlfn.XLOOKUP(C157,'Clean Procedures'!$A$2:$A$5,'Clean Procedures'!$B$2:$B$5,"Not mapped")</f>
        <v>Comprehensive metabolic panel</v>
      </c>
    </row>
    <row r="158" spans="1:5" ht="18" customHeight="1" x14ac:dyDescent="0.25">
      <c r="A158" s="1" t="s">
        <v>4493</v>
      </c>
      <c r="B158" s="1" t="s">
        <v>2122</v>
      </c>
      <c r="C158" s="1">
        <v>80053</v>
      </c>
      <c r="D158" s="6">
        <v>369.59</v>
      </c>
      <c r="E158" s="1" t="str">
        <f>_xlfn.XLOOKUP(C158,'Clean Procedures'!$A$2:$A$5,'Clean Procedures'!$B$2:$B$5,"Not mapped")</f>
        <v>Comprehensive metabolic panel</v>
      </c>
    </row>
    <row r="159" spans="1:5" ht="18" customHeight="1" x14ac:dyDescent="0.25">
      <c r="A159" s="1" t="s">
        <v>4891</v>
      </c>
      <c r="B159" s="1" t="s">
        <v>2889</v>
      </c>
      <c r="C159" s="1">
        <v>99213</v>
      </c>
      <c r="D159" s="6">
        <v>368.55</v>
      </c>
      <c r="E159" s="1" t="str">
        <f>_xlfn.XLOOKUP(C159,'Clean Procedures'!$A$2:$A$5,'Clean Procedures'!$B$2:$B$5,"Not mapped")</f>
        <v>Office visit, established patient, 15 min</v>
      </c>
    </row>
    <row r="160" spans="1:5" ht="18" customHeight="1" x14ac:dyDescent="0.25">
      <c r="A160" s="1" t="s">
        <v>4926</v>
      </c>
      <c r="B160" s="1" t="s">
        <v>2948</v>
      </c>
      <c r="C160" s="1">
        <v>85025</v>
      </c>
      <c r="D160" s="6">
        <v>366</v>
      </c>
      <c r="E160" s="1" t="str">
        <f>_xlfn.XLOOKUP(C160,'Clean Procedures'!$A$2:$A$5,'Clean Procedures'!$B$2:$B$5,"Not mapped")</f>
        <v>Complete blood count (CBC)</v>
      </c>
    </row>
    <row r="161" spans="1:5" ht="18" customHeight="1" x14ac:dyDescent="0.25">
      <c r="A161" s="1" t="s">
        <v>4790</v>
      </c>
      <c r="B161" s="1" t="s">
        <v>2710</v>
      </c>
      <c r="C161" s="1">
        <v>80053</v>
      </c>
      <c r="D161" s="6">
        <v>365.27</v>
      </c>
      <c r="E161" s="1" t="str">
        <f>_xlfn.XLOOKUP(C161,'Clean Procedures'!$A$2:$A$5,'Clean Procedures'!$B$2:$B$5,"Not mapped")</f>
        <v>Comprehensive metabolic panel</v>
      </c>
    </row>
    <row r="162" spans="1:5" ht="18" customHeight="1" x14ac:dyDescent="0.25">
      <c r="A162" s="1" t="s">
        <v>4660</v>
      </c>
      <c r="B162" s="1" t="s">
        <v>2465</v>
      </c>
      <c r="C162" s="1">
        <v>99213</v>
      </c>
      <c r="D162" s="6">
        <v>363.64</v>
      </c>
      <c r="E162" s="1" t="str">
        <f>_xlfn.XLOOKUP(C162,'Clean Procedures'!$A$2:$A$5,'Clean Procedures'!$B$2:$B$5,"Not mapped")</f>
        <v>Office visit, established patient, 15 min</v>
      </c>
    </row>
    <row r="163" spans="1:5" ht="18" customHeight="1" x14ac:dyDescent="0.25">
      <c r="A163" s="1" t="s">
        <v>4639</v>
      </c>
      <c r="B163" s="1" t="s">
        <v>2424</v>
      </c>
      <c r="C163" s="1">
        <v>85025</v>
      </c>
      <c r="D163" s="6">
        <v>363.31</v>
      </c>
      <c r="E163" s="1" t="str">
        <f>_xlfn.XLOOKUP(C163,'Clean Procedures'!$A$2:$A$5,'Clean Procedures'!$B$2:$B$5,"Not mapped")</f>
        <v>Complete blood count (CBC)</v>
      </c>
    </row>
    <row r="164" spans="1:5" ht="18" customHeight="1" x14ac:dyDescent="0.25">
      <c r="A164" s="1" t="s">
        <v>4786</v>
      </c>
      <c r="B164" s="1" t="s">
        <v>2703</v>
      </c>
      <c r="C164" s="1">
        <v>99213</v>
      </c>
      <c r="D164" s="6">
        <v>362.93</v>
      </c>
      <c r="E164" s="1" t="str">
        <f>_xlfn.XLOOKUP(C164,'Clean Procedures'!$A$2:$A$5,'Clean Procedures'!$B$2:$B$5,"Not mapped")</f>
        <v>Office visit, established patient, 15 min</v>
      </c>
    </row>
    <row r="165" spans="1:5" ht="18" customHeight="1" x14ac:dyDescent="0.25">
      <c r="A165" s="1" t="s">
        <v>4573</v>
      </c>
      <c r="B165" s="1" t="s">
        <v>2296</v>
      </c>
      <c r="C165" s="1">
        <v>99203</v>
      </c>
      <c r="D165" s="6">
        <v>361.7</v>
      </c>
      <c r="E165" s="1" t="str">
        <f>_xlfn.XLOOKUP(C165,'Clean Procedures'!$A$2:$A$5,'Clean Procedures'!$B$2:$B$5,"Not mapped")</f>
        <v>Office visit, new patient, 30 min</v>
      </c>
    </row>
    <row r="166" spans="1:5" ht="18" customHeight="1" x14ac:dyDescent="0.25">
      <c r="A166" s="1" t="s">
        <v>4925</v>
      </c>
      <c r="B166" s="1" t="s">
        <v>2946</v>
      </c>
      <c r="C166" s="1">
        <v>80053</v>
      </c>
      <c r="D166" s="6">
        <v>361.7</v>
      </c>
      <c r="E166" s="1" t="str">
        <f>_xlfn.XLOOKUP(C166,'Clean Procedures'!$A$2:$A$5,'Clean Procedures'!$B$2:$B$5,"Not mapped")</f>
        <v>Comprehensive metabolic panel</v>
      </c>
    </row>
    <row r="167" spans="1:5" ht="18" customHeight="1" x14ac:dyDescent="0.25">
      <c r="A167" s="1" t="s">
        <v>4768</v>
      </c>
      <c r="B167" s="1" t="s">
        <v>2672</v>
      </c>
      <c r="C167" s="1">
        <v>80053</v>
      </c>
      <c r="D167" s="6">
        <v>358.43</v>
      </c>
      <c r="E167" s="1" t="str">
        <f>_xlfn.XLOOKUP(C167,'Clean Procedures'!$A$2:$A$5,'Clean Procedures'!$B$2:$B$5,"Not mapped")</f>
        <v>Comprehensive metabolic panel</v>
      </c>
    </row>
    <row r="168" spans="1:5" ht="18" customHeight="1" x14ac:dyDescent="0.25">
      <c r="A168" s="1" t="s">
        <v>4494</v>
      </c>
      <c r="B168" s="1" t="s">
        <v>2125</v>
      </c>
      <c r="C168" s="1">
        <v>99213</v>
      </c>
      <c r="D168" s="6">
        <v>358.17</v>
      </c>
      <c r="E168" s="1" t="str">
        <f>_xlfn.XLOOKUP(C168,'Clean Procedures'!$A$2:$A$5,'Clean Procedures'!$B$2:$B$5,"Not mapped")</f>
        <v>Office visit, established patient, 15 min</v>
      </c>
    </row>
    <row r="169" spans="1:5" ht="18" customHeight="1" x14ac:dyDescent="0.25">
      <c r="A169" s="1" t="s">
        <v>4582</v>
      </c>
      <c r="B169" s="1" t="s">
        <v>2314</v>
      </c>
      <c r="C169" s="1">
        <v>80053</v>
      </c>
      <c r="D169" s="6">
        <v>357.47</v>
      </c>
      <c r="E169" s="1" t="str">
        <f>_xlfn.XLOOKUP(C169,'Clean Procedures'!$A$2:$A$5,'Clean Procedures'!$B$2:$B$5,"Not mapped")</f>
        <v>Comprehensive metabolic panel</v>
      </c>
    </row>
    <row r="170" spans="1:5" ht="18" customHeight="1" x14ac:dyDescent="0.25">
      <c r="A170" s="1" t="s">
        <v>4706</v>
      </c>
      <c r="B170" s="1" t="s">
        <v>2553</v>
      </c>
      <c r="C170" s="1">
        <v>99213</v>
      </c>
      <c r="D170" s="6">
        <v>357.07</v>
      </c>
      <c r="E170" s="1" t="str">
        <f>_xlfn.XLOOKUP(C170,'Clean Procedures'!$A$2:$A$5,'Clean Procedures'!$B$2:$B$5,"Not mapped")</f>
        <v>Office visit, established patient, 15 min</v>
      </c>
    </row>
    <row r="171" spans="1:5" ht="18" customHeight="1" x14ac:dyDescent="0.25">
      <c r="A171" s="1" t="s">
        <v>4875</v>
      </c>
      <c r="B171" s="1" t="s">
        <v>2864</v>
      </c>
      <c r="C171" s="1">
        <v>85025</v>
      </c>
      <c r="D171" s="6">
        <v>356.63</v>
      </c>
      <c r="E171" s="1" t="str">
        <f>_xlfn.XLOOKUP(C171,'Clean Procedures'!$A$2:$A$5,'Clean Procedures'!$B$2:$B$5,"Not mapped")</f>
        <v>Complete blood count (CBC)</v>
      </c>
    </row>
    <row r="172" spans="1:5" ht="18" customHeight="1" x14ac:dyDescent="0.25">
      <c r="A172" s="1" t="s">
        <v>4534</v>
      </c>
      <c r="B172" s="1" t="s">
        <v>2218</v>
      </c>
      <c r="C172" s="1">
        <v>99213</v>
      </c>
      <c r="D172" s="6">
        <v>355.74</v>
      </c>
      <c r="E172" s="1" t="str">
        <f>_xlfn.XLOOKUP(C172,'Clean Procedures'!$A$2:$A$5,'Clean Procedures'!$B$2:$B$5,"Not mapped")</f>
        <v>Office visit, established patient, 15 min</v>
      </c>
    </row>
    <row r="173" spans="1:5" ht="18" customHeight="1" x14ac:dyDescent="0.25">
      <c r="A173" s="1" t="s">
        <v>4927</v>
      </c>
      <c r="B173" s="1" t="s">
        <v>2949</v>
      </c>
      <c r="C173" s="1">
        <v>99203</v>
      </c>
      <c r="D173" s="6">
        <v>355.54</v>
      </c>
      <c r="E173" s="1" t="str">
        <f>_xlfn.XLOOKUP(C173,'Clean Procedures'!$A$2:$A$5,'Clean Procedures'!$B$2:$B$5,"Not mapped")</f>
        <v>Office visit, new patient, 30 min</v>
      </c>
    </row>
    <row r="174" spans="1:5" ht="18" customHeight="1" x14ac:dyDescent="0.25">
      <c r="A174" s="1" t="s">
        <v>4593</v>
      </c>
      <c r="B174" s="1" t="s">
        <v>2336</v>
      </c>
      <c r="C174" s="1">
        <v>85025</v>
      </c>
      <c r="D174" s="6">
        <v>355.09</v>
      </c>
      <c r="E174" s="1" t="str">
        <f>_xlfn.XLOOKUP(C174,'Clean Procedures'!$A$2:$A$5,'Clean Procedures'!$B$2:$B$5,"Not mapped")</f>
        <v>Complete blood count (CBC)</v>
      </c>
    </row>
    <row r="175" spans="1:5" ht="18" customHeight="1" x14ac:dyDescent="0.25">
      <c r="A175" s="1" t="s">
        <v>4580</v>
      </c>
      <c r="B175" s="1" t="s">
        <v>2310</v>
      </c>
      <c r="C175" s="1">
        <v>99213</v>
      </c>
      <c r="D175" s="6">
        <v>354.13</v>
      </c>
      <c r="E175" s="1" t="str">
        <f>_xlfn.XLOOKUP(C175,'Clean Procedures'!$A$2:$A$5,'Clean Procedures'!$B$2:$B$5,"Not mapped")</f>
        <v>Office visit, established patient, 15 min</v>
      </c>
    </row>
    <row r="176" spans="1:5" ht="18" customHeight="1" x14ac:dyDescent="0.25">
      <c r="A176" s="1" t="s">
        <v>4763</v>
      </c>
      <c r="B176" s="1" t="s">
        <v>2662</v>
      </c>
      <c r="C176" s="1">
        <v>80053</v>
      </c>
      <c r="D176" s="6">
        <v>353.27</v>
      </c>
      <c r="E176" s="1" t="str">
        <f>_xlfn.XLOOKUP(C176,'Clean Procedures'!$A$2:$A$5,'Clean Procedures'!$B$2:$B$5,"Not mapped")</f>
        <v>Comprehensive metabolic panel</v>
      </c>
    </row>
    <row r="177" spans="1:5" ht="18" customHeight="1" x14ac:dyDescent="0.25">
      <c r="A177" s="1" t="s">
        <v>4795</v>
      </c>
      <c r="B177" s="1" t="s">
        <v>2719</v>
      </c>
      <c r="C177" s="1">
        <v>99213</v>
      </c>
      <c r="D177" s="6">
        <v>353.21</v>
      </c>
      <c r="E177" s="1" t="str">
        <f>_xlfn.XLOOKUP(C177,'Clean Procedures'!$A$2:$A$5,'Clean Procedures'!$B$2:$B$5,"Not mapped")</f>
        <v>Office visit, established patient, 15 min</v>
      </c>
    </row>
    <row r="178" spans="1:5" ht="18" customHeight="1" x14ac:dyDescent="0.25">
      <c r="A178" s="1" t="s">
        <v>4922</v>
      </c>
      <c r="B178" s="1" t="s">
        <v>2940</v>
      </c>
      <c r="C178" s="1">
        <v>99203</v>
      </c>
      <c r="D178" s="6">
        <v>353.04</v>
      </c>
      <c r="E178" s="1" t="str">
        <f>_xlfn.XLOOKUP(C178,'Clean Procedures'!$A$2:$A$5,'Clean Procedures'!$B$2:$B$5,"Not mapped")</f>
        <v>Office visit, new patient, 30 min</v>
      </c>
    </row>
    <row r="179" spans="1:5" ht="18" customHeight="1" x14ac:dyDescent="0.25">
      <c r="A179" s="1" t="s">
        <v>4563</v>
      </c>
      <c r="B179" s="1" t="s">
        <v>2277</v>
      </c>
      <c r="C179" s="1">
        <v>85025</v>
      </c>
      <c r="D179" s="6">
        <v>352.7</v>
      </c>
      <c r="E179" s="1" t="str">
        <f>_xlfn.XLOOKUP(C179,'Clean Procedures'!$A$2:$A$5,'Clean Procedures'!$B$2:$B$5,"Not mapped")</f>
        <v>Complete blood count (CBC)</v>
      </c>
    </row>
    <row r="180" spans="1:5" ht="18" customHeight="1" x14ac:dyDescent="0.25">
      <c r="A180" s="1" t="s">
        <v>4759</v>
      </c>
      <c r="B180" s="1" t="s">
        <v>2654</v>
      </c>
      <c r="C180" s="1">
        <v>80053</v>
      </c>
      <c r="D180" s="6">
        <v>349.57</v>
      </c>
      <c r="E180" s="1" t="str">
        <f>_xlfn.XLOOKUP(C180,'Clean Procedures'!$A$2:$A$5,'Clean Procedures'!$B$2:$B$5,"Not mapped")</f>
        <v>Comprehensive metabolic panel</v>
      </c>
    </row>
    <row r="181" spans="1:5" ht="18" customHeight="1" x14ac:dyDescent="0.25">
      <c r="A181" s="1" t="s">
        <v>4849</v>
      </c>
      <c r="B181" s="1" t="s">
        <v>2816</v>
      </c>
      <c r="C181" s="1">
        <v>80053</v>
      </c>
      <c r="D181" s="6">
        <v>349.21</v>
      </c>
      <c r="E181" s="1" t="str">
        <f>_xlfn.XLOOKUP(C181,'Clean Procedures'!$A$2:$A$5,'Clean Procedures'!$B$2:$B$5,"Not mapped")</f>
        <v>Comprehensive metabolic panel</v>
      </c>
    </row>
    <row r="182" spans="1:5" ht="18" customHeight="1" x14ac:dyDescent="0.25">
      <c r="A182" s="1" t="s">
        <v>4843</v>
      </c>
      <c r="B182" s="1" t="s">
        <v>2805</v>
      </c>
      <c r="C182" s="1">
        <v>85025</v>
      </c>
      <c r="D182" s="6">
        <v>348.71</v>
      </c>
      <c r="E182" s="1" t="str">
        <f>_xlfn.XLOOKUP(C182,'Clean Procedures'!$A$2:$A$5,'Clean Procedures'!$B$2:$B$5,"Not mapped")</f>
        <v>Complete blood count (CBC)</v>
      </c>
    </row>
    <row r="183" spans="1:5" ht="18" customHeight="1" x14ac:dyDescent="0.25">
      <c r="A183" s="1" t="s">
        <v>4832</v>
      </c>
      <c r="B183" s="1" t="s">
        <v>2785</v>
      </c>
      <c r="C183" s="1">
        <v>80053</v>
      </c>
      <c r="D183" s="6">
        <v>348.31</v>
      </c>
      <c r="E183" s="1" t="str">
        <f>_xlfn.XLOOKUP(C183,'Clean Procedures'!$A$2:$A$5,'Clean Procedures'!$B$2:$B$5,"Not mapped")</f>
        <v>Comprehensive metabolic panel</v>
      </c>
    </row>
    <row r="184" spans="1:5" ht="18" customHeight="1" x14ac:dyDescent="0.25">
      <c r="A184" s="1" t="s">
        <v>4867</v>
      </c>
      <c r="B184" s="1" t="s">
        <v>2849</v>
      </c>
      <c r="C184" s="1">
        <v>99203</v>
      </c>
      <c r="D184" s="6">
        <v>347.73</v>
      </c>
      <c r="E184" s="1" t="str">
        <f>_xlfn.XLOOKUP(C184,'Clean Procedures'!$A$2:$A$5,'Clean Procedures'!$B$2:$B$5,"Not mapped")</f>
        <v>Office visit, new patient, 30 min</v>
      </c>
    </row>
    <row r="185" spans="1:5" ht="18" customHeight="1" x14ac:dyDescent="0.25">
      <c r="A185" s="1" t="s">
        <v>4710</v>
      </c>
      <c r="B185" s="1" t="s">
        <v>2560</v>
      </c>
      <c r="C185" s="1">
        <v>99213</v>
      </c>
      <c r="D185" s="6">
        <v>347.05</v>
      </c>
      <c r="E185" s="1" t="str">
        <f>_xlfn.XLOOKUP(C185,'Clean Procedures'!$A$2:$A$5,'Clean Procedures'!$B$2:$B$5,"Not mapped")</f>
        <v>Office visit, established patient, 15 min</v>
      </c>
    </row>
    <row r="186" spans="1:5" ht="18" customHeight="1" x14ac:dyDescent="0.25">
      <c r="A186" s="1" t="s">
        <v>4544</v>
      </c>
      <c r="B186" s="1" t="s">
        <v>2238</v>
      </c>
      <c r="C186" s="1">
        <v>80053</v>
      </c>
      <c r="D186" s="6">
        <v>345.47</v>
      </c>
      <c r="E186" s="1" t="str">
        <f>_xlfn.XLOOKUP(C186,'Clean Procedures'!$A$2:$A$5,'Clean Procedures'!$B$2:$B$5,"Not mapped")</f>
        <v>Comprehensive metabolic panel</v>
      </c>
    </row>
    <row r="187" spans="1:5" ht="18" customHeight="1" x14ac:dyDescent="0.25">
      <c r="A187" s="1" t="s">
        <v>4854</v>
      </c>
      <c r="B187" s="1" t="s">
        <v>2826</v>
      </c>
      <c r="C187" s="1">
        <v>85025</v>
      </c>
      <c r="D187" s="6">
        <v>344.81</v>
      </c>
      <c r="E187" s="1" t="str">
        <f>_xlfn.XLOOKUP(C187,'Clean Procedures'!$A$2:$A$5,'Clean Procedures'!$B$2:$B$5,"Not mapped")</f>
        <v>Complete blood count (CBC)</v>
      </c>
    </row>
    <row r="188" spans="1:5" ht="18" customHeight="1" x14ac:dyDescent="0.25">
      <c r="A188" s="1" t="s">
        <v>4752</v>
      </c>
      <c r="B188" s="1" t="s">
        <v>2641</v>
      </c>
      <c r="C188" s="1">
        <v>85025</v>
      </c>
      <c r="D188" s="6">
        <v>343.26</v>
      </c>
      <c r="E188" s="1" t="str">
        <f>_xlfn.XLOOKUP(C188,'Clean Procedures'!$A$2:$A$5,'Clean Procedures'!$B$2:$B$5,"Not mapped")</f>
        <v>Complete blood count (CBC)</v>
      </c>
    </row>
    <row r="189" spans="1:5" ht="18" customHeight="1" x14ac:dyDescent="0.25">
      <c r="A189" s="1" t="s">
        <v>4767</v>
      </c>
      <c r="B189" s="1" t="s">
        <v>2670</v>
      </c>
      <c r="C189" s="1">
        <v>99203</v>
      </c>
      <c r="D189" s="6">
        <v>341.44</v>
      </c>
      <c r="E189" s="1" t="str">
        <f>_xlfn.XLOOKUP(C189,'Clean Procedures'!$A$2:$A$5,'Clean Procedures'!$B$2:$B$5,"Not mapped")</f>
        <v>Office visit, new patient, 30 min</v>
      </c>
    </row>
    <row r="190" spans="1:5" ht="18" customHeight="1" x14ac:dyDescent="0.25">
      <c r="A190" s="1" t="s">
        <v>4687</v>
      </c>
      <c r="B190" s="1" t="s">
        <v>2515</v>
      </c>
      <c r="C190" s="1">
        <v>85025</v>
      </c>
      <c r="D190" s="6">
        <v>340.44</v>
      </c>
      <c r="E190" s="1" t="str">
        <f>_xlfn.XLOOKUP(C190,'Clean Procedures'!$A$2:$A$5,'Clean Procedures'!$B$2:$B$5,"Not mapped")</f>
        <v>Complete blood count (CBC)</v>
      </c>
    </row>
    <row r="191" spans="1:5" ht="18" customHeight="1" x14ac:dyDescent="0.25">
      <c r="A191" s="1" t="s">
        <v>4886</v>
      </c>
      <c r="B191" s="1" t="s">
        <v>2882</v>
      </c>
      <c r="C191" s="1">
        <v>80053</v>
      </c>
      <c r="D191" s="6">
        <v>339.84</v>
      </c>
      <c r="E191" s="1" t="str">
        <f>_xlfn.XLOOKUP(C191,'Clean Procedures'!$A$2:$A$5,'Clean Procedures'!$B$2:$B$5,"Not mapped")</f>
        <v>Comprehensive metabolic panel</v>
      </c>
    </row>
    <row r="192" spans="1:5" ht="18" customHeight="1" x14ac:dyDescent="0.25">
      <c r="A192" s="1" t="s">
        <v>4877</v>
      </c>
      <c r="B192" s="1" t="s">
        <v>2867</v>
      </c>
      <c r="C192" s="1">
        <v>99213</v>
      </c>
      <c r="D192" s="6">
        <v>338.51</v>
      </c>
      <c r="E192" s="1" t="str">
        <f>_xlfn.XLOOKUP(C192,'Clean Procedures'!$A$2:$A$5,'Clean Procedures'!$B$2:$B$5,"Not mapped")</f>
        <v>Office visit, established patient, 15 min</v>
      </c>
    </row>
    <row r="193" spans="1:5" ht="18" customHeight="1" x14ac:dyDescent="0.25">
      <c r="A193" s="1" t="s">
        <v>4543</v>
      </c>
      <c r="B193" s="1" t="s">
        <v>2236</v>
      </c>
      <c r="C193" s="1">
        <v>99213</v>
      </c>
      <c r="D193" s="6">
        <v>335.9</v>
      </c>
      <c r="E193" s="1" t="str">
        <f>_xlfn.XLOOKUP(C193,'Clean Procedures'!$A$2:$A$5,'Clean Procedures'!$B$2:$B$5,"Not mapped")</f>
        <v>Office visit, established patient, 15 min</v>
      </c>
    </row>
    <row r="194" spans="1:5" ht="18" customHeight="1" x14ac:dyDescent="0.25">
      <c r="A194" s="1" t="s">
        <v>4955</v>
      </c>
      <c r="B194" s="1" t="s">
        <v>2998</v>
      </c>
      <c r="C194" s="1">
        <v>85025</v>
      </c>
      <c r="D194" s="6">
        <v>335.79</v>
      </c>
      <c r="E194" s="1" t="str">
        <f>_xlfn.XLOOKUP(C194,'Clean Procedures'!$A$2:$A$5,'Clean Procedures'!$B$2:$B$5,"Not mapped")</f>
        <v>Complete blood count (CBC)</v>
      </c>
    </row>
    <row r="195" spans="1:5" ht="18" customHeight="1" x14ac:dyDescent="0.25">
      <c r="A195" s="1" t="s">
        <v>4519</v>
      </c>
      <c r="B195" s="1" t="s">
        <v>2187</v>
      </c>
      <c r="C195" s="1">
        <v>85025</v>
      </c>
      <c r="D195" s="6">
        <v>333.23</v>
      </c>
      <c r="E195" s="1" t="str">
        <f>_xlfn.XLOOKUP(C195,'Clean Procedures'!$A$2:$A$5,'Clean Procedures'!$B$2:$B$5,"Not mapped")</f>
        <v>Complete blood count (CBC)</v>
      </c>
    </row>
    <row r="196" spans="1:5" ht="18" customHeight="1" x14ac:dyDescent="0.25">
      <c r="A196" s="1" t="s">
        <v>4568</v>
      </c>
      <c r="B196" s="1" t="s">
        <v>2286</v>
      </c>
      <c r="C196" s="1">
        <v>99213</v>
      </c>
      <c r="D196" s="6">
        <v>332.98</v>
      </c>
      <c r="E196" s="1" t="str">
        <f>_xlfn.XLOOKUP(C196,'Clean Procedures'!$A$2:$A$5,'Clean Procedures'!$B$2:$B$5,"Not mapped")</f>
        <v>Office visit, established patient, 15 min</v>
      </c>
    </row>
    <row r="197" spans="1:5" ht="18" customHeight="1" x14ac:dyDescent="0.25">
      <c r="A197" s="1" t="s">
        <v>4523</v>
      </c>
      <c r="B197" s="1" t="s">
        <v>2195</v>
      </c>
      <c r="C197" s="1">
        <v>99213</v>
      </c>
      <c r="D197" s="6">
        <v>332.14</v>
      </c>
      <c r="E197" s="1" t="str">
        <f>_xlfn.XLOOKUP(C197,'Clean Procedures'!$A$2:$A$5,'Clean Procedures'!$B$2:$B$5,"Not mapped")</f>
        <v>Office visit, established patient, 15 min</v>
      </c>
    </row>
    <row r="198" spans="1:5" ht="18" customHeight="1" x14ac:dyDescent="0.25">
      <c r="A198" s="1" t="s">
        <v>4709</v>
      </c>
      <c r="B198" s="1" t="s">
        <v>2558</v>
      </c>
      <c r="C198" s="1">
        <v>99203</v>
      </c>
      <c r="D198" s="6">
        <v>331.61</v>
      </c>
      <c r="E198" s="1" t="str">
        <f>_xlfn.XLOOKUP(C198,'Clean Procedures'!$A$2:$A$5,'Clean Procedures'!$B$2:$B$5,"Not mapped")</f>
        <v>Office visit, new patient, 30 min</v>
      </c>
    </row>
    <row r="199" spans="1:5" ht="18" customHeight="1" x14ac:dyDescent="0.25">
      <c r="A199" s="1" t="s">
        <v>4570</v>
      </c>
      <c r="B199" s="1" t="s">
        <v>2290</v>
      </c>
      <c r="C199" s="1">
        <v>80053</v>
      </c>
      <c r="D199" s="6">
        <v>330.42</v>
      </c>
      <c r="E199" s="1" t="str">
        <f>_xlfn.XLOOKUP(C199,'Clean Procedures'!$A$2:$A$5,'Clean Procedures'!$B$2:$B$5,"Not mapped")</f>
        <v>Comprehensive metabolic panel</v>
      </c>
    </row>
    <row r="200" spans="1:5" ht="18" customHeight="1" x14ac:dyDescent="0.25">
      <c r="A200" s="1" t="s">
        <v>4732</v>
      </c>
      <c r="B200" s="1" t="s">
        <v>2602</v>
      </c>
      <c r="C200" s="1">
        <v>99203</v>
      </c>
      <c r="D200" s="6">
        <v>329.68</v>
      </c>
      <c r="E200" s="1" t="str">
        <f>_xlfn.XLOOKUP(C200,'Clean Procedures'!$A$2:$A$5,'Clean Procedures'!$B$2:$B$5,"Not mapped")</f>
        <v>Office visit, new patient, 30 min</v>
      </c>
    </row>
    <row r="201" spans="1:5" ht="18" customHeight="1" x14ac:dyDescent="0.25">
      <c r="A201" s="1" t="s">
        <v>4809</v>
      </c>
      <c r="B201" s="1" t="s">
        <v>2743</v>
      </c>
      <c r="C201" s="1">
        <v>80053</v>
      </c>
      <c r="D201" s="6">
        <v>329.38</v>
      </c>
      <c r="E201" s="1" t="str">
        <f>_xlfn.XLOOKUP(C201,'Clean Procedures'!$A$2:$A$5,'Clean Procedures'!$B$2:$B$5,"Not mapped")</f>
        <v>Comprehensive metabolic panel</v>
      </c>
    </row>
    <row r="202" spans="1:5" ht="18" customHeight="1" x14ac:dyDescent="0.25">
      <c r="A202" s="1" t="s">
        <v>4492</v>
      </c>
      <c r="B202" s="1" t="s">
        <v>2120</v>
      </c>
      <c r="C202" s="1">
        <v>85025</v>
      </c>
      <c r="D202" s="6">
        <v>329.15</v>
      </c>
      <c r="E202" s="1" t="str">
        <f>_xlfn.XLOOKUP(C202,'Clean Procedures'!$A$2:$A$5,'Clean Procedures'!$B$2:$B$5,"Not mapped")</f>
        <v>Complete blood count (CBC)</v>
      </c>
    </row>
    <row r="203" spans="1:5" ht="18" customHeight="1" x14ac:dyDescent="0.25">
      <c r="A203" s="1" t="s">
        <v>4750</v>
      </c>
      <c r="B203" s="1" t="s">
        <v>2637</v>
      </c>
      <c r="C203" s="1">
        <v>85025</v>
      </c>
      <c r="D203" s="6">
        <v>327.36</v>
      </c>
      <c r="E203" s="1" t="str">
        <f>_xlfn.XLOOKUP(C203,'Clean Procedures'!$A$2:$A$5,'Clean Procedures'!$B$2:$B$5,"Not mapped")</f>
        <v>Complete blood count (CBC)</v>
      </c>
    </row>
    <row r="204" spans="1:5" ht="18" customHeight="1" x14ac:dyDescent="0.25">
      <c r="A204" s="1" t="s">
        <v>4714</v>
      </c>
      <c r="B204" s="1" t="s">
        <v>2568</v>
      </c>
      <c r="C204" s="1">
        <v>80053</v>
      </c>
      <c r="D204" s="6">
        <v>327.12</v>
      </c>
      <c r="E204" s="1" t="str">
        <f>_xlfn.XLOOKUP(C204,'Clean Procedures'!$A$2:$A$5,'Clean Procedures'!$B$2:$B$5,"Not mapped")</f>
        <v>Comprehensive metabolic panel</v>
      </c>
    </row>
    <row r="205" spans="1:5" ht="18" customHeight="1" x14ac:dyDescent="0.25">
      <c r="A205" s="1" t="s">
        <v>4540</v>
      </c>
      <c r="B205" s="1" t="s">
        <v>2231</v>
      </c>
      <c r="C205" s="1">
        <v>80053</v>
      </c>
      <c r="D205" s="6">
        <v>325.73</v>
      </c>
      <c r="E205" s="1" t="str">
        <f>_xlfn.XLOOKUP(C205,'Clean Procedures'!$A$2:$A$5,'Clean Procedures'!$B$2:$B$5,"Not mapped")</f>
        <v>Comprehensive metabolic panel</v>
      </c>
    </row>
    <row r="206" spans="1:5" ht="18" customHeight="1" x14ac:dyDescent="0.25">
      <c r="A206" s="1" t="s">
        <v>4537</v>
      </c>
      <c r="B206" s="1" t="s">
        <v>2224</v>
      </c>
      <c r="C206" s="1">
        <v>99203</v>
      </c>
      <c r="D206" s="6">
        <v>324.88</v>
      </c>
      <c r="E206" s="1" t="str">
        <f>_xlfn.XLOOKUP(C206,'Clean Procedures'!$A$2:$A$5,'Clean Procedures'!$B$2:$B$5,"Not mapped")</f>
        <v>Office visit, new patient, 30 min</v>
      </c>
    </row>
    <row r="207" spans="1:5" ht="18" customHeight="1" x14ac:dyDescent="0.25">
      <c r="A207" s="1" t="s">
        <v>4873</v>
      </c>
      <c r="B207" s="1" t="s">
        <v>2860</v>
      </c>
      <c r="C207" s="1">
        <v>85025</v>
      </c>
      <c r="D207" s="6">
        <v>324.35000000000002</v>
      </c>
      <c r="E207" s="1" t="str">
        <f>_xlfn.XLOOKUP(C207,'Clean Procedures'!$A$2:$A$5,'Clean Procedures'!$B$2:$B$5,"Not mapped")</f>
        <v>Complete blood count (CBC)</v>
      </c>
    </row>
    <row r="208" spans="1:5" ht="18" customHeight="1" x14ac:dyDescent="0.25">
      <c r="A208" s="1" t="s">
        <v>4518</v>
      </c>
      <c r="B208" s="1" t="s">
        <v>2184</v>
      </c>
      <c r="C208" s="1">
        <v>99213</v>
      </c>
      <c r="D208" s="6">
        <v>322.3</v>
      </c>
      <c r="E208" s="1" t="str">
        <f>_xlfn.XLOOKUP(C208,'Clean Procedures'!$A$2:$A$5,'Clean Procedures'!$B$2:$B$5,"Not mapped")</f>
        <v>Office visit, established patient, 15 min</v>
      </c>
    </row>
    <row r="209" spans="1:5" ht="18" customHeight="1" x14ac:dyDescent="0.25">
      <c r="A209" s="1" t="s">
        <v>4701</v>
      </c>
      <c r="B209" s="1" t="s">
        <v>2543</v>
      </c>
      <c r="C209" s="1">
        <v>99213</v>
      </c>
      <c r="D209" s="6">
        <v>321.63</v>
      </c>
      <c r="E209" s="1" t="str">
        <f>_xlfn.XLOOKUP(C209,'Clean Procedures'!$A$2:$A$5,'Clean Procedures'!$B$2:$B$5,"Not mapped")</f>
        <v>Office visit, established patient, 15 min</v>
      </c>
    </row>
    <row r="210" spans="1:5" ht="18" customHeight="1" x14ac:dyDescent="0.25">
      <c r="A210" s="1" t="s">
        <v>4959</v>
      </c>
      <c r="B210" s="1" t="s">
        <v>3006</v>
      </c>
      <c r="C210" s="1">
        <v>99213</v>
      </c>
      <c r="D210" s="6">
        <v>321.56</v>
      </c>
      <c r="E210" s="1" t="str">
        <f>_xlfn.XLOOKUP(C210,'Clean Procedures'!$A$2:$A$5,'Clean Procedures'!$B$2:$B$5,"Not mapped")</f>
        <v>Office visit, established patient, 15 min</v>
      </c>
    </row>
    <row r="211" spans="1:5" ht="18" customHeight="1" x14ac:dyDescent="0.25">
      <c r="A211" s="1" t="s">
        <v>4524</v>
      </c>
      <c r="B211" s="1" t="s">
        <v>2198</v>
      </c>
      <c r="C211" s="1">
        <v>80053</v>
      </c>
      <c r="D211" s="6">
        <v>321.48</v>
      </c>
      <c r="E211" s="1" t="str">
        <f>_xlfn.XLOOKUP(C211,'Clean Procedures'!$A$2:$A$5,'Clean Procedures'!$B$2:$B$5,"Not mapped")</f>
        <v>Comprehensive metabolic panel</v>
      </c>
    </row>
    <row r="212" spans="1:5" ht="18" customHeight="1" x14ac:dyDescent="0.25">
      <c r="A212" s="1" t="s">
        <v>4816</v>
      </c>
      <c r="B212" s="1" t="s">
        <v>2757</v>
      </c>
      <c r="C212" s="1">
        <v>80053</v>
      </c>
      <c r="D212" s="6">
        <v>318.52999999999997</v>
      </c>
      <c r="E212" s="1" t="str">
        <f>_xlfn.XLOOKUP(C212,'Clean Procedures'!$A$2:$A$5,'Clean Procedures'!$B$2:$B$5,"Not mapped")</f>
        <v>Comprehensive metabolic panel</v>
      </c>
    </row>
    <row r="213" spans="1:5" ht="18" customHeight="1" x14ac:dyDescent="0.25">
      <c r="A213" s="1" t="s">
        <v>4898</v>
      </c>
      <c r="B213" s="1" t="s">
        <v>2901</v>
      </c>
      <c r="C213" s="1">
        <v>85025</v>
      </c>
      <c r="D213" s="6">
        <v>317.77</v>
      </c>
      <c r="E213" s="1" t="str">
        <f>_xlfn.XLOOKUP(C213,'Clean Procedures'!$A$2:$A$5,'Clean Procedures'!$B$2:$B$5,"Not mapped")</f>
        <v>Complete blood count (CBC)</v>
      </c>
    </row>
    <row r="214" spans="1:5" ht="18" customHeight="1" x14ac:dyDescent="0.25">
      <c r="A214" s="1" t="s">
        <v>4575</v>
      </c>
      <c r="B214" s="1" t="s">
        <v>2300</v>
      </c>
      <c r="C214" s="1">
        <v>99203</v>
      </c>
      <c r="D214" s="6">
        <v>317.26</v>
      </c>
      <c r="E214" s="1" t="str">
        <f>_xlfn.XLOOKUP(C214,'Clean Procedures'!$A$2:$A$5,'Clean Procedures'!$B$2:$B$5,"Not mapped")</f>
        <v>Office visit, new patient, 30 min</v>
      </c>
    </row>
    <row r="215" spans="1:5" ht="18" customHeight="1" x14ac:dyDescent="0.25">
      <c r="A215" s="1" t="s">
        <v>4771</v>
      </c>
      <c r="B215" s="1" t="s">
        <v>2677</v>
      </c>
      <c r="C215" s="1">
        <v>85025</v>
      </c>
      <c r="D215" s="6">
        <v>315.05</v>
      </c>
      <c r="E215" s="1" t="str">
        <f>_xlfn.XLOOKUP(C215,'Clean Procedures'!$A$2:$A$5,'Clean Procedures'!$B$2:$B$5,"Not mapped")</f>
        <v>Complete blood count (CBC)</v>
      </c>
    </row>
    <row r="216" spans="1:5" ht="18" customHeight="1" x14ac:dyDescent="0.25">
      <c r="A216" s="1" t="s">
        <v>4712</v>
      </c>
      <c r="B216" s="1" t="s">
        <v>2564</v>
      </c>
      <c r="C216" s="1">
        <v>99213</v>
      </c>
      <c r="D216" s="6">
        <v>314.98</v>
      </c>
      <c r="E216" s="1" t="str">
        <f>_xlfn.XLOOKUP(C216,'Clean Procedures'!$A$2:$A$5,'Clean Procedures'!$B$2:$B$5,"Not mapped")</f>
        <v>Office visit, established patient, 15 min</v>
      </c>
    </row>
    <row r="217" spans="1:5" ht="18" customHeight="1" x14ac:dyDescent="0.25">
      <c r="A217" s="1" t="s">
        <v>4934</v>
      </c>
      <c r="B217" s="1" t="s">
        <v>2961</v>
      </c>
      <c r="C217" s="1">
        <v>99203</v>
      </c>
      <c r="D217" s="6">
        <v>313.98</v>
      </c>
      <c r="E217" s="1" t="str">
        <f>_xlfn.XLOOKUP(C217,'Clean Procedures'!$A$2:$A$5,'Clean Procedures'!$B$2:$B$5,"Not mapped")</f>
        <v>Office visit, new patient, 30 min</v>
      </c>
    </row>
    <row r="218" spans="1:5" ht="18" customHeight="1" x14ac:dyDescent="0.25">
      <c r="A218" s="1" t="s">
        <v>4581</v>
      </c>
      <c r="B218" s="1" t="s">
        <v>2312</v>
      </c>
      <c r="C218" s="1">
        <v>99213</v>
      </c>
      <c r="D218" s="6">
        <v>313.73</v>
      </c>
      <c r="E218" s="1" t="str">
        <f>_xlfn.XLOOKUP(C218,'Clean Procedures'!$A$2:$A$5,'Clean Procedures'!$B$2:$B$5,"Not mapped")</f>
        <v>Office visit, established patient, 15 min</v>
      </c>
    </row>
    <row r="219" spans="1:5" ht="18" customHeight="1" x14ac:dyDescent="0.25">
      <c r="A219" s="1" t="s">
        <v>4622</v>
      </c>
      <c r="B219" s="1" t="s">
        <v>2392</v>
      </c>
      <c r="C219" s="1">
        <v>99213</v>
      </c>
      <c r="D219" s="6">
        <v>313.56</v>
      </c>
      <c r="E219" s="1" t="str">
        <f>_xlfn.XLOOKUP(C219,'Clean Procedures'!$A$2:$A$5,'Clean Procedures'!$B$2:$B$5,"Not mapped")</f>
        <v>Office visit, established patient, 15 min</v>
      </c>
    </row>
    <row r="220" spans="1:5" ht="18" customHeight="1" x14ac:dyDescent="0.25">
      <c r="A220" s="1" t="s">
        <v>4495</v>
      </c>
      <c r="B220" s="1" t="s">
        <v>2128</v>
      </c>
      <c r="C220" s="1">
        <v>99213</v>
      </c>
      <c r="D220" s="6">
        <v>313.20999999999998</v>
      </c>
      <c r="E220" s="1" t="str">
        <f>_xlfn.XLOOKUP(C220,'Clean Procedures'!$A$2:$A$5,'Clean Procedures'!$B$2:$B$5,"Not mapped")</f>
        <v>Office visit, established patient, 15 min</v>
      </c>
    </row>
    <row r="221" spans="1:5" ht="18" customHeight="1" x14ac:dyDescent="0.25">
      <c r="A221" s="1" t="s">
        <v>4546</v>
      </c>
      <c r="B221" s="1" t="s">
        <v>2242</v>
      </c>
      <c r="C221" s="1">
        <v>99203</v>
      </c>
      <c r="D221" s="6">
        <v>311.92</v>
      </c>
      <c r="E221" s="1" t="str">
        <f>_xlfn.XLOOKUP(C221,'Clean Procedures'!$A$2:$A$5,'Clean Procedures'!$B$2:$B$5,"Not mapped")</f>
        <v>Office visit, new patient, 30 min</v>
      </c>
    </row>
    <row r="222" spans="1:5" ht="18" customHeight="1" x14ac:dyDescent="0.25">
      <c r="A222" s="1" t="s">
        <v>4506</v>
      </c>
      <c r="B222" s="1" t="s">
        <v>2156</v>
      </c>
      <c r="C222" s="1">
        <v>99213</v>
      </c>
      <c r="D222" s="6">
        <v>311.63</v>
      </c>
      <c r="E222" s="1" t="str">
        <f>_xlfn.XLOOKUP(C222,'Clean Procedures'!$A$2:$A$5,'Clean Procedures'!$B$2:$B$5,"Not mapped")</f>
        <v>Office visit, established patient, 15 min</v>
      </c>
    </row>
    <row r="223" spans="1:5" ht="18" customHeight="1" x14ac:dyDescent="0.25">
      <c r="A223" s="1" t="s">
        <v>4526</v>
      </c>
      <c r="B223" s="1" t="s">
        <v>2203</v>
      </c>
      <c r="C223" s="1">
        <v>99213</v>
      </c>
      <c r="D223" s="6">
        <v>308.77999999999997</v>
      </c>
      <c r="E223" s="1" t="str">
        <f>_xlfn.XLOOKUP(C223,'Clean Procedures'!$A$2:$A$5,'Clean Procedures'!$B$2:$B$5,"Not mapped")</f>
        <v>Office visit, established patient, 15 min</v>
      </c>
    </row>
    <row r="224" spans="1:5" ht="18" customHeight="1" x14ac:dyDescent="0.25">
      <c r="A224" s="1" t="s">
        <v>4733</v>
      </c>
      <c r="B224" s="1" t="s">
        <v>2604</v>
      </c>
      <c r="C224" s="1">
        <v>85025</v>
      </c>
      <c r="D224" s="6">
        <v>306.89999999999998</v>
      </c>
      <c r="E224" s="1" t="str">
        <f>_xlfn.XLOOKUP(C224,'Clean Procedures'!$A$2:$A$5,'Clean Procedures'!$B$2:$B$5,"Not mapped")</f>
        <v>Complete blood count (CBC)</v>
      </c>
    </row>
    <row r="225" spans="1:5" ht="18" customHeight="1" x14ac:dyDescent="0.25">
      <c r="A225" s="1" t="s">
        <v>4574</v>
      </c>
      <c r="B225" s="1" t="s">
        <v>2298</v>
      </c>
      <c r="C225" s="1">
        <v>99203</v>
      </c>
      <c r="D225" s="6">
        <v>305.95999999999998</v>
      </c>
      <c r="E225" s="1" t="str">
        <f>_xlfn.XLOOKUP(C225,'Clean Procedures'!$A$2:$A$5,'Clean Procedures'!$B$2:$B$5,"Not mapped")</f>
        <v>Office visit, new patient, 30 min</v>
      </c>
    </row>
    <row r="226" spans="1:5" ht="18" customHeight="1" x14ac:dyDescent="0.25">
      <c r="A226" s="1" t="s">
        <v>4601</v>
      </c>
      <c r="B226" s="1" t="s">
        <v>2352</v>
      </c>
      <c r="C226" s="1">
        <v>85025</v>
      </c>
      <c r="D226" s="6">
        <v>305.12</v>
      </c>
      <c r="E226" s="1" t="str">
        <f>_xlfn.XLOOKUP(C226,'Clean Procedures'!$A$2:$A$5,'Clean Procedures'!$B$2:$B$5,"Not mapped")</f>
        <v>Complete blood count (CBC)</v>
      </c>
    </row>
    <row r="227" spans="1:5" ht="18" customHeight="1" x14ac:dyDescent="0.25">
      <c r="A227" s="1" t="s">
        <v>4499</v>
      </c>
      <c r="B227" s="1" t="s">
        <v>2140</v>
      </c>
      <c r="C227" s="1">
        <v>85025</v>
      </c>
      <c r="D227" s="6">
        <v>304.94</v>
      </c>
      <c r="E227" s="1" t="str">
        <f>_xlfn.XLOOKUP(C227,'Clean Procedures'!$A$2:$A$5,'Clean Procedures'!$B$2:$B$5,"Not mapped")</f>
        <v>Complete blood count (CBC)</v>
      </c>
    </row>
    <row r="228" spans="1:5" ht="18" customHeight="1" x14ac:dyDescent="0.25">
      <c r="A228" s="1" t="s">
        <v>4906</v>
      </c>
      <c r="B228" s="1" t="s">
        <v>2916</v>
      </c>
      <c r="C228" s="1">
        <v>80053</v>
      </c>
      <c r="D228" s="6">
        <v>304.44</v>
      </c>
      <c r="E228" s="1" t="str">
        <f>_xlfn.XLOOKUP(C228,'Clean Procedures'!$A$2:$A$5,'Clean Procedures'!$B$2:$B$5,"Not mapped")</f>
        <v>Comprehensive metabolic panel</v>
      </c>
    </row>
    <row r="229" spans="1:5" ht="18" customHeight="1" x14ac:dyDescent="0.25">
      <c r="A229" s="1" t="s">
        <v>4704</v>
      </c>
      <c r="B229" s="1" t="s">
        <v>2549</v>
      </c>
      <c r="C229" s="1">
        <v>85025</v>
      </c>
      <c r="D229" s="6">
        <v>304.01</v>
      </c>
      <c r="E229" s="1" t="str">
        <f>_xlfn.XLOOKUP(C229,'Clean Procedures'!$A$2:$A$5,'Clean Procedures'!$B$2:$B$5,"Not mapped")</f>
        <v>Complete blood count (CBC)</v>
      </c>
    </row>
    <row r="230" spans="1:5" ht="18" customHeight="1" x14ac:dyDescent="0.25">
      <c r="A230" s="1" t="s">
        <v>4972</v>
      </c>
      <c r="B230" s="1" t="s">
        <v>3030</v>
      </c>
      <c r="C230" s="1">
        <v>99203</v>
      </c>
      <c r="D230" s="6">
        <v>301.79000000000002</v>
      </c>
      <c r="E230" s="1" t="str">
        <f>_xlfn.XLOOKUP(C230,'Clean Procedures'!$A$2:$A$5,'Clean Procedures'!$B$2:$B$5,"Not mapped")</f>
        <v>Office visit, new patient, 30 min</v>
      </c>
    </row>
    <row r="231" spans="1:5" ht="18" customHeight="1" x14ac:dyDescent="0.25">
      <c r="A231" s="1" t="s">
        <v>4963</v>
      </c>
      <c r="B231" s="1" t="s">
        <v>3013</v>
      </c>
      <c r="C231" s="1">
        <v>99203</v>
      </c>
      <c r="D231" s="6">
        <v>301.05</v>
      </c>
      <c r="E231" s="1" t="str">
        <f>_xlfn.XLOOKUP(C231,'Clean Procedures'!$A$2:$A$5,'Clean Procedures'!$B$2:$B$5,"Not mapped")</f>
        <v>Office visit, new patient, 30 min</v>
      </c>
    </row>
    <row r="232" spans="1:5" ht="18" customHeight="1" x14ac:dyDescent="0.25">
      <c r="A232" s="1" t="s">
        <v>4960</v>
      </c>
      <c r="B232" s="1" t="s">
        <v>3007</v>
      </c>
      <c r="C232" s="1">
        <v>80053</v>
      </c>
      <c r="D232" s="6">
        <v>299.76</v>
      </c>
      <c r="E232" s="1" t="str">
        <f>_xlfn.XLOOKUP(C232,'Clean Procedures'!$A$2:$A$5,'Clean Procedures'!$B$2:$B$5,"Not mapped")</f>
        <v>Comprehensive metabolic panel</v>
      </c>
    </row>
    <row r="233" spans="1:5" ht="18" customHeight="1" x14ac:dyDescent="0.25">
      <c r="A233" s="1" t="s">
        <v>4836</v>
      </c>
      <c r="B233" s="1" t="s">
        <v>2792</v>
      </c>
      <c r="C233" s="1">
        <v>80053</v>
      </c>
      <c r="D233" s="6">
        <v>299.38</v>
      </c>
      <c r="E233" s="1" t="str">
        <f>_xlfn.XLOOKUP(C233,'Clean Procedures'!$A$2:$A$5,'Clean Procedures'!$B$2:$B$5,"Not mapped")</f>
        <v>Comprehensive metabolic panel</v>
      </c>
    </row>
    <row r="234" spans="1:5" ht="18" customHeight="1" x14ac:dyDescent="0.25">
      <c r="A234" s="1" t="s">
        <v>4533</v>
      </c>
      <c r="B234" s="1" t="s">
        <v>2215</v>
      </c>
      <c r="C234" s="1">
        <v>80053</v>
      </c>
      <c r="D234" s="6">
        <v>299.19</v>
      </c>
      <c r="E234" s="1" t="str">
        <f>_xlfn.XLOOKUP(C234,'Clean Procedures'!$A$2:$A$5,'Clean Procedures'!$B$2:$B$5,"Not mapped")</f>
        <v>Comprehensive metabolic panel</v>
      </c>
    </row>
    <row r="235" spans="1:5" ht="18" customHeight="1" x14ac:dyDescent="0.25">
      <c r="A235" s="1" t="s">
        <v>4793</v>
      </c>
      <c r="B235" s="1" t="s">
        <v>2716</v>
      </c>
      <c r="C235" s="1">
        <v>80053</v>
      </c>
      <c r="D235" s="6">
        <v>298.81</v>
      </c>
      <c r="E235" s="1" t="str">
        <f>_xlfn.XLOOKUP(C235,'Clean Procedures'!$A$2:$A$5,'Clean Procedures'!$B$2:$B$5,"Not mapped")</f>
        <v>Comprehensive metabolic panel</v>
      </c>
    </row>
    <row r="236" spans="1:5" ht="18" customHeight="1" x14ac:dyDescent="0.25">
      <c r="A236" s="1" t="s">
        <v>4742</v>
      </c>
      <c r="B236" s="1" t="s">
        <v>2621</v>
      </c>
      <c r="C236" s="1">
        <v>85025</v>
      </c>
      <c r="D236" s="6">
        <v>298.52</v>
      </c>
      <c r="E236" s="1" t="str">
        <f>_xlfn.XLOOKUP(C236,'Clean Procedures'!$A$2:$A$5,'Clean Procedures'!$B$2:$B$5,"Not mapped")</f>
        <v>Complete blood count (CBC)</v>
      </c>
    </row>
    <row r="237" spans="1:5" ht="18" customHeight="1" x14ac:dyDescent="0.25">
      <c r="A237" s="1" t="s">
        <v>4910</v>
      </c>
      <c r="B237" s="1" t="s">
        <v>2922</v>
      </c>
      <c r="C237" s="1">
        <v>99203</v>
      </c>
      <c r="D237" s="6">
        <v>297.69</v>
      </c>
      <c r="E237" s="1" t="str">
        <f>_xlfn.XLOOKUP(C237,'Clean Procedures'!$A$2:$A$5,'Clean Procedures'!$B$2:$B$5,"Not mapped")</f>
        <v>Office visit, new patient, 30 min</v>
      </c>
    </row>
    <row r="238" spans="1:5" ht="18" customHeight="1" x14ac:dyDescent="0.25">
      <c r="A238" s="1" t="s">
        <v>4787</v>
      </c>
      <c r="B238" s="1" t="s">
        <v>2704</v>
      </c>
      <c r="C238" s="1">
        <v>99203</v>
      </c>
      <c r="D238" s="6">
        <v>293.10000000000002</v>
      </c>
      <c r="E238" s="1" t="str">
        <f>_xlfn.XLOOKUP(C238,'Clean Procedures'!$A$2:$A$5,'Clean Procedures'!$B$2:$B$5,"Not mapped")</f>
        <v>Office visit, new patient, 30 min</v>
      </c>
    </row>
    <row r="239" spans="1:5" ht="18" customHeight="1" x14ac:dyDescent="0.25">
      <c r="A239" s="1" t="s">
        <v>4902</v>
      </c>
      <c r="B239" s="1" t="s">
        <v>2909</v>
      </c>
      <c r="C239" s="1">
        <v>99213</v>
      </c>
      <c r="D239" s="6">
        <v>292.44</v>
      </c>
      <c r="E239" s="1" t="str">
        <f>_xlfn.XLOOKUP(C239,'Clean Procedures'!$A$2:$A$5,'Clean Procedures'!$B$2:$B$5,"Not mapped")</f>
        <v>Office visit, established patient, 15 min</v>
      </c>
    </row>
    <row r="240" spans="1:5" ht="18" customHeight="1" x14ac:dyDescent="0.25">
      <c r="A240" s="1" t="s">
        <v>4562</v>
      </c>
      <c r="B240" s="1" t="s">
        <v>2275</v>
      </c>
      <c r="C240" s="1">
        <v>99203</v>
      </c>
      <c r="D240" s="6">
        <v>290.81</v>
      </c>
      <c r="E240" s="1" t="str">
        <f>_xlfn.XLOOKUP(C240,'Clean Procedures'!$A$2:$A$5,'Clean Procedures'!$B$2:$B$5,"Not mapped")</f>
        <v>Office visit, new patient, 30 min</v>
      </c>
    </row>
    <row r="241" spans="1:5" ht="18" customHeight="1" x14ac:dyDescent="0.25">
      <c r="A241" s="1" t="s">
        <v>4669</v>
      </c>
      <c r="B241" s="1" t="s">
        <v>2482</v>
      </c>
      <c r="C241" s="1">
        <v>85025</v>
      </c>
      <c r="D241" s="6">
        <v>289.74</v>
      </c>
      <c r="E241" s="1" t="str">
        <f>_xlfn.XLOOKUP(C241,'Clean Procedures'!$A$2:$A$5,'Clean Procedures'!$B$2:$B$5,"Not mapped")</f>
        <v>Complete blood count (CBC)</v>
      </c>
    </row>
    <row r="242" spans="1:5" ht="18" customHeight="1" x14ac:dyDescent="0.25">
      <c r="A242" s="1" t="s">
        <v>4607</v>
      </c>
      <c r="B242" s="1" t="s">
        <v>2363</v>
      </c>
      <c r="C242" s="1">
        <v>99203</v>
      </c>
      <c r="D242" s="6">
        <v>288.77999999999997</v>
      </c>
      <c r="E242" s="1" t="str">
        <f>_xlfn.XLOOKUP(C242,'Clean Procedures'!$A$2:$A$5,'Clean Procedures'!$B$2:$B$5,"Not mapped")</f>
        <v>Office visit, new patient, 30 min</v>
      </c>
    </row>
    <row r="243" spans="1:5" ht="18" customHeight="1" x14ac:dyDescent="0.25">
      <c r="A243" s="1" t="s">
        <v>4924</v>
      </c>
      <c r="B243" s="1" t="s">
        <v>2944</v>
      </c>
      <c r="C243" s="1">
        <v>80053</v>
      </c>
      <c r="D243" s="6">
        <v>287.5</v>
      </c>
      <c r="E243" s="1" t="str">
        <f>_xlfn.XLOOKUP(C243,'Clean Procedures'!$A$2:$A$5,'Clean Procedures'!$B$2:$B$5,"Not mapped")</f>
        <v>Comprehensive metabolic panel</v>
      </c>
    </row>
    <row r="244" spans="1:5" ht="18" customHeight="1" x14ac:dyDescent="0.25">
      <c r="A244" s="1" t="s">
        <v>4937</v>
      </c>
      <c r="B244" s="1" t="s">
        <v>2967</v>
      </c>
      <c r="C244" s="1">
        <v>99213</v>
      </c>
      <c r="D244" s="6">
        <v>287.37</v>
      </c>
      <c r="E244" s="1" t="str">
        <f>_xlfn.XLOOKUP(C244,'Clean Procedures'!$A$2:$A$5,'Clean Procedures'!$B$2:$B$5,"Not mapped")</f>
        <v>Office visit, established patient, 15 min</v>
      </c>
    </row>
    <row r="245" spans="1:5" ht="18" customHeight="1" x14ac:dyDescent="0.25">
      <c r="A245" s="1" t="s">
        <v>4719</v>
      </c>
      <c r="B245" s="1" t="s">
        <v>2578</v>
      </c>
      <c r="C245" s="1">
        <v>80053</v>
      </c>
      <c r="D245" s="6">
        <v>286.76</v>
      </c>
      <c r="E245" s="1" t="str">
        <f>_xlfn.XLOOKUP(C245,'Clean Procedures'!$A$2:$A$5,'Clean Procedures'!$B$2:$B$5,"Not mapped")</f>
        <v>Comprehensive metabolic panel</v>
      </c>
    </row>
    <row r="246" spans="1:5" ht="18" customHeight="1" x14ac:dyDescent="0.25">
      <c r="A246" s="1" t="s">
        <v>4629</v>
      </c>
      <c r="B246" s="1" t="s">
        <v>2404</v>
      </c>
      <c r="C246" s="1">
        <v>80053</v>
      </c>
      <c r="D246" s="6">
        <v>286.74</v>
      </c>
      <c r="E246" s="1" t="str">
        <f>_xlfn.XLOOKUP(C246,'Clean Procedures'!$A$2:$A$5,'Clean Procedures'!$B$2:$B$5,"Not mapped")</f>
        <v>Comprehensive metabolic panel</v>
      </c>
    </row>
    <row r="247" spans="1:5" ht="18" customHeight="1" x14ac:dyDescent="0.25">
      <c r="A247" s="1" t="s">
        <v>4656</v>
      </c>
      <c r="B247" s="1" t="s">
        <v>2457</v>
      </c>
      <c r="C247" s="1">
        <v>85025</v>
      </c>
      <c r="D247" s="6">
        <v>286.08</v>
      </c>
      <c r="E247" s="1" t="str">
        <f>_xlfn.XLOOKUP(C247,'Clean Procedures'!$A$2:$A$5,'Clean Procedures'!$B$2:$B$5,"Not mapped")</f>
        <v>Complete blood count (CBC)</v>
      </c>
    </row>
    <row r="248" spans="1:5" ht="18" customHeight="1" x14ac:dyDescent="0.25">
      <c r="A248" s="1" t="s">
        <v>4728</v>
      </c>
      <c r="B248" s="1" t="s">
        <v>2594</v>
      </c>
      <c r="C248" s="1">
        <v>80053</v>
      </c>
      <c r="D248" s="6">
        <v>284.2</v>
      </c>
      <c r="E248" s="1" t="str">
        <f>_xlfn.XLOOKUP(C248,'Clean Procedures'!$A$2:$A$5,'Clean Procedures'!$B$2:$B$5,"Not mapped")</f>
        <v>Comprehensive metabolic panel</v>
      </c>
    </row>
    <row r="249" spans="1:5" ht="18" customHeight="1" x14ac:dyDescent="0.25">
      <c r="A249" s="1" t="s">
        <v>4977</v>
      </c>
      <c r="B249" s="1" t="s">
        <v>3040</v>
      </c>
      <c r="C249" s="1">
        <v>99203</v>
      </c>
      <c r="D249" s="6">
        <v>282.16000000000003</v>
      </c>
      <c r="E249" s="1" t="str">
        <f>_xlfn.XLOOKUP(C249,'Clean Procedures'!$A$2:$A$5,'Clean Procedures'!$B$2:$B$5,"Not mapped")</f>
        <v>Office visit, new patient, 30 min</v>
      </c>
    </row>
    <row r="250" spans="1:5" ht="18" customHeight="1" x14ac:dyDescent="0.25">
      <c r="A250" s="1" t="s">
        <v>4941</v>
      </c>
      <c r="B250" s="1" t="s">
        <v>2975</v>
      </c>
      <c r="C250" s="1">
        <v>80053</v>
      </c>
      <c r="D250" s="6">
        <v>281.73</v>
      </c>
      <c r="E250" s="1" t="str">
        <f>_xlfn.XLOOKUP(C250,'Clean Procedures'!$A$2:$A$5,'Clean Procedures'!$B$2:$B$5,"Not mapped")</f>
        <v>Comprehensive metabolic panel</v>
      </c>
    </row>
    <row r="251" spans="1:5" ht="18" customHeight="1" x14ac:dyDescent="0.25">
      <c r="A251" s="1" t="s">
        <v>4510</v>
      </c>
      <c r="B251" s="1" t="s">
        <v>2166</v>
      </c>
      <c r="C251" s="1">
        <v>80053</v>
      </c>
      <c r="D251" s="6">
        <v>281.69</v>
      </c>
      <c r="E251" s="1" t="str">
        <f>_xlfn.XLOOKUP(C251,'Clean Procedures'!$A$2:$A$5,'Clean Procedures'!$B$2:$B$5,"Not mapped")</f>
        <v>Comprehensive metabolic panel</v>
      </c>
    </row>
    <row r="252" spans="1:5" ht="18" customHeight="1" x14ac:dyDescent="0.25">
      <c r="A252" s="1" t="s">
        <v>4522</v>
      </c>
      <c r="B252" s="1" t="s">
        <v>2193</v>
      </c>
      <c r="C252" s="1">
        <v>80053</v>
      </c>
      <c r="D252" s="6">
        <v>281.61</v>
      </c>
      <c r="E252" s="1" t="str">
        <f>_xlfn.XLOOKUP(C252,'Clean Procedures'!$A$2:$A$5,'Clean Procedures'!$B$2:$B$5,"Not mapped")</f>
        <v>Comprehensive metabolic panel</v>
      </c>
    </row>
    <row r="253" spans="1:5" ht="18" customHeight="1" x14ac:dyDescent="0.25">
      <c r="A253" s="1" t="s">
        <v>4713</v>
      </c>
      <c r="B253" s="1" t="s">
        <v>2566</v>
      </c>
      <c r="C253" s="1">
        <v>99203</v>
      </c>
      <c r="D253" s="6">
        <v>281.08999999999997</v>
      </c>
      <c r="E253" s="1" t="str">
        <f>_xlfn.XLOOKUP(C253,'Clean Procedures'!$A$2:$A$5,'Clean Procedures'!$B$2:$B$5,"Not mapped")</f>
        <v>Office visit, new patient, 30 min</v>
      </c>
    </row>
    <row r="254" spans="1:5" ht="18" customHeight="1" x14ac:dyDescent="0.25">
      <c r="A254" s="1" t="s">
        <v>4640</v>
      </c>
      <c r="B254" s="1" t="s">
        <v>2426</v>
      </c>
      <c r="C254" s="1">
        <v>99203</v>
      </c>
      <c r="D254" s="6">
        <v>276.64</v>
      </c>
      <c r="E254" s="1" t="str">
        <f>_xlfn.XLOOKUP(C254,'Clean Procedures'!$A$2:$A$5,'Clean Procedures'!$B$2:$B$5,"Not mapped")</f>
        <v>Office visit, new patient, 30 min</v>
      </c>
    </row>
    <row r="255" spans="1:5" ht="18" customHeight="1" x14ac:dyDescent="0.25">
      <c r="A255" s="1" t="s">
        <v>4612</v>
      </c>
      <c r="B255" s="1" t="s">
        <v>2372</v>
      </c>
      <c r="C255" s="1">
        <v>99213</v>
      </c>
      <c r="D255" s="6">
        <v>275.52999999999997</v>
      </c>
      <c r="E255" s="1" t="str">
        <f>_xlfn.XLOOKUP(C255,'Clean Procedures'!$A$2:$A$5,'Clean Procedures'!$B$2:$B$5,"Not mapped")</f>
        <v>Office visit, established patient, 15 min</v>
      </c>
    </row>
    <row r="256" spans="1:5" ht="18" customHeight="1" x14ac:dyDescent="0.25">
      <c r="A256" s="1" t="s">
        <v>4911</v>
      </c>
      <c r="B256" s="1" t="s">
        <v>2924</v>
      </c>
      <c r="C256" s="1">
        <v>80053</v>
      </c>
      <c r="D256" s="6">
        <v>274.72000000000003</v>
      </c>
      <c r="E256" s="1" t="str">
        <f>_xlfn.XLOOKUP(C256,'Clean Procedures'!$A$2:$A$5,'Clean Procedures'!$B$2:$B$5,"Not mapped")</f>
        <v>Comprehensive metabolic panel</v>
      </c>
    </row>
    <row r="257" spans="1:5" ht="18" customHeight="1" x14ac:dyDescent="0.25">
      <c r="A257" s="1" t="s">
        <v>4781</v>
      </c>
      <c r="B257" s="1" t="s">
        <v>2694</v>
      </c>
      <c r="C257" s="1">
        <v>99213</v>
      </c>
      <c r="D257" s="6">
        <v>274.70999999999998</v>
      </c>
      <c r="E257" s="1" t="str">
        <f>_xlfn.XLOOKUP(C257,'Clean Procedures'!$A$2:$A$5,'Clean Procedures'!$B$2:$B$5,"Not mapped")</f>
        <v>Office visit, established patient, 15 min</v>
      </c>
    </row>
    <row r="258" spans="1:5" ht="18" customHeight="1" x14ac:dyDescent="0.25">
      <c r="A258" s="1" t="s">
        <v>4488</v>
      </c>
      <c r="B258" s="1" t="s">
        <v>2109</v>
      </c>
      <c r="C258" s="1">
        <v>99213</v>
      </c>
      <c r="D258" s="6">
        <v>274.35000000000002</v>
      </c>
      <c r="E258" s="1" t="str">
        <f>_xlfn.XLOOKUP(C258,'Clean Procedures'!$A$2:$A$5,'Clean Procedures'!$B$2:$B$5,"Not mapped")</f>
        <v>Office visit, established patient, 15 min</v>
      </c>
    </row>
    <row r="259" spans="1:5" ht="18" customHeight="1" x14ac:dyDescent="0.25">
      <c r="A259" s="1" t="s">
        <v>4565</v>
      </c>
      <c r="B259" s="1" t="s">
        <v>2281</v>
      </c>
      <c r="C259" s="1">
        <v>80053</v>
      </c>
      <c r="D259" s="6">
        <v>274.26</v>
      </c>
      <c r="E259" s="1" t="str">
        <f>_xlfn.XLOOKUP(C259,'Clean Procedures'!$A$2:$A$5,'Clean Procedures'!$B$2:$B$5,"Not mapped")</f>
        <v>Comprehensive metabolic panel</v>
      </c>
    </row>
    <row r="260" spans="1:5" ht="18" customHeight="1" x14ac:dyDescent="0.25">
      <c r="A260" s="1" t="s">
        <v>4921</v>
      </c>
      <c r="B260" s="1" t="s">
        <v>2938</v>
      </c>
      <c r="C260" s="1">
        <v>99203</v>
      </c>
      <c r="D260" s="6">
        <v>273.55</v>
      </c>
      <c r="E260" s="1" t="str">
        <f>_xlfn.XLOOKUP(C260,'Clean Procedures'!$A$2:$A$5,'Clean Procedures'!$B$2:$B$5,"Not mapped")</f>
        <v>Office visit, new patient, 30 min</v>
      </c>
    </row>
    <row r="261" spans="1:5" ht="18" customHeight="1" x14ac:dyDescent="0.25">
      <c r="A261" s="1" t="s">
        <v>4721</v>
      </c>
      <c r="B261" s="1" t="s">
        <v>2582</v>
      </c>
      <c r="C261" s="1">
        <v>99213</v>
      </c>
      <c r="D261" s="6">
        <v>273.08</v>
      </c>
      <c r="E261" s="1" t="str">
        <f>_xlfn.XLOOKUP(C261,'Clean Procedures'!$A$2:$A$5,'Clean Procedures'!$B$2:$B$5,"Not mapped")</f>
        <v>Office visit, established patient, 15 min</v>
      </c>
    </row>
    <row r="262" spans="1:5" ht="18" customHeight="1" x14ac:dyDescent="0.25">
      <c r="A262" s="1" t="s">
        <v>4638</v>
      </c>
      <c r="B262" s="1" t="s">
        <v>2422</v>
      </c>
      <c r="C262" s="1">
        <v>99213</v>
      </c>
      <c r="D262" s="6">
        <v>272.93</v>
      </c>
      <c r="E262" s="1" t="str">
        <f>_xlfn.XLOOKUP(C262,'Clean Procedures'!$A$2:$A$5,'Clean Procedures'!$B$2:$B$5,"Not mapped")</f>
        <v>Office visit, established patient, 15 min</v>
      </c>
    </row>
    <row r="263" spans="1:5" ht="18" customHeight="1" x14ac:dyDescent="0.25">
      <c r="A263" s="1" t="s">
        <v>4521</v>
      </c>
      <c r="B263" s="1" t="s">
        <v>2191</v>
      </c>
      <c r="C263" s="1">
        <v>99203</v>
      </c>
      <c r="D263" s="6">
        <v>270.82</v>
      </c>
      <c r="E263" s="1" t="str">
        <f>_xlfn.XLOOKUP(C263,'Clean Procedures'!$A$2:$A$5,'Clean Procedures'!$B$2:$B$5,"Not mapped")</f>
        <v>Office visit, new patient, 30 min</v>
      </c>
    </row>
    <row r="264" spans="1:5" ht="18" customHeight="1" x14ac:dyDescent="0.25">
      <c r="A264" s="1" t="s">
        <v>4600</v>
      </c>
      <c r="B264" s="1" t="s">
        <v>2350</v>
      </c>
      <c r="C264" s="1">
        <v>99203</v>
      </c>
      <c r="D264" s="6">
        <v>270.67</v>
      </c>
      <c r="E264" s="1" t="str">
        <f>_xlfn.XLOOKUP(C264,'Clean Procedures'!$A$2:$A$5,'Clean Procedures'!$B$2:$B$5,"Not mapped")</f>
        <v>Office visit, new patient, 30 min</v>
      </c>
    </row>
    <row r="265" spans="1:5" ht="18" customHeight="1" x14ac:dyDescent="0.25">
      <c r="A265" s="1" t="s">
        <v>4971</v>
      </c>
      <c r="B265" s="1" t="s">
        <v>3028</v>
      </c>
      <c r="C265" s="1">
        <v>85025</v>
      </c>
      <c r="D265" s="6">
        <v>269.87</v>
      </c>
      <c r="E265" s="1" t="str">
        <f>_xlfn.XLOOKUP(C265,'Clean Procedures'!$A$2:$A$5,'Clean Procedures'!$B$2:$B$5,"Not mapped")</f>
        <v>Complete blood count (CBC)</v>
      </c>
    </row>
    <row r="266" spans="1:5" ht="18" customHeight="1" x14ac:dyDescent="0.25">
      <c r="A266" s="1" t="s">
        <v>4947</v>
      </c>
      <c r="B266" s="1" t="s">
        <v>2985</v>
      </c>
      <c r="C266" s="1">
        <v>80053</v>
      </c>
      <c r="D266" s="6">
        <v>269.31</v>
      </c>
      <c r="E266" s="1" t="str">
        <f>_xlfn.XLOOKUP(C266,'Clean Procedures'!$A$2:$A$5,'Clean Procedures'!$B$2:$B$5,"Not mapped")</f>
        <v>Comprehensive metabolic panel</v>
      </c>
    </row>
    <row r="267" spans="1:5" ht="18" customHeight="1" x14ac:dyDescent="0.25">
      <c r="A267" s="1" t="s">
        <v>4749</v>
      </c>
      <c r="B267" s="1" t="s">
        <v>2635</v>
      </c>
      <c r="C267" s="1">
        <v>99213</v>
      </c>
      <c r="D267" s="6">
        <v>267.85000000000002</v>
      </c>
      <c r="E267" s="1" t="str">
        <f>_xlfn.XLOOKUP(C267,'Clean Procedures'!$A$2:$A$5,'Clean Procedures'!$B$2:$B$5,"Not mapped")</f>
        <v>Office visit, established patient, 15 min</v>
      </c>
    </row>
    <row r="268" spans="1:5" ht="18" customHeight="1" x14ac:dyDescent="0.25">
      <c r="A268" s="1" t="s">
        <v>4496</v>
      </c>
      <c r="B268" s="1" t="s">
        <v>2131</v>
      </c>
      <c r="C268" s="1">
        <v>99203</v>
      </c>
      <c r="D268" s="6">
        <v>267.22000000000003</v>
      </c>
      <c r="E268" s="1" t="str">
        <f>_xlfn.XLOOKUP(C268,'Clean Procedures'!$A$2:$A$5,'Clean Procedures'!$B$2:$B$5,"Not mapped")</f>
        <v>Office visit, new patient, 30 min</v>
      </c>
    </row>
    <row r="269" spans="1:5" ht="18" customHeight="1" x14ac:dyDescent="0.25">
      <c r="A269" s="1" t="s">
        <v>4776</v>
      </c>
      <c r="B269" s="1" t="s">
        <v>2685</v>
      </c>
      <c r="C269" s="1">
        <v>99213</v>
      </c>
      <c r="D269" s="6">
        <v>267</v>
      </c>
      <c r="E269" s="1" t="str">
        <f>_xlfn.XLOOKUP(C269,'Clean Procedures'!$A$2:$A$5,'Clean Procedures'!$B$2:$B$5,"Not mapped")</f>
        <v>Office visit, established patient, 15 min</v>
      </c>
    </row>
    <row r="270" spans="1:5" ht="18" customHeight="1" x14ac:dyDescent="0.25">
      <c r="A270" s="1" t="s">
        <v>4705</v>
      </c>
      <c r="B270" s="1" t="s">
        <v>2551</v>
      </c>
      <c r="C270" s="1">
        <v>85025</v>
      </c>
      <c r="D270" s="6">
        <v>265.76</v>
      </c>
      <c r="E270" s="1" t="str">
        <f>_xlfn.XLOOKUP(C270,'Clean Procedures'!$A$2:$A$5,'Clean Procedures'!$B$2:$B$5,"Not mapped")</f>
        <v>Complete blood count (CBC)</v>
      </c>
    </row>
    <row r="271" spans="1:5" ht="18" customHeight="1" x14ac:dyDescent="0.25">
      <c r="A271" s="1" t="s">
        <v>4711</v>
      </c>
      <c r="B271" s="1" t="s">
        <v>2562</v>
      </c>
      <c r="C271" s="1">
        <v>85025</v>
      </c>
      <c r="D271" s="6">
        <v>264.42</v>
      </c>
      <c r="E271" s="1" t="str">
        <f>_xlfn.XLOOKUP(C271,'Clean Procedures'!$A$2:$A$5,'Clean Procedures'!$B$2:$B$5,"Not mapped")</f>
        <v>Complete blood count (CBC)</v>
      </c>
    </row>
    <row r="272" spans="1:5" ht="18" customHeight="1" x14ac:dyDescent="0.25">
      <c r="A272" s="1" t="s">
        <v>4683</v>
      </c>
      <c r="B272" s="1" t="s">
        <v>2507</v>
      </c>
      <c r="C272" s="1">
        <v>99213</v>
      </c>
      <c r="D272" s="6">
        <v>263.32</v>
      </c>
      <c r="E272" s="1" t="str">
        <f>_xlfn.XLOOKUP(C272,'Clean Procedures'!$A$2:$A$5,'Clean Procedures'!$B$2:$B$5,"Not mapped")</f>
        <v>Office visit, established patient, 15 min</v>
      </c>
    </row>
    <row r="273" spans="1:5" ht="18" customHeight="1" x14ac:dyDescent="0.25">
      <c r="A273" s="1" t="s">
        <v>4550</v>
      </c>
      <c r="B273" s="1" t="s">
        <v>2251</v>
      </c>
      <c r="C273" s="1">
        <v>85025</v>
      </c>
      <c r="D273" s="6">
        <v>262.35000000000002</v>
      </c>
      <c r="E273" s="1" t="str">
        <f>_xlfn.XLOOKUP(C273,'Clean Procedures'!$A$2:$A$5,'Clean Procedures'!$B$2:$B$5,"Not mapped")</f>
        <v>Complete blood count (CBC)</v>
      </c>
    </row>
    <row r="274" spans="1:5" ht="18" customHeight="1" x14ac:dyDescent="0.25">
      <c r="A274" s="1" t="s">
        <v>4943</v>
      </c>
      <c r="B274" s="1" t="s">
        <v>2978</v>
      </c>
      <c r="C274" s="1">
        <v>85025</v>
      </c>
      <c r="D274" s="6">
        <v>258.99</v>
      </c>
      <c r="E274" s="1" t="str">
        <f>_xlfn.XLOOKUP(C274,'Clean Procedures'!$A$2:$A$5,'Clean Procedures'!$B$2:$B$5,"Not mapped")</f>
        <v>Complete blood count (CBC)</v>
      </c>
    </row>
    <row r="275" spans="1:5" ht="18" customHeight="1" x14ac:dyDescent="0.25">
      <c r="A275" s="1" t="s">
        <v>4605</v>
      </c>
      <c r="B275" s="1" t="s">
        <v>2359</v>
      </c>
      <c r="C275" s="1">
        <v>99203</v>
      </c>
      <c r="D275" s="6">
        <v>258.12</v>
      </c>
      <c r="E275" s="1" t="str">
        <f>_xlfn.XLOOKUP(C275,'Clean Procedures'!$A$2:$A$5,'Clean Procedures'!$B$2:$B$5,"Not mapped")</f>
        <v>Office visit, new patient, 30 min</v>
      </c>
    </row>
    <row r="276" spans="1:5" ht="18" customHeight="1" x14ac:dyDescent="0.25">
      <c r="A276" s="1" t="s">
        <v>4717</v>
      </c>
      <c r="B276" s="1" t="s">
        <v>2574</v>
      </c>
      <c r="C276" s="1">
        <v>99203</v>
      </c>
      <c r="D276" s="6">
        <v>258</v>
      </c>
      <c r="E276" s="1" t="str">
        <f>_xlfn.XLOOKUP(C276,'Clean Procedures'!$A$2:$A$5,'Clean Procedures'!$B$2:$B$5,"Not mapped")</f>
        <v>Office visit, new patient, 30 min</v>
      </c>
    </row>
    <row r="277" spans="1:5" ht="18" customHeight="1" x14ac:dyDescent="0.25">
      <c r="A277" s="1" t="s">
        <v>4731</v>
      </c>
      <c r="B277" s="1" t="s">
        <v>2600</v>
      </c>
      <c r="C277" s="1">
        <v>85025</v>
      </c>
      <c r="D277" s="6">
        <v>256.58999999999997</v>
      </c>
      <c r="E277" s="1" t="str">
        <f>_xlfn.XLOOKUP(C277,'Clean Procedures'!$A$2:$A$5,'Clean Procedures'!$B$2:$B$5,"Not mapped")</f>
        <v>Complete blood count (CBC)</v>
      </c>
    </row>
    <row r="278" spans="1:5" ht="18" customHeight="1" x14ac:dyDescent="0.25">
      <c r="A278" s="1" t="s">
        <v>4566</v>
      </c>
      <c r="B278" s="1" t="s">
        <v>2283</v>
      </c>
      <c r="C278" s="1">
        <v>99213</v>
      </c>
      <c r="D278" s="6">
        <v>255.45</v>
      </c>
      <c r="E278" s="1" t="str">
        <f>_xlfn.XLOOKUP(C278,'Clean Procedures'!$A$2:$A$5,'Clean Procedures'!$B$2:$B$5,"Not mapped")</f>
        <v>Office visit, established patient, 15 min</v>
      </c>
    </row>
    <row r="279" spans="1:5" ht="18" customHeight="1" x14ac:dyDescent="0.25">
      <c r="A279" s="1" t="s">
        <v>4915</v>
      </c>
      <c r="B279" s="1" t="s">
        <v>2931</v>
      </c>
      <c r="C279" s="1">
        <v>99213</v>
      </c>
      <c r="D279" s="6">
        <v>255.3</v>
      </c>
      <c r="E279" s="1" t="str">
        <f>_xlfn.XLOOKUP(C279,'Clean Procedures'!$A$2:$A$5,'Clean Procedures'!$B$2:$B$5,"Not mapped")</f>
        <v>Office visit, established patient, 15 min</v>
      </c>
    </row>
    <row r="280" spans="1:5" ht="18" customHeight="1" x14ac:dyDescent="0.25">
      <c r="A280" s="1" t="s">
        <v>4835</v>
      </c>
      <c r="B280" s="1" t="s">
        <v>2791</v>
      </c>
      <c r="C280" s="1">
        <v>85025</v>
      </c>
      <c r="D280" s="6">
        <v>254.71</v>
      </c>
      <c r="E280" s="1" t="str">
        <f>_xlfn.XLOOKUP(C280,'Clean Procedures'!$A$2:$A$5,'Clean Procedures'!$B$2:$B$5,"Not mapped")</f>
        <v>Complete blood count (CBC)</v>
      </c>
    </row>
    <row r="281" spans="1:5" ht="18" customHeight="1" x14ac:dyDescent="0.25">
      <c r="A281" s="1" t="s">
        <v>4754</v>
      </c>
      <c r="B281" s="1" t="s">
        <v>2644</v>
      </c>
      <c r="C281" s="1">
        <v>85025</v>
      </c>
      <c r="D281" s="6">
        <v>254.45</v>
      </c>
      <c r="E281" s="1" t="str">
        <f>_xlfn.XLOOKUP(C281,'Clean Procedures'!$A$2:$A$5,'Clean Procedures'!$B$2:$B$5,"Not mapped")</f>
        <v>Complete blood count (CBC)</v>
      </c>
    </row>
    <row r="282" spans="1:5" ht="18" customHeight="1" x14ac:dyDescent="0.25">
      <c r="A282" s="1" t="s">
        <v>4553</v>
      </c>
      <c r="B282" s="1" t="s">
        <v>2257</v>
      </c>
      <c r="C282" s="1">
        <v>99213</v>
      </c>
      <c r="D282" s="6">
        <v>253.39</v>
      </c>
      <c r="E282" s="1" t="str">
        <f>_xlfn.XLOOKUP(C282,'Clean Procedures'!$A$2:$A$5,'Clean Procedures'!$B$2:$B$5,"Not mapped")</f>
        <v>Office visit, established patient, 15 min</v>
      </c>
    </row>
    <row r="283" spans="1:5" ht="18" customHeight="1" x14ac:dyDescent="0.25">
      <c r="A283" s="1" t="s">
        <v>4920</v>
      </c>
      <c r="B283" s="1" t="s">
        <v>2937</v>
      </c>
      <c r="C283" s="1">
        <v>85025</v>
      </c>
      <c r="D283" s="6">
        <v>253.12</v>
      </c>
      <c r="E283" s="1" t="str">
        <f>_xlfn.XLOOKUP(C283,'Clean Procedures'!$A$2:$A$5,'Clean Procedures'!$B$2:$B$5,"Not mapped")</f>
        <v>Complete blood count (CBC)</v>
      </c>
    </row>
    <row r="284" spans="1:5" ht="18" customHeight="1" x14ac:dyDescent="0.25">
      <c r="A284" s="1" t="s">
        <v>4549</v>
      </c>
      <c r="B284" s="1" t="s">
        <v>2249</v>
      </c>
      <c r="C284" s="1">
        <v>99213</v>
      </c>
      <c r="D284" s="6">
        <v>252.88</v>
      </c>
      <c r="E284" s="1" t="str">
        <f>_xlfn.XLOOKUP(C284,'Clean Procedures'!$A$2:$A$5,'Clean Procedures'!$B$2:$B$5,"Not mapped")</f>
        <v>Office visit, established patient, 15 min</v>
      </c>
    </row>
    <row r="285" spans="1:5" ht="18" customHeight="1" x14ac:dyDescent="0.25">
      <c r="A285" s="1" t="s">
        <v>4670</v>
      </c>
      <c r="B285" s="1" t="s">
        <v>2484</v>
      </c>
      <c r="C285" s="1">
        <v>80053</v>
      </c>
      <c r="D285" s="6">
        <v>252.69</v>
      </c>
      <c r="E285" s="1" t="str">
        <f>_xlfn.XLOOKUP(C285,'Clean Procedures'!$A$2:$A$5,'Clean Procedures'!$B$2:$B$5,"Not mapped")</f>
        <v>Comprehensive metabolic panel</v>
      </c>
    </row>
    <row r="286" spans="1:5" ht="18" customHeight="1" x14ac:dyDescent="0.25">
      <c r="A286" s="1" t="s">
        <v>4615</v>
      </c>
      <c r="B286" s="1" t="s">
        <v>2378</v>
      </c>
      <c r="C286" s="1">
        <v>85025</v>
      </c>
      <c r="D286" s="6">
        <v>252.02</v>
      </c>
      <c r="E286" s="1" t="str">
        <f>_xlfn.XLOOKUP(C286,'Clean Procedures'!$A$2:$A$5,'Clean Procedures'!$B$2:$B$5,"Not mapped")</f>
        <v>Complete blood count (CBC)</v>
      </c>
    </row>
    <row r="287" spans="1:5" ht="18" customHeight="1" x14ac:dyDescent="0.25">
      <c r="A287" s="1" t="s">
        <v>4822</v>
      </c>
      <c r="B287" s="1" t="s">
        <v>2768</v>
      </c>
      <c r="C287" s="1">
        <v>80053</v>
      </c>
      <c r="D287" s="6">
        <v>250.82</v>
      </c>
      <c r="E287" s="1" t="str">
        <f>_xlfn.XLOOKUP(C287,'Clean Procedures'!$A$2:$A$5,'Clean Procedures'!$B$2:$B$5,"Not mapped")</f>
        <v>Comprehensive metabolic panel</v>
      </c>
    </row>
    <row r="288" spans="1:5" ht="18" customHeight="1" x14ac:dyDescent="0.25">
      <c r="A288" s="1" t="s">
        <v>4801</v>
      </c>
      <c r="B288" s="1" t="s">
        <v>2730</v>
      </c>
      <c r="C288" s="1">
        <v>80053</v>
      </c>
      <c r="D288" s="6">
        <v>250.64</v>
      </c>
      <c r="E288" s="1" t="str">
        <f>_xlfn.XLOOKUP(C288,'Clean Procedures'!$A$2:$A$5,'Clean Procedures'!$B$2:$B$5,"Not mapped")</f>
        <v>Comprehensive metabolic panel</v>
      </c>
    </row>
    <row r="289" spans="1:5" ht="18" customHeight="1" x14ac:dyDescent="0.25">
      <c r="A289" s="1" t="s">
        <v>4503</v>
      </c>
      <c r="B289" s="1" t="s">
        <v>2149</v>
      </c>
      <c r="C289" s="1">
        <v>80053</v>
      </c>
      <c r="D289" s="6">
        <v>250.18</v>
      </c>
      <c r="E289" s="1" t="str">
        <f>_xlfn.XLOOKUP(C289,'Clean Procedures'!$A$2:$A$5,'Clean Procedures'!$B$2:$B$5,"Not mapped")</f>
        <v>Comprehensive metabolic panel</v>
      </c>
    </row>
    <row r="290" spans="1:5" ht="18" customHeight="1" x14ac:dyDescent="0.25">
      <c r="A290" s="1" t="s">
        <v>4837</v>
      </c>
      <c r="B290" s="1" t="s">
        <v>2794</v>
      </c>
      <c r="C290" s="1">
        <v>99213</v>
      </c>
      <c r="D290" s="6">
        <v>247.74</v>
      </c>
      <c r="E290" s="1" t="str">
        <f>_xlfn.XLOOKUP(C290,'Clean Procedures'!$A$2:$A$5,'Clean Procedures'!$B$2:$B$5,"Not mapped")</f>
        <v>Office visit, established patient, 15 min</v>
      </c>
    </row>
    <row r="291" spans="1:5" ht="18" customHeight="1" x14ac:dyDescent="0.25">
      <c r="A291" s="1" t="s">
        <v>4564</v>
      </c>
      <c r="B291" s="1" t="s">
        <v>2279</v>
      </c>
      <c r="C291" s="1">
        <v>80053</v>
      </c>
      <c r="D291" s="6">
        <v>245.88</v>
      </c>
      <c r="E291" s="1" t="str">
        <f>_xlfn.XLOOKUP(C291,'Clean Procedures'!$A$2:$A$5,'Clean Procedures'!$B$2:$B$5,"Not mapped")</f>
        <v>Comprehensive metabolic panel</v>
      </c>
    </row>
    <row r="292" spans="1:5" ht="18" customHeight="1" x14ac:dyDescent="0.25">
      <c r="A292" s="1" t="s">
        <v>4517</v>
      </c>
      <c r="B292" s="1" t="s">
        <v>2182</v>
      </c>
      <c r="C292" s="1">
        <v>80053</v>
      </c>
      <c r="D292" s="6">
        <v>243.9</v>
      </c>
      <c r="E292" s="1" t="str">
        <f>_xlfn.XLOOKUP(C292,'Clean Procedures'!$A$2:$A$5,'Clean Procedures'!$B$2:$B$5,"Not mapped")</f>
        <v>Comprehensive metabolic panel</v>
      </c>
    </row>
    <row r="293" spans="1:5" ht="18" customHeight="1" x14ac:dyDescent="0.25">
      <c r="A293" s="1" t="s">
        <v>4968</v>
      </c>
      <c r="B293" s="1" t="s">
        <v>3022</v>
      </c>
      <c r="C293" s="1">
        <v>85025</v>
      </c>
      <c r="D293" s="6">
        <v>243.67</v>
      </c>
      <c r="E293" s="1" t="str">
        <f>_xlfn.XLOOKUP(C293,'Clean Procedures'!$A$2:$A$5,'Clean Procedures'!$B$2:$B$5,"Not mapped")</f>
        <v>Complete blood count (CBC)</v>
      </c>
    </row>
    <row r="294" spans="1:5" ht="18" customHeight="1" x14ac:dyDescent="0.25">
      <c r="A294" s="1" t="s">
        <v>4682</v>
      </c>
      <c r="B294" s="1" t="s">
        <v>2505</v>
      </c>
      <c r="C294" s="1">
        <v>99213</v>
      </c>
      <c r="D294" s="6">
        <v>243.56</v>
      </c>
      <c r="E294" s="1" t="str">
        <f>_xlfn.XLOOKUP(C294,'Clean Procedures'!$A$2:$A$5,'Clean Procedures'!$B$2:$B$5,"Not mapped")</f>
        <v>Office visit, established patient, 15 min</v>
      </c>
    </row>
    <row r="295" spans="1:5" ht="18" customHeight="1" x14ac:dyDescent="0.25">
      <c r="A295" s="1" t="s">
        <v>4860</v>
      </c>
      <c r="B295" s="1" t="s">
        <v>2836</v>
      </c>
      <c r="C295" s="1">
        <v>99213</v>
      </c>
      <c r="D295" s="6">
        <v>242.61</v>
      </c>
      <c r="E295" s="1" t="str">
        <f>_xlfn.XLOOKUP(C295,'Clean Procedures'!$A$2:$A$5,'Clean Procedures'!$B$2:$B$5,"Not mapped")</f>
        <v>Office visit, established patient, 15 min</v>
      </c>
    </row>
    <row r="296" spans="1:5" ht="18" customHeight="1" x14ac:dyDescent="0.25">
      <c r="A296" s="1" t="s">
        <v>4609</v>
      </c>
      <c r="B296" s="1" t="s">
        <v>2367</v>
      </c>
      <c r="C296" s="1">
        <v>99213</v>
      </c>
      <c r="D296" s="6">
        <v>241.98</v>
      </c>
      <c r="E296" s="1" t="str">
        <f>_xlfn.XLOOKUP(C296,'Clean Procedures'!$A$2:$A$5,'Clean Procedures'!$B$2:$B$5,"Not mapped")</f>
        <v>Office visit, established patient, 15 min</v>
      </c>
    </row>
    <row r="297" spans="1:5" ht="18" customHeight="1" x14ac:dyDescent="0.25">
      <c r="A297" s="1" t="s">
        <v>4889</v>
      </c>
      <c r="B297" s="1" t="s">
        <v>2886</v>
      </c>
      <c r="C297" s="1">
        <v>80053</v>
      </c>
      <c r="D297" s="6">
        <v>239.94</v>
      </c>
      <c r="E297" s="1" t="str">
        <f>_xlfn.XLOOKUP(C297,'Clean Procedures'!$A$2:$A$5,'Clean Procedures'!$B$2:$B$5,"Not mapped")</f>
        <v>Comprehensive metabolic panel</v>
      </c>
    </row>
    <row r="298" spans="1:5" ht="18" customHeight="1" x14ac:dyDescent="0.25">
      <c r="A298" s="1" t="s">
        <v>4509</v>
      </c>
      <c r="B298" s="1" t="s">
        <v>2164</v>
      </c>
      <c r="C298" s="1">
        <v>99213</v>
      </c>
      <c r="D298" s="6">
        <v>239.88</v>
      </c>
      <c r="E298" s="1" t="str">
        <f>_xlfn.XLOOKUP(C298,'Clean Procedures'!$A$2:$A$5,'Clean Procedures'!$B$2:$B$5,"Not mapped")</f>
        <v>Office visit, established patient, 15 min</v>
      </c>
    </row>
    <row r="299" spans="1:5" ht="18" customHeight="1" x14ac:dyDescent="0.25">
      <c r="A299" s="1" t="s">
        <v>4807</v>
      </c>
      <c r="B299" s="1" t="s">
        <v>2740</v>
      </c>
      <c r="C299" s="1">
        <v>99213</v>
      </c>
      <c r="D299" s="6">
        <v>237.74</v>
      </c>
      <c r="E299" s="1" t="str">
        <f>_xlfn.XLOOKUP(C299,'Clean Procedures'!$A$2:$A$5,'Clean Procedures'!$B$2:$B$5,"Not mapped")</f>
        <v>Office visit, established patient, 15 min</v>
      </c>
    </row>
    <row r="300" spans="1:5" ht="18" customHeight="1" x14ac:dyDescent="0.25">
      <c r="A300" s="1" t="s">
        <v>4655</v>
      </c>
      <c r="B300" s="1" t="s">
        <v>2455</v>
      </c>
      <c r="C300" s="1">
        <v>85025</v>
      </c>
      <c r="D300" s="6">
        <v>237.59</v>
      </c>
      <c r="E300" s="1" t="str">
        <f>_xlfn.XLOOKUP(C300,'Clean Procedures'!$A$2:$A$5,'Clean Procedures'!$B$2:$B$5,"Not mapped")</f>
        <v>Complete blood count (CBC)</v>
      </c>
    </row>
    <row r="301" spans="1:5" ht="18" customHeight="1" x14ac:dyDescent="0.25">
      <c r="A301" s="1" t="s">
        <v>4876</v>
      </c>
      <c r="B301" s="1" t="s">
        <v>2866</v>
      </c>
      <c r="C301" s="1">
        <v>99203</v>
      </c>
      <c r="D301" s="6">
        <v>236.8</v>
      </c>
      <c r="E301" s="1" t="str">
        <f>_xlfn.XLOOKUP(C301,'Clean Procedures'!$A$2:$A$5,'Clean Procedures'!$B$2:$B$5,"Not mapped")</f>
        <v>Office visit, new patient, 30 min</v>
      </c>
    </row>
    <row r="302" spans="1:5" ht="18" customHeight="1" x14ac:dyDescent="0.25">
      <c r="A302" s="1" t="s">
        <v>4604</v>
      </c>
      <c r="B302" s="1" t="s">
        <v>2357</v>
      </c>
      <c r="C302" s="1">
        <v>99213</v>
      </c>
      <c r="D302" s="6">
        <v>236.07</v>
      </c>
      <c r="E302" s="1" t="str">
        <f>_xlfn.XLOOKUP(C302,'Clean Procedures'!$A$2:$A$5,'Clean Procedures'!$B$2:$B$5,"Not mapped")</f>
        <v>Office visit, established patient, 15 min</v>
      </c>
    </row>
    <row r="303" spans="1:5" ht="18" customHeight="1" x14ac:dyDescent="0.25">
      <c r="A303" s="1" t="s">
        <v>4951</v>
      </c>
      <c r="B303" s="1" t="s">
        <v>2991</v>
      </c>
      <c r="C303" s="1">
        <v>99203</v>
      </c>
      <c r="D303" s="6">
        <v>235.09</v>
      </c>
      <c r="E303" s="1" t="str">
        <f>_xlfn.XLOOKUP(C303,'Clean Procedures'!$A$2:$A$5,'Clean Procedures'!$B$2:$B$5,"Not mapped")</f>
        <v>Office visit, new patient, 30 min</v>
      </c>
    </row>
    <row r="304" spans="1:5" ht="18" customHeight="1" x14ac:dyDescent="0.25">
      <c r="A304" s="1" t="s">
        <v>4646</v>
      </c>
      <c r="B304" s="1" t="s">
        <v>2437</v>
      </c>
      <c r="C304" s="1">
        <v>99203</v>
      </c>
      <c r="D304" s="6">
        <v>233.7</v>
      </c>
      <c r="E304" s="1" t="str">
        <f>_xlfn.XLOOKUP(C304,'Clean Procedures'!$A$2:$A$5,'Clean Procedures'!$B$2:$B$5,"Not mapped")</f>
        <v>Office visit, new patient, 30 min</v>
      </c>
    </row>
    <row r="305" spans="1:5" ht="18" customHeight="1" x14ac:dyDescent="0.25">
      <c r="A305" s="1" t="s">
        <v>4791</v>
      </c>
      <c r="B305" s="1" t="s">
        <v>2712</v>
      </c>
      <c r="C305" s="1">
        <v>99213</v>
      </c>
      <c r="D305" s="6">
        <v>233.23</v>
      </c>
      <c r="E305" s="1" t="str">
        <f>_xlfn.XLOOKUP(C305,'Clean Procedures'!$A$2:$A$5,'Clean Procedures'!$B$2:$B$5,"Not mapped")</f>
        <v>Office visit, established patient, 15 min</v>
      </c>
    </row>
    <row r="306" spans="1:5" ht="18" customHeight="1" x14ac:dyDescent="0.25">
      <c r="A306" s="1" t="s">
        <v>4878</v>
      </c>
      <c r="B306" s="1" t="s">
        <v>2869</v>
      </c>
      <c r="C306" s="1">
        <v>85025</v>
      </c>
      <c r="D306" s="6">
        <v>232.62</v>
      </c>
      <c r="E306" s="1" t="str">
        <f>_xlfn.XLOOKUP(C306,'Clean Procedures'!$A$2:$A$5,'Clean Procedures'!$B$2:$B$5,"Not mapped")</f>
        <v>Complete blood count (CBC)</v>
      </c>
    </row>
    <row r="307" spans="1:5" ht="18" customHeight="1" x14ac:dyDescent="0.25">
      <c r="A307" s="1" t="s">
        <v>4723</v>
      </c>
      <c r="B307" s="1" t="s">
        <v>2585</v>
      </c>
      <c r="C307" s="1">
        <v>99203</v>
      </c>
      <c r="D307" s="6">
        <v>230.93</v>
      </c>
      <c r="E307" s="1" t="str">
        <f>_xlfn.XLOOKUP(C307,'Clean Procedures'!$A$2:$A$5,'Clean Procedures'!$B$2:$B$5,"Not mapped")</f>
        <v>Office visit, new patient, 30 min</v>
      </c>
    </row>
    <row r="308" spans="1:5" ht="18" customHeight="1" x14ac:dyDescent="0.25">
      <c r="A308" s="1" t="s">
        <v>4602</v>
      </c>
      <c r="B308" s="1" t="s">
        <v>2354</v>
      </c>
      <c r="C308" s="1">
        <v>99213</v>
      </c>
      <c r="D308" s="6">
        <v>230.89</v>
      </c>
      <c r="E308" s="1" t="str">
        <f>_xlfn.XLOOKUP(C308,'Clean Procedures'!$A$2:$A$5,'Clean Procedures'!$B$2:$B$5,"Not mapped")</f>
        <v>Office visit, established patient, 15 min</v>
      </c>
    </row>
    <row r="309" spans="1:5" ht="18" customHeight="1" x14ac:dyDescent="0.25">
      <c r="A309" s="1" t="s">
        <v>4513</v>
      </c>
      <c r="B309" s="1" t="s">
        <v>2173</v>
      </c>
      <c r="C309" s="1">
        <v>99213</v>
      </c>
      <c r="D309" s="6">
        <v>230.15</v>
      </c>
      <c r="E309" s="1" t="str">
        <f>_xlfn.XLOOKUP(C309,'Clean Procedures'!$A$2:$A$5,'Clean Procedures'!$B$2:$B$5,"Not mapped")</f>
        <v>Office visit, established patient, 15 min</v>
      </c>
    </row>
    <row r="310" spans="1:5" ht="18" customHeight="1" x14ac:dyDescent="0.25">
      <c r="A310" s="1" t="s">
        <v>4918</v>
      </c>
      <c r="B310" s="1" t="s">
        <v>2935</v>
      </c>
      <c r="C310" s="1">
        <v>99213</v>
      </c>
      <c r="D310" s="6">
        <v>229.31</v>
      </c>
      <c r="E310" s="1" t="str">
        <f>_xlfn.XLOOKUP(C310,'Clean Procedures'!$A$2:$A$5,'Clean Procedures'!$B$2:$B$5,"Not mapped")</f>
        <v>Office visit, established patient, 15 min</v>
      </c>
    </row>
    <row r="311" spans="1:5" ht="18" customHeight="1" x14ac:dyDescent="0.25">
      <c r="A311" s="1" t="s">
        <v>4620</v>
      </c>
      <c r="B311" s="1" t="s">
        <v>2388</v>
      </c>
      <c r="C311" s="1">
        <v>99213</v>
      </c>
      <c r="D311" s="6">
        <v>227.59</v>
      </c>
      <c r="E311" s="1" t="str">
        <f>_xlfn.XLOOKUP(C311,'Clean Procedures'!$A$2:$A$5,'Clean Procedures'!$B$2:$B$5,"Not mapped")</f>
        <v>Office visit, established patient, 15 min</v>
      </c>
    </row>
    <row r="312" spans="1:5" ht="18" customHeight="1" x14ac:dyDescent="0.25">
      <c r="A312" s="1" t="s">
        <v>4539</v>
      </c>
      <c r="B312" s="1" t="s">
        <v>2229</v>
      </c>
      <c r="C312" s="1">
        <v>99213</v>
      </c>
      <c r="D312" s="6">
        <v>227.34</v>
      </c>
      <c r="E312" s="1" t="str">
        <f>_xlfn.XLOOKUP(C312,'Clean Procedures'!$A$2:$A$5,'Clean Procedures'!$B$2:$B$5,"Not mapped")</f>
        <v>Office visit, established patient, 15 min</v>
      </c>
    </row>
    <row r="313" spans="1:5" ht="18" customHeight="1" x14ac:dyDescent="0.25">
      <c r="A313" s="1" t="s">
        <v>4783</v>
      </c>
      <c r="B313" s="1" t="s">
        <v>2698</v>
      </c>
      <c r="C313" s="1">
        <v>85025</v>
      </c>
      <c r="D313" s="6">
        <v>227.14</v>
      </c>
      <c r="E313" s="1" t="str">
        <f>_xlfn.XLOOKUP(C313,'Clean Procedures'!$A$2:$A$5,'Clean Procedures'!$B$2:$B$5,"Not mapped")</f>
        <v>Complete blood count (CBC)</v>
      </c>
    </row>
    <row r="314" spans="1:5" ht="18" customHeight="1" x14ac:dyDescent="0.25">
      <c r="A314" s="1" t="s">
        <v>4907</v>
      </c>
      <c r="B314" s="1" t="s">
        <v>2917</v>
      </c>
      <c r="C314" s="1">
        <v>80053</v>
      </c>
      <c r="D314" s="6">
        <v>227.05</v>
      </c>
      <c r="E314" s="1" t="str">
        <f>_xlfn.XLOOKUP(C314,'Clean Procedures'!$A$2:$A$5,'Clean Procedures'!$B$2:$B$5,"Not mapped")</f>
        <v>Comprehensive metabolic panel</v>
      </c>
    </row>
    <row r="315" spans="1:5" ht="18" customHeight="1" x14ac:dyDescent="0.25">
      <c r="A315" s="1" t="s">
        <v>4664</v>
      </c>
      <c r="B315" s="1" t="s">
        <v>2473</v>
      </c>
      <c r="C315" s="1">
        <v>99213</v>
      </c>
      <c r="D315" s="6">
        <v>226.68</v>
      </c>
      <c r="E315" s="1" t="str">
        <f>_xlfn.XLOOKUP(C315,'Clean Procedures'!$A$2:$A$5,'Clean Procedures'!$B$2:$B$5,"Not mapped")</f>
        <v>Office visit, established patient, 15 min</v>
      </c>
    </row>
    <row r="316" spans="1:5" ht="18" customHeight="1" x14ac:dyDescent="0.25">
      <c r="A316" s="1" t="s">
        <v>4950</v>
      </c>
      <c r="B316" s="1" t="s">
        <v>2989</v>
      </c>
      <c r="C316" s="1">
        <v>80053</v>
      </c>
      <c r="D316" s="6">
        <v>226.23</v>
      </c>
      <c r="E316" s="1" t="str">
        <f>_xlfn.XLOOKUP(C316,'Clean Procedures'!$A$2:$A$5,'Clean Procedures'!$B$2:$B$5,"Not mapped")</f>
        <v>Comprehensive metabolic panel</v>
      </c>
    </row>
    <row r="317" spans="1:5" ht="18" customHeight="1" x14ac:dyDescent="0.25">
      <c r="A317" s="1" t="s">
        <v>4853</v>
      </c>
      <c r="B317" s="1" t="s">
        <v>2824</v>
      </c>
      <c r="C317" s="1">
        <v>85025</v>
      </c>
      <c r="D317" s="6">
        <v>225.63</v>
      </c>
      <c r="E317" s="1" t="str">
        <f>_xlfn.XLOOKUP(C317,'Clean Procedures'!$A$2:$A$5,'Clean Procedures'!$B$2:$B$5,"Not mapped")</f>
        <v>Complete blood count (CBC)</v>
      </c>
    </row>
    <row r="318" spans="1:5" ht="18" customHeight="1" x14ac:dyDescent="0.25">
      <c r="A318" s="1" t="s">
        <v>4784</v>
      </c>
      <c r="B318" s="1" t="s">
        <v>2700</v>
      </c>
      <c r="C318" s="1">
        <v>80053</v>
      </c>
      <c r="D318" s="6">
        <v>225</v>
      </c>
      <c r="E318" s="1" t="str">
        <f>_xlfn.XLOOKUP(C318,'Clean Procedures'!$A$2:$A$5,'Clean Procedures'!$B$2:$B$5,"Not mapped")</f>
        <v>Comprehensive metabolic panel</v>
      </c>
    </row>
    <row r="319" spans="1:5" ht="18" customHeight="1" x14ac:dyDescent="0.25">
      <c r="A319" s="1" t="s">
        <v>4628</v>
      </c>
      <c r="B319" s="1" t="s">
        <v>2402</v>
      </c>
      <c r="C319" s="1">
        <v>80053</v>
      </c>
      <c r="D319" s="6">
        <v>224.62</v>
      </c>
      <c r="E319" s="1" t="str">
        <f>_xlfn.XLOOKUP(C319,'Clean Procedures'!$A$2:$A$5,'Clean Procedures'!$B$2:$B$5,"Not mapped")</f>
        <v>Comprehensive metabolic panel</v>
      </c>
    </row>
    <row r="320" spans="1:5" ht="18" customHeight="1" x14ac:dyDescent="0.25">
      <c r="A320" s="1" t="s">
        <v>4751</v>
      </c>
      <c r="B320" s="1" t="s">
        <v>2639</v>
      </c>
      <c r="C320" s="1">
        <v>99213</v>
      </c>
      <c r="D320" s="6">
        <v>223.32</v>
      </c>
      <c r="E320" s="1" t="str">
        <f>_xlfn.XLOOKUP(C320,'Clean Procedures'!$A$2:$A$5,'Clean Procedures'!$B$2:$B$5,"Not mapped")</f>
        <v>Office visit, established patient, 15 min</v>
      </c>
    </row>
    <row r="321" spans="1:5" ht="18" customHeight="1" x14ac:dyDescent="0.25">
      <c r="A321" s="1" t="s">
        <v>4841</v>
      </c>
      <c r="B321" s="1" t="s">
        <v>2802</v>
      </c>
      <c r="C321" s="1">
        <v>80053</v>
      </c>
      <c r="D321" s="6">
        <v>222.92</v>
      </c>
      <c r="E321" s="1" t="str">
        <f>_xlfn.XLOOKUP(C321,'Clean Procedures'!$A$2:$A$5,'Clean Procedures'!$B$2:$B$5,"Not mapped")</f>
        <v>Comprehensive metabolic panel</v>
      </c>
    </row>
    <row r="322" spans="1:5" ht="18" customHeight="1" x14ac:dyDescent="0.25">
      <c r="A322" s="1" t="s">
        <v>4504</v>
      </c>
      <c r="B322" s="1" t="s">
        <v>2151</v>
      </c>
      <c r="C322" s="1">
        <v>99213</v>
      </c>
      <c r="D322" s="6">
        <v>222.27</v>
      </c>
      <c r="E322" s="1" t="str">
        <f>_xlfn.XLOOKUP(C322,'Clean Procedures'!$A$2:$A$5,'Clean Procedures'!$B$2:$B$5,"Not mapped")</f>
        <v>Office visit, established patient, 15 min</v>
      </c>
    </row>
    <row r="323" spans="1:5" ht="18" customHeight="1" x14ac:dyDescent="0.25">
      <c r="A323" s="1" t="s">
        <v>4668</v>
      </c>
      <c r="B323" s="1" t="s">
        <v>2481</v>
      </c>
      <c r="C323" s="1">
        <v>99203</v>
      </c>
      <c r="D323" s="6">
        <v>222.12</v>
      </c>
      <c r="E323" s="1" t="str">
        <f>_xlfn.XLOOKUP(C323,'Clean Procedures'!$A$2:$A$5,'Clean Procedures'!$B$2:$B$5,"Not mapped")</f>
        <v>Office visit, new patient, 30 min</v>
      </c>
    </row>
    <row r="324" spans="1:5" ht="18" customHeight="1" x14ac:dyDescent="0.25">
      <c r="A324" s="1" t="s">
        <v>4820</v>
      </c>
      <c r="B324" s="1" t="s">
        <v>2765</v>
      </c>
      <c r="C324" s="1">
        <v>85025</v>
      </c>
      <c r="D324" s="6">
        <v>221.8</v>
      </c>
      <c r="E324" s="1" t="str">
        <f>_xlfn.XLOOKUP(C324,'Clean Procedures'!$A$2:$A$5,'Clean Procedures'!$B$2:$B$5,"Not mapped")</f>
        <v>Complete blood count (CBC)</v>
      </c>
    </row>
    <row r="325" spans="1:5" ht="18" customHeight="1" x14ac:dyDescent="0.25">
      <c r="A325" s="1" t="s">
        <v>4676</v>
      </c>
      <c r="B325" s="1" t="s">
        <v>2496</v>
      </c>
      <c r="C325" s="1">
        <v>80053</v>
      </c>
      <c r="D325" s="6">
        <v>221.27</v>
      </c>
      <c r="E325" s="1" t="str">
        <f>_xlfn.XLOOKUP(C325,'Clean Procedures'!$A$2:$A$5,'Clean Procedures'!$B$2:$B$5,"Not mapped")</f>
        <v>Comprehensive metabolic panel</v>
      </c>
    </row>
    <row r="326" spans="1:5" ht="18" customHeight="1" x14ac:dyDescent="0.25">
      <c r="A326" s="1" t="s">
        <v>4880</v>
      </c>
      <c r="B326" s="1" t="s">
        <v>2873</v>
      </c>
      <c r="C326" s="1">
        <v>99213</v>
      </c>
      <c r="D326" s="6">
        <v>220.48</v>
      </c>
      <c r="E326" s="1" t="str">
        <f>_xlfn.XLOOKUP(C326,'Clean Procedures'!$A$2:$A$5,'Clean Procedures'!$B$2:$B$5,"Not mapped")</f>
        <v>Office visit, established patient, 15 min</v>
      </c>
    </row>
    <row r="327" spans="1:5" ht="18" customHeight="1" x14ac:dyDescent="0.25">
      <c r="A327" s="1" t="s">
        <v>4777</v>
      </c>
      <c r="B327" s="1" t="s">
        <v>2687</v>
      </c>
      <c r="C327" s="1">
        <v>99213</v>
      </c>
      <c r="D327" s="6">
        <v>219.32</v>
      </c>
      <c r="E327" s="1" t="str">
        <f>_xlfn.XLOOKUP(C327,'Clean Procedures'!$A$2:$A$5,'Clean Procedures'!$B$2:$B$5,"Not mapped")</f>
        <v>Office visit, established patient, 15 min</v>
      </c>
    </row>
    <row r="328" spans="1:5" ht="18" customHeight="1" x14ac:dyDescent="0.25">
      <c r="A328" s="1" t="s">
        <v>4848</v>
      </c>
      <c r="B328" s="1" t="s">
        <v>2814</v>
      </c>
      <c r="C328" s="1">
        <v>85025</v>
      </c>
      <c r="D328" s="6">
        <v>219.06</v>
      </c>
      <c r="E328" s="1" t="str">
        <f>_xlfn.XLOOKUP(C328,'Clean Procedures'!$A$2:$A$5,'Clean Procedures'!$B$2:$B$5,"Not mapped")</f>
        <v>Complete blood count (CBC)</v>
      </c>
    </row>
    <row r="329" spans="1:5" ht="18" customHeight="1" x14ac:dyDescent="0.25">
      <c r="A329" s="1" t="s">
        <v>4845</v>
      </c>
      <c r="B329" s="1" t="s">
        <v>2809</v>
      </c>
      <c r="C329" s="1">
        <v>99213</v>
      </c>
      <c r="D329" s="6">
        <v>213.09</v>
      </c>
      <c r="E329" s="1" t="str">
        <f>_xlfn.XLOOKUP(C329,'Clean Procedures'!$A$2:$A$5,'Clean Procedures'!$B$2:$B$5,"Not mapped")</f>
        <v>Office visit, established patient, 15 min</v>
      </c>
    </row>
    <row r="330" spans="1:5" ht="18" customHeight="1" x14ac:dyDescent="0.25">
      <c r="A330" s="1" t="s">
        <v>4939</v>
      </c>
      <c r="B330" s="1" t="s">
        <v>2971</v>
      </c>
      <c r="C330" s="1">
        <v>85025</v>
      </c>
      <c r="D330" s="6">
        <v>212.89</v>
      </c>
      <c r="E330" s="1" t="str">
        <f>_xlfn.XLOOKUP(C330,'Clean Procedures'!$A$2:$A$5,'Clean Procedures'!$B$2:$B$5,"Not mapped")</f>
        <v>Complete blood count (CBC)</v>
      </c>
    </row>
    <row r="331" spans="1:5" ht="18" customHeight="1" x14ac:dyDescent="0.25">
      <c r="A331" s="1" t="s">
        <v>4716</v>
      </c>
      <c r="B331" s="1" t="s">
        <v>2572</v>
      </c>
      <c r="C331" s="1">
        <v>85025</v>
      </c>
      <c r="D331" s="6">
        <v>210.03</v>
      </c>
      <c r="E331" s="1" t="str">
        <f>_xlfn.XLOOKUP(C331,'Clean Procedures'!$A$2:$A$5,'Clean Procedures'!$B$2:$B$5,"Not mapped")</f>
        <v>Complete blood count (CBC)</v>
      </c>
    </row>
    <row r="332" spans="1:5" ht="18" customHeight="1" x14ac:dyDescent="0.25">
      <c r="A332" s="1" t="s">
        <v>4746</v>
      </c>
      <c r="B332" s="1" t="s">
        <v>2629</v>
      </c>
      <c r="C332" s="1">
        <v>99213</v>
      </c>
      <c r="D332" s="6">
        <v>209.22</v>
      </c>
      <c r="E332" s="1" t="str">
        <f>_xlfn.XLOOKUP(C332,'Clean Procedures'!$A$2:$A$5,'Clean Procedures'!$B$2:$B$5,"Not mapped")</f>
        <v>Office visit, established patient, 15 min</v>
      </c>
    </row>
    <row r="333" spans="1:5" ht="18" customHeight="1" x14ac:dyDescent="0.25">
      <c r="A333" s="1" t="s">
        <v>4764</v>
      </c>
      <c r="B333" s="1" t="s">
        <v>2664</v>
      </c>
      <c r="C333" s="1">
        <v>85025</v>
      </c>
      <c r="D333" s="6">
        <v>208.51</v>
      </c>
      <c r="E333" s="1" t="str">
        <f>_xlfn.XLOOKUP(C333,'Clean Procedures'!$A$2:$A$5,'Clean Procedures'!$B$2:$B$5,"Not mapped")</f>
        <v>Complete blood count (CBC)</v>
      </c>
    </row>
    <row r="334" spans="1:5" ht="18" customHeight="1" x14ac:dyDescent="0.25">
      <c r="A334" s="1" t="s">
        <v>4884</v>
      </c>
      <c r="B334" s="1" t="s">
        <v>2880</v>
      </c>
      <c r="C334" s="1">
        <v>99213</v>
      </c>
      <c r="D334" s="6">
        <v>208.44</v>
      </c>
      <c r="E334" s="1" t="str">
        <f>_xlfn.XLOOKUP(C334,'Clean Procedures'!$A$2:$A$5,'Clean Procedures'!$B$2:$B$5,"Not mapped")</f>
        <v>Office visit, established patient, 15 min</v>
      </c>
    </row>
    <row r="335" spans="1:5" ht="18" customHeight="1" x14ac:dyDescent="0.25">
      <c r="A335" s="1" t="s">
        <v>4611</v>
      </c>
      <c r="B335" s="1" t="s">
        <v>2371</v>
      </c>
      <c r="C335" s="1">
        <v>85025</v>
      </c>
      <c r="D335" s="6">
        <v>206.8</v>
      </c>
      <c r="E335" s="1" t="str">
        <f>_xlfn.XLOOKUP(C335,'Clean Procedures'!$A$2:$A$5,'Clean Procedures'!$B$2:$B$5,"Not mapped")</f>
        <v>Complete blood count (CBC)</v>
      </c>
    </row>
    <row r="336" spans="1:5" ht="18" customHeight="1" x14ac:dyDescent="0.25">
      <c r="A336" s="1" t="s">
        <v>4541</v>
      </c>
      <c r="B336" s="1" t="s">
        <v>2233</v>
      </c>
      <c r="C336" s="1">
        <v>99203</v>
      </c>
      <c r="D336" s="6">
        <v>205.12</v>
      </c>
      <c r="E336" s="1" t="str">
        <f>_xlfn.XLOOKUP(C336,'Clean Procedures'!$A$2:$A$5,'Clean Procedures'!$B$2:$B$5,"Not mapped")</f>
        <v>Office visit, new patient, 30 min</v>
      </c>
    </row>
    <row r="337" spans="1:5" ht="18" customHeight="1" x14ac:dyDescent="0.25">
      <c r="A337" s="1" t="s">
        <v>4806</v>
      </c>
      <c r="B337" s="1" t="s">
        <v>2739</v>
      </c>
      <c r="C337" s="1">
        <v>99203</v>
      </c>
      <c r="D337" s="6">
        <v>204.76</v>
      </c>
      <c r="E337" s="1" t="str">
        <f>_xlfn.XLOOKUP(C337,'Clean Procedures'!$A$2:$A$5,'Clean Procedures'!$B$2:$B$5,"Not mapped")</f>
        <v>Office visit, new patient, 30 min</v>
      </c>
    </row>
    <row r="338" spans="1:5" ht="18" customHeight="1" x14ac:dyDescent="0.25">
      <c r="A338" s="1" t="s">
        <v>4901</v>
      </c>
      <c r="B338" s="1" t="s">
        <v>2907</v>
      </c>
      <c r="C338" s="1">
        <v>99213</v>
      </c>
      <c r="D338" s="6">
        <v>204.42</v>
      </c>
      <c r="E338" s="1" t="str">
        <f>_xlfn.XLOOKUP(C338,'Clean Procedures'!$A$2:$A$5,'Clean Procedures'!$B$2:$B$5,"Not mapped")</f>
        <v>Office visit, established patient, 15 min</v>
      </c>
    </row>
    <row r="339" spans="1:5" ht="18" customHeight="1" x14ac:dyDescent="0.25">
      <c r="A339" s="1" t="s">
        <v>4679</v>
      </c>
      <c r="B339" s="1" t="s">
        <v>2501</v>
      </c>
      <c r="C339" s="1">
        <v>99213</v>
      </c>
      <c r="D339" s="6">
        <v>202.32</v>
      </c>
      <c r="E339" s="1" t="str">
        <f>_xlfn.XLOOKUP(C339,'Clean Procedures'!$A$2:$A$5,'Clean Procedures'!$B$2:$B$5,"Not mapped")</f>
        <v>Office visit, established patient, 15 min</v>
      </c>
    </row>
    <row r="340" spans="1:5" ht="18" customHeight="1" x14ac:dyDescent="0.25">
      <c r="A340" s="1" t="s">
        <v>4965</v>
      </c>
      <c r="B340" s="1" t="s">
        <v>3016</v>
      </c>
      <c r="C340" s="1">
        <v>99203</v>
      </c>
      <c r="D340" s="6">
        <v>201.84</v>
      </c>
      <c r="E340" s="1" t="str">
        <f>_xlfn.XLOOKUP(C340,'Clean Procedures'!$A$2:$A$5,'Clean Procedures'!$B$2:$B$5,"Not mapped")</f>
        <v>Office visit, new patient, 30 min</v>
      </c>
    </row>
    <row r="341" spans="1:5" ht="18" customHeight="1" x14ac:dyDescent="0.25">
      <c r="A341" s="1" t="s">
        <v>4855</v>
      </c>
      <c r="B341" s="1" t="s">
        <v>2828</v>
      </c>
      <c r="C341" s="1">
        <v>85025</v>
      </c>
      <c r="D341" s="6">
        <v>200.49</v>
      </c>
      <c r="E341" s="1" t="str">
        <f>_xlfn.XLOOKUP(C341,'Clean Procedures'!$A$2:$A$5,'Clean Procedures'!$B$2:$B$5,"Not mapped")</f>
        <v>Complete blood count (CBC)</v>
      </c>
    </row>
    <row r="342" spans="1:5" ht="18" customHeight="1" x14ac:dyDescent="0.25">
      <c r="A342" s="1" t="s">
        <v>4659</v>
      </c>
      <c r="B342" s="1" t="s">
        <v>2463</v>
      </c>
      <c r="C342" s="1">
        <v>99213</v>
      </c>
      <c r="D342" s="6">
        <v>199.95</v>
      </c>
      <c r="E342" s="1" t="str">
        <f>_xlfn.XLOOKUP(C342,'Clean Procedures'!$A$2:$A$5,'Clean Procedures'!$B$2:$B$5,"Not mapped")</f>
        <v>Office visit, established patient, 15 min</v>
      </c>
    </row>
    <row r="343" spans="1:5" ht="18" customHeight="1" x14ac:dyDescent="0.25">
      <c r="A343" s="1" t="s">
        <v>4653</v>
      </c>
      <c r="B343" s="1" t="s">
        <v>2451</v>
      </c>
      <c r="C343" s="1">
        <v>85025</v>
      </c>
      <c r="D343" s="6">
        <v>198.77</v>
      </c>
      <c r="E343" s="1" t="str">
        <f>_xlfn.XLOOKUP(C343,'Clean Procedures'!$A$2:$A$5,'Clean Procedures'!$B$2:$B$5,"Not mapped")</f>
        <v>Complete blood count (CBC)</v>
      </c>
    </row>
    <row r="344" spans="1:5" ht="18" customHeight="1" x14ac:dyDescent="0.25">
      <c r="A344" s="1" t="s">
        <v>4979</v>
      </c>
      <c r="B344" s="1" t="s">
        <v>3043</v>
      </c>
      <c r="C344" s="1">
        <v>80053</v>
      </c>
      <c r="D344" s="6">
        <v>198.7</v>
      </c>
      <c r="E344" s="1" t="str">
        <f>_xlfn.XLOOKUP(C344,'Clean Procedures'!$A$2:$A$5,'Clean Procedures'!$B$2:$B$5,"Not mapped")</f>
        <v>Comprehensive metabolic panel</v>
      </c>
    </row>
    <row r="345" spans="1:5" ht="18" customHeight="1" x14ac:dyDescent="0.25">
      <c r="A345" s="1" t="s">
        <v>4755</v>
      </c>
      <c r="B345" s="1" t="s">
        <v>2646</v>
      </c>
      <c r="C345" s="1">
        <v>80053</v>
      </c>
      <c r="D345" s="6">
        <v>197.4</v>
      </c>
      <c r="E345" s="1" t="str">
        <f>_xlfn.XLOOKUP(C345,'Clean Procedures'!$A$2:$A$5,'Clean Procedures'!$B$2:$B$5,"Not mapped")</f>
        <v>Comprehensive metabolic panel</v>
      </c>
    </row>
    <row r="346" spans="1:5" ht="18" customHeight="1" x14ac:dyDescent="0.25">
      <c r="A346" s="1" t="s">
        <v>4547</v>
      </c>
      <c r="B346" s="1" t="s">
        <v>2244</v>
      </c>
      <c r="C346" s="1">
        <v>99213</v>
      </c>
      <c r="D346" s="6">
        <v>197.05</v>
      </c>
      <c r="E346" s="1" t="str">
        <f>_xlfn.XLOOKUP(C346,'Clean Procedures'!$A$2:$A$5,'Clean Procedures'!$B$2:$B$5,"Not mapped")</f>
        <v>Office visit, established patient, 15 min</v>
      </c>
    </row>
    <row r="347" spans="1:5" ht="18" customHeight="1" x14ac:dyDescent="0.25">
      <c r="A347" s="1" t="s">
        <v>4725</v>
      </c>
      <c r="B347" s="1" t="s">
        <v>2588</v>
      </c>
      <c r="C347" s="1">
        <v>99203</v>
      </c>
      <c r="D347" s="6">
        <v>196.39</v>
      </c>
      <c r="E347" s="1" t="str">
        <f>_xlfn.XLOOKUP(C347,'Clean Procedures'!$A$2:$A$5,'Clean Procedures'!$B$2:$B$5,"Not mapped")</f>
        <v>Office visit, new patient, 30 min</v>
      </c>
    </row>
    <row r="348" spans="1:5" ht="18" customHeight="1" x14ac:dyDescent="0.25">
      <c r="A348" s="1" t="s">
        <v>4879</v>
      </c>
      <c r="B348" s="1" t="s">
        <v>2871</v>
      </c>
      <c r="C348" s="1">
        <v>99203</v>
      </c>
      <c r="D348" s="6">
        <v>196.27</v>
      </c>
      <c r="E348" s="1" t="str">
        <f>_xlfn.XLOOKUP(C348,'Clean Procedures'!$A$2:$A$5,'Clean Procedures'!$B$2:$B$5,"Not mapped")</f>
        <v>Office visit, new patient, 30 min</v>
      </c>
    </row>
    <row r="349" spans="1:5" ht="18" customHeight="1" x14ac:dyDescent="0.25">
      <c r="A349" s="1" t="s">
        <v>4528</v>
      </c>
      <c r="B349" s="1" t="s">
        <v>2205</v>
      </c>
      <c r="C349" s="1">
        <v>99203</v>
      </c>
      <c r="D349" s="6">
        <v>196.19</v>
      </c>
      <c r="E349" s="1" t="str">
        <f>_xlfn.XLOOKUP(C349,'Clean Procedures'!$A$2:$A$5,'Clean Procedures'!$B$2:$B$5,"Not mapped")</f>
        <v>Office visit, new patient, 30 min</v>
      </c>
    </row>
    <row r="350" spans="1:5" ht="18" customHeight="1" x14ac:dyDescent="0.25">
      <c r="A350" s="1" t="s">
        <v>4969</v>
      </c>
      <c r="B350" s="1" t="s">
        <v>3024</v>
      </c>
      <c r="C350" s="1">
        <v>99203</v>
      </c>
      <c r="D350" s="6">
        <v>195.4</v>
      </c>
      <c r="E350" s="1" t="str">
        <f>_xlfn.XLOOKUP(C350,'Clean Procedures'!$A$2:$A$5,'Clean Procedures'!$B$2:$B$5,"Not mapped")</f>
        <v>Office visit, new patient, 30 min</v>
      </c>
    </row>
    <row r="351" spans="1:5" ht="18" customHeight="1" x14ac:dyDescent="0.25">
      <c r="A351" s="1" t="s">
        <v>4883</v>
      </c>
      <c r="B351" s="1" t="s">
        <v>2878</v>
      </c>
      <c r="C351" s="1">
        <v>99203</v>
      </c>
      <c r="D351" s="6">
        <v>191.91</v>
      </c>
      <c r="E351" s="1" t="str">
        <f>_xlfn.XLOOKUP(C351,'Clean Procedures'!$A$2:$A$5,'Clean Procedures'!$B$2:$B$5,"Not mapped")</f>
        <v>Office visit, new patient, 30 min</v>
      </c>
    </row>
    <row r="352" spans="1:5" ht="18" customHeight="1" x14ac:dyDescent="0.25">
      <c r="A352" s="1" t="s">
        <v>4623</v>
      </c>
      <c r="B352" s="1" t="s">
        <v>2394</v>
      </c>
      <c r="C352" s="1">
        <v>85025</v>
      </c>
      <c r="D352" s="6">
        <v>191.71</v>
      </c>
      <c r="E352" s="1" t="str">
        <f>_xlfn.XLOOKUP(C352,'Clean Procedures'!$A$2:$A$5,'Clean Procedures'!$B$2:$B$5,"Not mapped")</f>
        <v>Complete blood count (CBC)</v>
      </c>
    </row>
    <row r="353" spans="1:5" ht="18" customHeight="1" x14ac:dyDescent="0.25">
      <c r="A353" s="1" t="s">
        <v>4586</v>
      </c>
      <c r="B353" s="1" t="s">
        <v>2322</v>
      </c>
      <c r="C353" s="1">
        <v>99213</v>
      </c>
      <c r="D353" s="6">
        <v>190.08</v>
      </c>
      <c r="E353" s="1" t="str">
        <f>_xlfn.XLOOKUP(C353,'Clean Procedures'!$A$2:$A$5,'Clean Procedures'!$B$2:$B$5,"Not mapped")</f>
        <v>Office visit, established patient, 15 min</v>
      </c>
    </row>
    <row r="354" spans="1:5" ht="18" customHeight="1" x14ac:dyDescent="0.25">
      <c r="A354" s="1" t="s">
        <v>4839</v>
      </c>
      <c r="B354" s="1" t="s">
        <v>2798</v>
      </c>
      <c r="C354" s="1">
        <v>99213</v>
      </c>
      <c r="D354" s="6">
        <v>189.07</v>
      </c>
      <c r="E354" s="1" t="str">
        <f>_xlfn.XLOOKUP(C354,'Clean Procedures'!$A$2:$A$5,'Clean Procedures'!$B$2:$B$5,"Not mapped")</f>
        <v>Office visit, established patient, 15 min</v>
      </c>
    </row>
    <row r="355" spans="1:5" ht="18" customHeight="1" x14ac:dyDescent="0.25">
      <c r="A355" s="1" t="s">
        <v>4740</v>
      </c>
      <c r="B355" s="1" t="s">
        <v>2617</v>
      </c>
      <c r="C355" s="1">
        <v>99203</v>
      </c>
      <c r="D355" s="6">
        <v>188.18</v>
      </c>
      <c r="E355" s="1" t="str">
        <f>_xlfn.XLOOKUP(C355,'Clean Procedures'!$A$2:$A$5,'Clean Procedures'!$B$2:$B$5,"Not mapped")</f>
        <v>Office visit, new patient, 30 min</v>
      </c>
    </row>
    <row r="356" spans="1:5" ht="18" customHeight="1" x14ac:dyDescent="0.25">
      <c r="A356" s="1" t="s">
        <v>4761</v>
      </c>
      <c r="B356" s="1" t="s">
        <v>2658</v>
      </c>
      <c r="C356" s="1">
        <v>80053</v>
      </c>
      <c r="D356" s="6">
        <v>186.22</v>
      </c>
      <c r="E356" s="1" t="str">
        <f>_xlfn.XLOOKUP(C356,'Clean Procedures'!$A$2:$A$5,'Clean Procedures'!$B$2:$B$5,"Not mapped")</f>
        <v>Comprehensive metabolic panel</v>
      </c>
    </row>
    <row r="357" spans="1:5" ht="18" customHeight="1" x14ac:dyDescent="0.25">
      <c r="A357" s="1" t="s">
        <v>4747</v>
      </c>
      <c r="B357" s="1" t="s">
        <v>2631</v>
      </c>
      <c r="C357" s="1">
        <v>80053</v>
      </c>
      <c r="D357" s="6">
        <v>181.06</v>
      </c>
      <c r="E357" s="1" t="str">
        <f>_xlfn.XLOOKUP(C357,'Clean Procedures'!$A$2:$A$5,'Clean Procedures'!$B$2:$B$5,"Not mapped")</f>
        <v>Comprehensive metabolic panel</v>
      </c>
    </row>
    <row r="358" spans="1:5" ht="18" customHeight="1" x14ac:dyDescent="0.25">
      <c r="A358" s="1" t="s">
        <v>4718</v>
      </c>
      <c r="B358" s="1" t="s">
        <v>2576</v>
      </c>
      <c r="C358" s="1">
        <v>99213</v>
      </c>
      <c r="D358" s="6">
        <v>180.85</v>
      </c>
      <c r="E358" s="1" t="str">
        <f>_xlfn.XLOOKUP(C358,'Clean Procedures'!$A$2:$A$5,'Clean Procedures'!$B$2:$B$5,"Not mapped")</f>
        <v>Office visit, established patient, 15 min</v>
      </c>
    </row>
    <row r="359" spans="1:5" ht="18" customHeight="1" x14ac:dyDescent="0.25">
      <c r="A359" s="1" t="s">
        <v>4512</v>
      </c>
      <c r="B359" s="1" t="s">
        <v>2171</v>
      </c>
      <c r="C359" s="1">
        <v>99203</v>
      </c>
      <c r="D359" s="6">
        <v>179.84</v>
      </c>
      <c r="E359" s="1" t="str">
        <f>_xlfn.XLOOKUP(C359,'Clean Procedures'!$A$2:$A$5,'Clean Procedures'!$B$2:$B$5,"Not mapped")</f>
        <v>Office visit, new patient, 30 min</v>
      </c>
    </row>
    <row r="360" spans="1:5" ht="18" customHeight="1" x14ac:dyDescent="0.25">
      <c r="A360" s="1" t="s">
        <v>4762</v>
      </c>
      <c r="B360" s="1" t="s">
        <v>2660</v>
      </c>
      <c r="C360" s="1">
        <v>80053</v>
      </c>
      <c r="D360" s="6">
        <v>179.7</v>
      </c>
      <c r="E360" s="1" t="str">
        <f>_xlfn.XLOOKUP(C360,'Clean Procedures'!$A$2:$A$5,'Clean Procedures'!$B$2:$B$5,"Not mapped")</f>
        <v>Comprehensive metabolic panel</v>
      </c>
    </row>
    <row r="361" spans="1:5" ht="18" customHeight="1" x14ac:dyDescent="0.25">
      <c r="A361" s="1" t="s">
        <v>4868</v>
      </c>
      <c r="B361" s="1" t="s">
        <v>2851</v>
      </c>
      <c r="C361" s="1">
        <v>80053</v>
      </c>
      <c r="D361" s="6">
        <v>179.42</v>
      </c>
      <c r="E361" s="1" t="str">
        <f>_xlfn.XLOOKUP(C361,'Clean Procedures'!$A$2:$A$5,'Clean Procedures'!$B$2:$B$5,"Not mapped")</f>
        <v>Comprehensive metabolic panel</v>
      </c>
    </row>
    <row r="362" spans="1:5" ht="18" customHeight="1" x14ac:dyDescent="0.25">
      <c r="A362" s="1" t="s">
        <v>4903</v>
      </c>
      <c r="B362" s="1" t="s">
        <v>2911</v>
      </c>
      <c r="C362" s="1">
        <v>99203</v>
      </c>
      <c r="D362" s="6">
        <v>177.92</v>
      </c>
      <c r="E362" s="1" t="str">
        <f>_xlfn.XLOOKUP(C362,'Clean Procedures'!$A$2:$A$5,'Clean Procedures'!$B$2:$B$5,"Not mapped")</f>
        <v>Office visit, new patient, 30 min</v>
      </c>
    </row>
    <row r="363" spans="1:5" ht="18" customHeight="1" x14ac:dyDescent="0.25">
      <c r="A363" s="1" t="s">
        <v>4613</v>
      </c>
      <c r="B363" s="1" t="s">
        <v>2374</v>
      </c>
      <c r="C363" s="1">
        <v>99213</v>
      </c>
      <c r="D363" s="6">
        <v>177.89</v>
      </c>
      <c r="E363" s="1" t="str">
        <f>_xlfn.XLOOKUP(C363,'Clean Procedures'!$A$2:$A$5,'Clean Procedures'!$B$2:$B$5,"Not mapped")</f>
        <v>Office visit, established patient, 15 min</v>
      </c>
    </row>
    <row r="364" spans="1:5" ht="18" customHeight="1" x14ac:dyDescent="0.25">
      <c r="A364" s="1" t="s">
        <v>4897</v>
      </c>
      <c r="B364" s="1" t="s">
        <v>2899</v>
      </c>
      <c r="C364" s="1">
        <v>99203</v>
      </c>
      <c r="D364" s="6">
        <v>177.42</v>
      </c>
      <c r="E364" s="1" t="str">
        <f>_xlfn.XLOOKUP(C364,'Clean Procedures'!$A$2:$A$5,'Clean Procedures'!$B$2:$B$5,"Not mapped")</f>
        <v>Office visit, new patient, 30 min</v>
      </c>
    </row>
    <row r="365" spans="1:5" ht="18" customHeight="1" x14ac:dyDescent="0.25">
      <c r="A365" s="1" t="s">
        <v>4619</v>
      </c>
      <c r="B365" s="1" t="s">
        <v>2386</v>
      </c>
      <c r="C365" s="1">
        <v>99213</v>
      </c>
      <c r="D365" s="6">
        <v>175.76</v>
      </c>
      <c r="E365" s="1" t="str">
        <f>_xlfn.XLOOKUP(C365,'Clean Procedures'!$A$2:$A$5,'Clean Procedures'!$B$2:$B$5,"Not mapped")</f>
        <v>Office visit, established patient, 15 min</v>
      </c>
    </row>
    <row r="366" spans="1:5" ht="18" customHeight="1" x14ac:dyDescent="0.25">
      <c r="A366" s="1" t="s">
        <v>4548</v>
      </c>
      <c r="B366" s="1" t="s">
        <v>2246</v>
      </c>
      <c r="C366" s="1">
        <v>85025</v>
      </c>
      <c r="D366" s="6">
        <v>174.83</v>
      </c>
      <c r="E366" s="1" t="str">
        <f>_xlfn.XLOOKUP(C366,'Clean Procedures'!$A$2:$A$5,'Clean Procedures'!$B$2:$B$5,"Not mapped")</f>
        <v>Complete blood count (CBC)</v>
      </c>
    </row>
    <row r="367" spans="1:5" ht="18" customHeight="1" x14ac:dyDescent="0.25">
      <c r="A367" s="1" t="s">
        <v>4948</v>
      </c>
      <c r="B367" s="1" t="s">
        <v>2986</v>
      </c>
      <c r="C367" s="1">
        <v>85025</v>
      </c>
      <c r="D367" s="6">
        <v>173.69</v>
      </c>
      <c r="E367" s="1" t="str">
        <f>_xlfn.XLOOKUP(C367,'Clean Procedures'!$A$2:$A$5,'Clean Procedures'!$B$2:$B$5,"Not mapped")</f>
        <v>Complete blood count (CBC)</v>
      </c>
    </row>
    <row r="368" spans="1:5" ht="18" customHeight="1" x14ac:dyDescent="0.25">
      <c r="A368" s="1" t="s">
        <v>4698</v>
      </c>
      <c r="B368" s="1" t="s">
        <v>2537</v>
      </c>
      <c r="C368" s="1">
        <v>99203</v>
      </c>
      <c r="D368" s="6">
        <v>173.52</v>
      </c>
      <c r="E368" s="1" t="str">
        <f>_xlfn.XLOOKUP(C368,'Clean Procedures'!$A$2:$A$5,'Clean Procedures'!$B$2:$B$5,"Not mapped")</f>
        <v>Office visit, new patient, 30 min</v>
      </c>
    </row>
    <row r="369" spans="1:5" ht="18" customHeight="1" x14ac:dyDescent="0.25">
      <c r="A369" s="1" t="s">
        <v>4727</v>
      </c>
      <c r="B369" s="1" t="s">
        <v>2592</v>
      </c>
      <c r="C369" s="1">
        <v>99213</v>
      </c>
      <c r="D369" s="6">
        <v>170.58</v>
      </c>
      <c r="E369" s="1" t="str">
        <f>_xlfn.XLOOKUP(C369,'Clean Procedures'!$A$2:$A$5,'Clean Procedures'!$B$2:$B$5,"Not mapped")</f>
        <v>Office visit, established patient, 15 min</v>
      </c>
    </row>
    <row r="370" spans="1:5" ht="18" customHeight="1" x14ac:dyDescent="0.25">
      <c r="A370" s="1" t="s">
        <v>4930</v>
      </c>
      <c r="B370" s="1" t="s">
        <v>2954</v>
      </c>
      <c r="C370" s="1">
        <v>99213</v>
      </c>
      <c r="D370" s="6">
        <v>170.45</v>
      </c>
      <c r="E370" s="1" t="str">
        <f>_xlfn.XLOOKUP(C370,'Clean Procedures'!$A$2:$A$5,'Clean Procedures'!$B$2:$B$5,"Not mapped")</f>
        <v>Office visit, established patient, 15 min</v>
      </c>
    </row>
    <row r="371" spans="1:5" ht="18" customHeight="1" x14ac:dyDescent="0.25">
      <c r="A371" s="1" t="s">
        <v>4661</v>
      </c>
      <c r="B371" s="1" t="s">
        <v>2467</v>
      </c>
      <c r="C371" s="1">
        <v>80053</v>
      </c>
      <c r="D371" s="6">
        <v>170.02</v>
      </c>
      <c r="E371" s="1" t="str">
        <f>_xlfn.XLOOKUP(C371,'Clean Procedures'!$A$2:$A$5,'Clean Procedures'!$B$2:$B$5,"Not mapped")</f>
        <v>Comprehensive metabolic panel</v>
      </c>
    </row>
    <row r="372" spans="1:5" ht="18" customHeight="1" x14ac:dyDescent="0.25">
      <c r="A372" s="1" t="s">
        <v>4545</v>
      </c>
      <c r="B372" s="1" t="s">
        <v>2240</v>
      </c>
      <c r="C372" s="1">
        <v>80053</v>
      </c>
      <c r="D372" s="6">
        <v>169.98</v>
      </c>
      <c r="E372" s="1" t="str">
        <f>_xlfn.XLOOKUP(C372,'Clean Procedures'!$A$2:$A$5,'Clean Procedures'!$B$2:$B$5,"Not mapped")</f>
        <v>Comprehensive metabolic panel</v>
      </c>
    </row>
    <row r="373" spans="1:5" ht="18" customHeight="1" x14ac:dyDescent="0.25">
      <c r="A373" s="1" t="s">
        <v>4893</v>
      </c>
      <c r="B373" s="1" t="s">
        <v>2892</v>
      </c>
      <c r="C373" s="1">
        <v>99203</v>
      </c>
      <c r="D373" s="6">
        <v>169.93</v>
      </c>
      <c r="E373" s="1" t="str">
        <f>_xlfn.XLOOKUP(C373,'Clean Procedures'!$A$2:$A$5,'Clean Procedures'!$B$2:$B$5,"Not mapped")</f>
        <v>Office visit, new patient, 30 min</v>
      </c>
    </row>
    <row r="374" spans="1:5" ht="18" customHeight="1" x14ac:dyDescent="0.25">
      <c r="A374" s="1" t="s">
        <v>4554</v>
      </c>
      <c r="B374" s="1" t="s">
        <v>2260</v>
      </c>
      <c r="C374" s="1">
        <v>99213</v>
      </c>
      <c r="D374" s="6">
        <v>167.28</v>
      </c>
      <c r="E374" s="1" t="str">
        <f>_xlfn.XLOOKUP(C374,'Clean Procedures'!$A$2:$A$5,'Clean Procedures'!$B$2:$B$5,"Not mapped")</f>
        <v>Office visit, established patient, 15 min</v>
      </c>
    </row>
    <row r="375" spans="1:5" ht="18" customHeight="1" x14ac:dyDescent="0.25">
      <c r="A375" s="1" t="s">
        <v>4782</v>
      </c>
      <c r="B375" s="1" t="s">
        <v>2696</v>
      </c>
      <c r="C375" s="1">
        <v>99203</v>
      </c>
      <c r="D375" s="6">
        <v>165.86</v>
      </c>
      <c r="E375" s="1" t="str">
        <f>_xlfn.XLOOKUP(C375,'Clean Procedures'!$A$2:$A$5,'Clean Procedures'!$B$2:$B$5,"Not mapped")</f>
        <v>Office visit, new patient, 30 min</v>
      </c>
    </row>
    <row r="376" spans="1:5" ht="18" customHeight="1" x14ac:dyDescent="0.25">
      <c r="A376" s="1" t="s">
        <v>4610</v>
      </c>
      <c r="B376" s="1" t="s">
        <v>2369</v>
      </c>
      <c r="C376" s="1">
        <v>85025</v>
      </c>
      <c r="D376" s="6">
        <v>165.56</v>
      </c>
      <c r="E376" s="1" t="str">
        <f>_xlfn.XLOOKUP(C376,'Clean Procedures'!$A$2:$A$5,'Clean Procedures'!$B$2:$B$5,"Not mapped")</f>
        <v>Complete blood count (CBC)</v>
      </c>
    </row>
    <row r="377" spans="1:5" ht="18" customHeight="1" x14ac:dyDescent="0.25">
      <c r="A377" s="1" t="s">
        <v>4658</v>
      </c>
      <c r="B377" s="1" t="s">
        <v>2461</v>
      </c>
      <c r="C377" s="1">
        <v>99203</v>
      </c>
      <c r="D377" s="6">
        <v>165.44</v>
      </c>
      <c r="E377" s="1" t="str">
        <f>_xlfn.XLOOKUP(C377,'Clean Procedures'!$A$2:$A$5,'Clean Procedures'!$B$2:$B$5,"Not mapped")</f>
        <v>Office visit, new patient, 30 min</v>
      </c>
    </row>
    <row r="378" spans="1:5" ht="18" customHeight="1" x14ac:dyDescent="0.25">
      <c r="A378" s="1" t="s">
        <v>4812</v>
      </c>
      <c r="B378" s="1" t="s">
        <v>2749</v>
      </c>
      <c r="C378" s="1">
        <v>85025</v>
      </c>
      <c r="D378" s="6">
        <v>162.76</v>
      </c>
      <c r="E378" s="1" t="str">
        <f>_xlfn.XLOOKUP(C378,'Clean Procedures'!$A$2:$A$5,'Clean Procedures'!$B$2:$B$5,"Not mapped")</f>
        <v>Complete blood count (CBC)</v>
      </c>
    </row>
    <row r="379" spans="1:5" ht="18" customHeight="1" x14ac:dyDescent="0.25">
      <c r="A379" s="1" t="s">
        <v>4808</v>
      </c>
      <c r="B379" s="1" t="s">
        <v>2742</v>
      </c>
      <c r="C379" s="1">
        <v>85025</v>
      </c>
      <c r="D379" s="6">
        <v>162.6</v>
      </c>
      <c r="E379" s="1" t="str">
        <f>_xlfn.XLOOKUP(C379,'Clean Procedures'!$A$2:$A$5,'Clean Procedures'!$B$2:$B$5,"Not mapped")</f>
        <v>Complete blood count (CBC)</v>
      </c>
    </row>
    <row r="380" spans="1:5" ht="18" customHeight="1" x14ac:dyDescent="0.25">
      <c r="A380" s="1" t="s">
        <v>4490</v>
      </c>
      <c r="B380" s="1" t="s">
        <v>2115</v>
      </c>
      <c r="C380" s="1">
        <v>99203</v>
      </c>
      <c r="D380" s="6">
        <v>161.85</v>
      </c>
      <c r="E380" s="1" t="str">
        <f>_xlfn.XLOOKUP(C380,'Clean Procedures'!$A$2:$A$5,'Clean Procedures'!$B$2:$B$5,"Not mapped")</f>
        <v>Office visit, new patient, 30 min</v>
      </c>
    </row>
    <row r="381" spans="1:5" ht="18" customHeight="1" x14ac:dyDescent="0.25">
      <c r="A381" s="1" t="s">
        <v>4881</v>
      </c>
      <c r="B381" s="1" t="s">
        <v>2874</v>
      </c>
      <c r="C381" s="1">
        <v>99213</v>
      </c>
      <c r="D381" s="6">
        <v>161.52000000000001</v>
      </c>
      <c r="E381" s="1" t="str">
        <f>_xlfn.XLOOKUP(C381,'Clean Procedures'!$A$2:$A$5,'Clean Procedures'!$B$2:$B$5,"Not mapped")</f>
        <v>Office visit, established patient, 15 min</v>
      </c>
    </row>
    <row r="382" spans="1:5" ht="18" customHeight="1" x14ac:dyDescent="0.25">
      <c r="A382" s="1" t="s">
        <v>4484</v>
      </c>
      <c r="B382" s="1" t="s">
        <v>2094</v>
      </c>
      <c r="C382" s="1">
        <v>99213</v>
      </c>
      <c r="D382" s="6">
        <v>156.68</v>
      </c>
      <c r="E382" s="1" t="str">
        <f>_xlfn.XLOOKUP(C382,'Clean Procedures'!$A$2:$A$5,'Clean Procedures'!$B$2:$B$5,"Not mapped")</f>
        <v>Office visit, established patient, 15 min</v>
      </c>
    </row>
    <row r="383" spans="1:5" ht="18" customHeight="1" x14ac:dyDescent="0.25">
      <c r="A383" s="1" t="s">
        <v>4673</v>
      </c>
      <c r="B383" s="1" t="s">
        <v>2490</v>
      </c>
      <c r="C383" s="1">
        <v>99203</v>
      </c>
      <c r="D383" s="6">
        <v>155.44999999999999</v>
      </c>
      <c r="E383" s="1" t="str">
        <f>_xlfn.XLOOKUP(C383,'Clean Procedures'!$A$2:$A$5,'Clean Procedures'!$B$2:$B$5,"Not mapped")</f>
        <v>Office visit, new patient, 30 min</v>
      </c>
    </row>
    <row r="384" spans="1:5" ht="18" customHeight="1" x14ac:dyDescent="0.25">
      <c r="A384" s="1" t="s">
        <v>4765</v>
      </c>
      <c r="B384" s="1" t="s">
        <v>2666</v>
      </c>
      <c r="C384" s="1">
        <v>99203</v>
      </c>
      <c r="D384" s="6">
        <v>155.06</v>
      </c>
      <c r="E384" s="1" t="str">
        <f>_xlfn.XLOOKUP(C384,'Clean Procedures'!$A$2:$A$5,'Clean Procedures'!$B$2:$B$5,"Not mapped")</f>
        <v>Office visit, new patient, 30 min</v>
      </c>
    </row>
    <row r="385" spans="1:5" ht="18" customHeight="1" x14ac:dyDescent="0.25">
      <c r="A385" s="1" t="s">
        <v>4498</v>
      </c>
      <c r="B385" s="1" t="s">
        <v>2137</v>
      </c>
      <c r="C385" s="1">
        <v>85025</v>
      </c>
      <c r="D385" s="6">
        <v>155.05000000000001</v>
      </c>
      <c r="E385" s="1" t="str">
        <f>_xlfn.XLOOKUP(C385,'Clean Procedures'!$A$2:$A$5,'Clean Procedures'!$B$2:$B$5,"Not mapped")</f>
        <v>Complete blood count (CBC)</v>
      </c>
    </row>
    <row r="386" spans="1:5" ht="18" customHeight="1" x14ac:dyDescent="0.25">
      <c r="A386" s="1" t="s">
        <v>4929</v>
      </c>
      <c r="B386" s="1" t="s">
        <v>2953</v>
      </c>
      <c r="C386" s="1">
        <v>85025</v>
      </c>
      <c r="D386" s="6">
        <v>154.46</v>
      </c>
      <c r="E386" s="1" t="str">
        <f>_xlfn.XLOOKUP(C386,'Clean Procedures'!$A$2:$A$5,'Clean Procedures'!$B$2:$B$5,"Not mapped")</f>
        <v>Complete blood count (CBC)</v>
      </c>
    </row>
    <row r="387" spans="1:5" ht="18" customHeight="1" x14ac:dyDescent="0.25">
      <c r="A387" s="1" t="s">
        <v>4515</v>
      </c>
      <c r="B387" s="1" t="s">
        <v>2177</v>
      </c>
      <c r="C387" s="1">
        <v>99213</v>
      </c>
      <c r="D387" s="6">
        <v>154.33000000000001</v>
      </c>
      <c r="E387" s="1" t="str">
        <f>_xlfn.XLOOKUP(C387,'Clean Procedures'!$A$2:$A$5,'Clean Procedures'!$B$2:$B$5,"Not mapped")</f>
        <v>Office visit, established patient, 15 min</v>
      </c>
    </row>
    <row r="388" spans="1:5" ht="18" customHeight="1" x14ac:dyDescent="0.25">
      <c r="A388" s="1" t="s">
        <v>4792</v>
      </c>
      <c r="B388" s="1" t="s">
        <v>2714</v>
      </c>
      <c r="C388" s="1">
        <v>80053</v>
      </c>
      <c r="D388" s="6">
        <v>150.99</v>
      </c>
      <c r="E388" s="1" t="str">
        <f>_xlfn.XLOOKUP(C388,'Clean Procedures'!$A$2:$A$5,'Clean Procedures'!$B$2:$B$5,"Not mapped")</f>
        <v>Comprehensive metabolic panel</v>
      </c>
    </row>
    <row r="389" spans="1:5" ht="18" customHeight="1" x14ac:dyDescent="0.25">
      <c r="A389" s="1" t="s">
        <v>4938</v>
      </c>
      <c r="B389" s="1" t="s">
        <v>2969</v>
      </c>
      <c r="C389" s="1">
        <v>80053</v>
      </c>
      <c r="D389" s="6">
        <v>150.82</v>
      </c>
      <c r="E389" s="1" t="str">
        <f>_xlfn.XLOOKUP(C389,'Clean Procedures'!$A$2:$A$5,'Clean Procedures'!$B$2:$B$5,"Not mapped")</f>
        <v>Comprehensive metabolic panel</v>
      </c>
    </row>
    <row r="390" spans="1:5" ht="18" customHeight="1" x14ac:dyDescent="0.25">
      <c r="A390" s="1" t="s">
        <v>4974</v>
      </c>
      <c r="B390" s="1" t="s">
        <v>3034</v>
      </c>
      <c r="C390" s="1">
        <v>85025</v>
      </c>
      <c r="D390" s="6">
        <v>150.51</v>
      </c>
      <c r="E390" s="1" t="str">
        <f>_xlfn.XLOOKUP(C390,'Clean Procedures'!$A$2:$A$5,'Clean Procedures'!$B$2:$B$5,"Not mapped")</f>
        <v>Complete blood count (CBC)</v>
      </c>
    </row>
    <row r="391" spans="1:5" ht="18" customHeight="1" x14ac:dyDescent="0.25">
      <c r="A391" s="1" t="s">
        <v>4756</v>
      </c>
      <c r="B391" s="1" t="s">
        <v>2648</v>
      </c>
      <c r="C391" s="1">
        <v>85025</v>
      </c>
      <c r="D391" s="6">
        <v>150.13999999999999</v>
      </c>
      <c r="E391" s="1" t="str">
        <f>_xlfn.XLOOKUP(C391,'Clean Procedures'!$A$2:$A$5,'Clean Procedures'!$B$2:$B$5,"Not mapped")</f>
        <v>Complete blood count (CBC)</v>
      </c>
    </row>
    <row r="392" spans="1:5" ht="18" customHeight="1" x14ac:dyDescent="0.25">
      <c r="A392" s="1" t="s">
        <v>4497</v>
      </c>
      <c r="B392" s="1" t="s">
        <v>2134</v>
      </c>
      <c r="C392" s="1">
        <v>99203</v>
      </c>
      <c r="D392" s="6">
        <v>147.72</v>
      </c>
      <c r="E392" s="1" t="str">
        <f>_xlfn.XLOOKUP(C392,'Clean Procedures'!$A$2:$A$5,'Clean Procedures'!$B$2:$B$5,"Not mapped")</f>
        <v>Office visit, new patient, 30 min</v>
      </c>
    </row>
    <row r="393" spans="1:5" ht="18" customHeight="1" x14ac:dyDescent="0.25">
      <c r="A393" s="1" t="s">
        <v>4935</v>
      </c>
      <c r="B393" s="1" t="s">
        <v>2963</v>
      </c>
      <c r="C393" s="1">
        <v>80053</v>
      </c>
      <c r="D393" s="6">
        <v>144.88999999999999</v>
      </c>
      <c r="E393" s="1" t="str">
        <f>_xlfn.XLOOKUP(C393,'Clean Procedures'!$A$2:$A$5,'Clean Procedures'!$B$2:$B$5,"Not mapped")</f>
        <v>Comprehensive metabolic panel</v>
      </c>
    </row>
    <row r="394" spans="1:5" ht="18" customHeight="1" x14ac:dyDescent="0.25">
      <c r="A394" s="1" t="s">
        <v>4778</v>
      </c>
      <c r="B394" s="1" t="s">
        <v>2689</v>
      </c>
      <c r="C394" s="1">
        <v>80053</v>
      </c>
      <c r="D394" s="6">
        <v>142.80000000000001</v>
      </c>
      <c r="E394" s="1" t="str">
        <f>_xlfn.XLOOKUP(C394,'Clean Procedures'!$A$2:$A$5,'Clean Procedures'!$B$2:$B$5,"Not mapped")</f>
        <v>Comprehensive metabolic panel</v>
      </c>
    </row>
    <row r="395" spans="1:5" ht="18" customHeight="1" x14ac:dyDescent="0.25">
      <c r="A395" s="1" t="s">
        <v>4942</v>
      </c>
      <c r="B395" s="1" t="s">
        <v>2977</v>
      </c>
      <c r="C395" s="1">
        <v>99213</v>
      </c>
      <c r="D395" s="6">
        <v>142.77000000000001</v>
      </c>
      <c r="E395" s="1" t="str">
        <f>_xlfn.XLOOKUP(C395,'Clean Procedures'!$A$2:$A$5,'Clean Procedures'!$B$2:$B$5,"Not mapped")</f>
        <v>Office visit, established patient, 15 min</v>
      </c>
    </row>
    <row r="396" spans="1:5" ht="18" customHeight="1" x14ac:dyDescent="0.25">
      <c r="A396" s="1" t="s">
        <v>4824</v>
      </c>
      <c r="B396" s="1" t="s">
        <v>2772</v>
      </c>
      <c r="C396" s="1">
        <v>80053</v>
      </c>
      <c r="D396" s="6">
        <v>139.38999999999999</v>
      </c>
      <c r="E396" s="1" t="str">
        <f>_xlfn.XLOOKUP(C396,'Clean Procedures'!$A$2:$A$5,'Clean Procedures'!$B$2:$B$5,"Not mapped")</f>
        <v>Comprehensive metabolic panel</v>
      </c>
    </row>
    <row r="397" spans="1:5" ht="18" customHeight="1" x14ac:dyDescent="0.25">
      <c r="A397" s="1" t="s">
        <v>4745</v>
      </c>
      <c r="B397" s="1" t="s">
        <v>2627</v>
      </c>
      <c r="C397" s="1">
        <v>85025</v>
      </c>
      <c r="D397" s="6">
        <v>135.31</v>
      </c>
      <c r="E397" s="1" t="str">
        <f>_xlfn.XLOOKUP(C397,'Clean Procedures'!$A$2:$A$5,'Clean Procedures'!$B$2:$B$5,"Not mapped")</f>
        <v>Complete blood count (CBC)</v>
      </c>
    </row>
    <row r="398" spans="1:5" ht="18" customHeight="1" x14ac:dyDescent="0.25">
      <c r="A398" s="1" t="s">
        <v>4928</v>
      </c>
      <c r="B398" s="1" t="s">
        <v>2951</v>
      </c>
      <c r="C398" s="1">
        <v>99213</v>
      </c>
      <c r="D398" s="6">
        <v>135.24</v>
      </c>
      <c r="E398" s="1" t="str">
        <f>_xlfn.XLOOKUP(C398,'Clean Procedures'!$A$2:$A$5,'Clean Procedures'!$B$2:$B$5,"Not mapped")</f>
        <v>Office visit, established patient, 15 min</v>
      </c>
    </row>
    <row r="399" spans="1:5" ht="18" customHeight="1" x14ac:dyDescent="0.25">
      <c r="A399" s="1" t="s">
        <v>4973</v>
      </c>
      <c r="B399" s="1" t="s">
        <v>3032</v>
      </c>
      <c r="C399" s="1">
        <v>85025</v>
      </c>
      <c r="D399" s="6">
        <v>135.04</v>
      </c>
      <c r="E399" s="1" t="str">
        <f>_xlfn.XLOOKUP(C399,'Clean Procedures'!$A$2:$A$5,'Clean Procedures'!$B$2:$B$5,"Not mapped")</f>
        <v>Complete blood count (CBC)</v>
      </c>
    </row>
    <row r="400" spans="1:5" ht="18" customHeight="1" x14ac:dyDescent="0.25">
      <c r="A400" s="1" t="s">
        <v>4538</v>
      </c>
      <c r="B400" s="1" t="s">
        <v>2226</v>
      </c>
      <c r="C400" s="1">
        <v>80053</v>
      </c>
      <c r="D400" s="6">
        <v>135.02000000000001</v>
      </c>
      <c r="E400" s="1" t="str">
        <f>_xlfn.XLOOKUP(C400,'Clean Procedures'!$A$2:$A$5,'Clean Procedures'!$B$2:$B$5,"Not mapped")</f>
        <v>Comprehensive metabolic panel</v>
      </c>
    </row>
    <row r="401" spans="1:5" ht="18" customHeight="1" x14ac:dyDescent="0.25">
      <c r="A401" s="1" t="s">
        <v>4961</v>
      </c>
      <c r="B401" s="1" t="s">
        <v>3009</v>
      </c>
      <c r="C401" s="1">
        <v>99203</v>
      </c>
      <c r="D401" s="6">
        <v>133.56</v>
      </c>
      <c r="E401" s="1" t="str">
        <f>_xlfn.XLOOKUP(C401,'Clean Procedures'!$A$2:$A$5,'Clean Procedures'!$B$2:$B$5,"Not mapped")</f>
        <v>Office visit, new patient, 30 min</v>
      </c>
    </row>
    <row r="402" spans="1:5" ht="18" customHeight="1" x14ac:dyDescent="0.25">
      <c r="A402" s="1" t="s">
        <v>4829</v>
      </c>
      <c r="B402" s="1" t="s">
        <v>2781</v>
      </c>
      <c r="C402" s="1">
        <v>85025</v>
      </c>
      <c r="D402" s="6">
        <v>133.30000000000001</v>
      </c>
      <c r="E402" s="1" t="str">
        <f>_xlfn.XLOOKUP(C402,'Clean Procedures'!$A$2:$A$5,'Clean Procedures'!$B$2:$B$5,"Not mapped")</f>
        <v>Complete blood count (CBC)</v>
      </c>
    </row>
    <row r="403" spans="1:5" ht="18" customHeight="1" x14ac:dyDescent="0.25">
      <c r="A403" s="1" t="s">
        <v>4797</v>
      </c>
      <c r="B403" s="1" t="s">
        <v>2722</v>
      </c>
      <c r="C403" s="1">
        <v>85025</v>
      </c>
      <c r="D403" s="6">
        <v>130.26</v>
      </c>
      <c r="E403" s="1" t="str">
        <f>_xlfn.XLOOKUP(C403,'Clean Procedures'!$A$2:$A$5,'Clean Procedures'!$B$2:$B$5,"Not mapped")</f>
        <v>Complete blood count (CBC)</v>
      </c>
    </row>
    <row r="404" spans="1:5" ht="18" customHeight="1" x14ac:dyDescent="0.25">
      <c r="A404" s="1" t="s">
        <v>4650</v>
      </c>
      <c r="B404" s="1" t="s">
        <v>2445</v>
      </c>
      <c r="C404" s="1">
        <v>85025</v>
      </c>
      <c r="D404" s="6">
        <v>128.91999999999999</v>
      </c>
      <c r="E404" s="1" t="str">
        <f>_xlfn.XLOOKUP(C404,'Clean Procedures'!$A$2:$A$5,'Clean Procedures'!$B$2:$B$5,"Not mapped")</f>
        <v>Complete blood count (CBC)</v>
      </c>
    </row>
    <row r="405" spans="1:5" ht="18" customHeight="1" x14ac:dyDescent="0.25">
      <c r="A405" s="1" t="s">
        <v>4810</v>
      </c>
      <c r="B405" s="1" t="s">
        <v>2745</v>
      </c>
      <c r="C405" s="1">
        <v>99203</v>
      </c>
      <c r="D405" s="6">
        <v>128.84</v>
      </c>
      <c r="E405" s="1" t="str">
        <f>_xlfn.XLOOKUP(C405,'Clean Procedures'!$A$2:$A$5,'Clean Procedures'!$B$2:$B$5,"Not mapped")</f>
        <v>Office visit, new patient, 30 min</v>
      </c>
    </row>
    <row r="406" spans="1:5" ht="18" customHeight="1" x14ac:dyDescent="0.25">
      <c r="A406" s="1" t="s">
        <v>4603</v>
      </c>
      <c r="B406" s="1" t="s">
        <v>2356</v>
      </c>
      <c r="C406" s="1">
        <v>85025</v>
      </c>
      <c r="D406" s="6">
        <v>127.66</v>
      </c>
      <c r="E406" s="1" t="str">
        <f>_xlfn.XLOOKUP(C406,'Clean Procedures'!$A$2:$A$5,'Clean Procedures'!$B$2:$B$5,"Not mapped")</f>
        <v>Complete blood count (CBC)</v>
      </c>
    </row>
    <row r="407" spans="1:5" ht="18" customHeight="1" x14ac:dyDescent="0.25">
      <c r="A407" s="1" t="s">
        <v>4584</v>
      </c>
      <c r="B407" s="1" t="s">
        <v>2319</v>
      </c>
      <c r="C407" s="1">
        <v>99213</v>
      </c>
      <c r="D407" s="6">
        <v>126.83</v>
      </c>
      <c r="E407" s="1" t="str">
        <f>_xlfn.XLOOKUP(C407,'Clean Procedures'!$A$2:$A$5,'Clean Procedures'!$B$2:$B$5,"Not mapped")</f>
        <v>Office visit, established patient, 15 min</v>
      </c>
    </row>
    <row r="408" spans="1:5" ht="18" customHeight="1" x14ac:dyDescent="0.25">
      <c r="A408" s="1" t="s">
        <v>4692</v>
      </c>
      <c r="B408" s="1" t="s">
        <v>2525</v>
      </c>
      <c r="C408" s="1">
        <v>80053</v>
      </c>
      <c r="D408" s="6">
        <v>126.35</v>
      </c>
      <c r="E408" s="1" t="str">
        <f>_xlfn.XLOOKUP(C408,'Clean Procedures'!$A$2:$A$5,'Clean Procedures'!$B$2:$B$5,"Not mapped")</f>
        <v>Comprehensive metabolic panel</v>
      </c>
    </row>
    <row r="409" spans="1:5" ht="18" customHeight="1" x14ac:dyDescent="0.25">
      <c r="A409" s="1" t="s">
        <v>4617</v>
      </c>
      <c r="B409" s="1" t="s">
        <v>2382</v>
      </c>
      <c r="C409" s="1">
        <v>99203</v>
      </c>
      <c r="D409" s="6">
        <v>125.13</v>
      </c>
      <c r="E409" s="1" t="str">
        <f>_xlfn.XLOOKUP(C409,'Clean Procedures'!$A$2:$A$5,'Clean Procedures'!$B$2:$B$5,"Not mapped")</f>
        <v>Office visit, new patient, 30 min</v>
      </c>
    </row>
    <row r="410" spans="1:5" ht="18" customHeight="1" x14ac:dyDescent="0.25">
      <c r="A410" s="1" t="s">
        <v>4645</v>
      </c>
      <c r="B410" s="1" t="s">
        <v>2435</v>
      </c>
      <c r="C410" s="1">
        <v>99203</v>
      </c>
      <c r="D410" s="6">
        <v>124.92</v>
      </c>
      <c r="E410" s="1" t="str">
        <f>_xlfn.XLOOKUP(C410,'Clean Procedures'!$A$2:$A$5,'Clean Procedures'!$B$2:$B$5,"Not mapped")</f>
        <v>Office visit, new patient, 30 min</v>
      </c>
    </row>
    <row r="411" spans="1:5" ht="18" customHeight="1" x14ac:dyDescent="0.25">
      <c r="A411" s="1" t="s">
        <v>4957</v>
      </c>
      <c r="B411" s="1" t="s">
        <v>3002</v>
      </c>
      <c r="C411" s="1">
        <v>85025</v>
      </c>
      <c r="D411" s="6">
        <v>122.55</v>
      </c>
      <c r="E411" s="1" t="str">
        <f>_xlfn.XLOOKUP(C411,'Clean Procedures'!$A$2:$A$5,'Clean Procedures'!$B$2:$B$5,"Not mapped")</f>
        <v>Complete blood count (CBC)</v>
      </c>
    </row>
    <row r="412" spans="1:5" ht="18" customHeight="1" x14ac:dyDescent="0.25">
      <c r="A412" s="1" t="s">
        <v>4908</v>
      </c>
      <c r="B412" s="1" t="s">
        <v>2919</v>
      </c>
      <c r="C412" s="1">
        <v>80053</v>
      </c>
      <c r="D412" s="6">
        <v>120.29</v>
      </c>
      <c r="E412" s="1" t="str">
        <f>_xlfn.XLOOKUP(C412,'Clean Procedures'!$A$2:$A$5,'Clean Procedures'!$B$2:$B$5,"Not mapped")</f>
        <v>Comprehensive metabolic panel</v>
      </c>
    </row>
    <row r="413" spans="1:5" ht="18" customHeight="1" x14ac:dyDescent="0.25">
      <c r="A413" s="1" t="s">
        <v>4821</v>
      </c>
      <c r="B413" s="1" t="s">
        <v>2767</v>
      </c>
      <c r="C413" s="1">
        <v>99203</v>
      </c>
      <c r="D413" s="6">
        <v>119.77</v>
      </c>
      <c r="E413" s="1" t="str">
        <f>_xlfn.XLOOKUP(C413,'Clean Procedures'!$A$2:$A$5,'Clean Procedures'!$B$2:$B$5,"Not mapped")</f>
        <v>Office visit, new patient, 30 min</v>
      </c>
    </row>
    <row r="414" spans="1:5" ht="18" customHeight="1" x14ac:dyDescent="0.25">
      <c r="A414" s="1" t="s">
        <v>4775</v>
      </c>
      <c r="B414" s="1" t="s">
        <v>2684</v>
      </c>
      <c r="C414" s="1">
        <v>85025</v>
      </c>
      <c r="D414" s="6">
        <v>118.34</v>
      </c>
      <c r="E414" s="1" t="str">
        <f>_xlfn.XLOOKUP(C414,'Clean Procedures'!$A$2:$A$5,'Clean Procedures'!$B$2:$B$5,"Not mapped")</f>
        <v>Complete blood count (CBC)</v>
      </c>
    </row>
    <row r="415" spans="1:5" ht="18" customHeight="1" x14ac:dyDescent="0.25">
      <c r="A415" s="1" t="s">
        <v>4635</v>
      </c>
      <c r="B415" s="1" t="s">
        <v>2416</v>
      </c>
      <c r="C415" s="1">
        <v>85025</v>
      </c>
      <c r="D415" s="6">
        <v>117.19</v>
      </c>
      <c r="E415" s="1" t="str">
        <f>_xlfn.XLOOKUP(C415,'Clean Procedures'!$A$2:$A$5,'Clean Procedures'!$B$2:$B$5,"Not mapped")</f>
        <v>Complete blood count (CBC)</v>
      </c>
    </row>
    <row r="416" spans="1:5" ht="18" customHeight="1" x14ac:dyDescent="0.25">
      <c r="A416" s="1" t="s">
        <v>4557</v>
      </c>
      <c r="B416" s="1" t="s">
        <v>2266</v>
      </c>
      <c r="C416" s="1">
        <v>85025</v>
      </c>
      <c r="D416" s="6">
        <v>115.87</v>
      </c>
      <c r="E416" s="1" t="str">
        <f>_xlfn.XLOOKUP(C416,'Clean Procedures'!$A$2:$A$5,'Clean Procedures'!$B$2:$B$5,"Not mapped")</f>
        <v>Complete blood count (CBC)</v>
      </c>
    </row>
    <row r="417" spans="1:5" ht="18" customHeight="1" x14ac:dyDescent="0.25">
      <c r="A417" s="1" t="s">
        <v>4695</v>
      </c>
      <c r="B417" s="1" t="s">
        <v>2531</v>
      </c>
      <c r="C417" s="1">
        <v>80053</v>
      </c>
      <c r="D417" s="6">
        <v>114.86</v>
      </c>
      <c r="E417" s="1" t="str">
        <f>_xlfn.XLOOKUP(C417,'Clean Procedures'!$A$2:$A$5,'Clean Procedures'!$B$2:$B$5,"Not mapped")</f>
        <v>Comprehensive metabolic panel</v>
      </c>
    </row>
    <row r="418" spans="1:5" ht="18" customHeight="1" x14ac:dyDescent="0.25">
      <c r="A418" s="1" t="s">
        <v>4599</v>
      </c>
      <c r="B418" s="1" t="s">
        <v>2348</v>
      </c>
      <c r="C418" s="1">
        <v>99203</v>
      </c>
      <c r="D418" s="6">
        <v>114.64</v>
      </c>
      <c r="E418" s="1" t="str">
        <f>_xlfn.XLOOKUP(C418,'Clean Procedures'!$A$2:$A$5,'Clean Procedures'!$B$2:$B$5,"Not mapped")</f>
        <v>Office visit, new patient, 30 min</v>
      </c>
    </row>
    <row r="419" spans="1:5" ht="18" customHeight="1" x14ac:dyDescent="0.25">
      <c r="A419" s="1" t="s">
        <v>4769</v>
      </c>
      <c r="B419" s="1" t="s">
        <v>2674</v>
      </c>
      <c r="C419" s="1">
        <v>99213</v>
      </c>
      <c r="D419" s="6">
        <v>114.38</v>
      </c>
      <c r="E419" s="1" t="str">
        <f>_xlfn.XLOOKUP(C419,'Clean Procedures'!$A$2:$A$5,'Clean Procedures'!$B$2:$B$5,"Not mapped")</f>
        <v>Office visit, established patient, 15 min</v>
      </c>
    </row>
    <row r="420" spans="1:5" ht="18" customHeight="1" x14ac:dyDescent="0.25">
      <c r="A420" s="1" t="s">
        <v>4636</v>
      </c>
      <c r="B420" s="1" t="s">
        <v>2418</v>
      </c>
      <c r="C420" s="1">
        <v>99203</v>
      </c>
      <c r="D420" s="6">
        <v>112.66</v>
      </c>
      <c r="E420" s="1" t="str">
        <f>_xlfn.XLOOKUP(C420,'Clean Procedures'!$A$2:$A$5,'Clean Procedures'!$B$2:$B$5,"Not mapped")</f>
        <v>Office visit, new patient, 30 min</v>
      </c>
    </row>
    <row r="421" spans="1:5" ht="18" customHeight="1" x14ac:dyDescent="0.25">
      <c r="A421" s="1" t="s">
        <v>4788</v>
      </c>
      <c r="B421" s="1" t="s">
        <v>2706</v>
      </c>
      <c r="C421" s="1">
        <v>80053</v>
      </c>
      <c r="D421" s="6">
        <v>112.65</v>
      </c>
      <c r="E421" s="1" t="str">
        <f>_xlfn.XLOOKUP(C421,'Clean Procedures'!$A$2:$A$5,'Clean Procedures'!$B$2:$B$5,"Not mapped")</f>
        <v>Comprehensive metabolic panel</v>
      </c>
    </row>
    <row r="422" spans="1:5" ht="18" customHeight="1" x14ac:dyDescent="0.25">
      <c r="A422" s="1" t="s">
        <v>4826</v>
      </c>
      <c r="B422" s="1" t="s">
        <v>2776</v>
      </c>
      <c r="C422" s="1">
        <v>99203</v>
      </c>
      <c r="D422" s="6">
        <v>111.55</v>
      </c>
      <c r="E422" s="1" t="str">
        <f>_xlfn.XLOOKUP(C422,'Clean Procedures'!$A$2:$A$5,'Clean Procedures'!$B$2:$B$5,"Not mapped")</f>
        <v>Office visit, new patient, 30 min</v>
      </c>
    </row>
    <row r="423" spans="1:5" ht="18" customHeight="1" x14ac:dyDescent="0.25">
      <c r="A423" s="1" t="s">
        <v>4833</v>
      </c>
      <c r="B423" s="1" t="s">
        <v>2787</v>
      </c>
      <c r="C423" s="1">
        <v>80053</v>
      </c>
      <c r="D423" s="6">
        <v>111.4</v>
      </c>
      <c r="E423" s="1" t="str">
        <f>_xlfn.XLOOKUP(C423,'Clean Procedures'!$A$2:$A$5,'Clean Procedures'!$B$2:$B$5,"Not mapped")</f>
        <v>Comprehensive metabolic panel</v>
      </c>
    </row>
    <row r="424" spans="1:5" ht="18" customHeight="1" x14ac:dyDescent="0.25">
      <c r="A424" s="1" t="s">
        <v>4501</v>
      </c>
      <c r="B424" s="1" t="s">
        <v>2144</v>
      </c>
      <c r="C424" s="1">
        <v>99213</v>
      </c>
      <c r="D424" s="6">
        <v>109.88</v>
      </c>
      <c r="E424" s="1" t="str">
        <f>_xlfn.XLOOKUP(C424,'Clean Procedures'!$A$2:$A$5,'Clean Procedures'!$B$2:$B$5,"Not mapped")</f>
        <v>Office visit, established patient, 15 min</v>
      </c>
    </row>
    <row r="425" spans="1:5" ht="18" customHeight="1" x14ac:dyDescent="0.25">
      <c r="A425" s="1" t="s">
        <v>4597</v>
      </c>
      <c r="B425" s="1" t="s">
        <v>2344</v>
      </c>
      <c r="C425" s="1">
        <v>99213</v>
      </c>
      <c r="D425" s="6">
        <v>109.27</v>
      </c>
      <c r="E425" s="1" t="str">
        <f>_xlfn.XLOOKUP(C425,'Clean Procedures'!$A$2:$A$5,'Clean Procedures'!$B$2:$B$5,"Not mapped")</f>
        <v>Office visit, established patient, 15 min</v>
      </c>
    </row>
    <row r="426" spans="1:5" ht="18" customHeight="1" x14ac:dyDescent="0.25">
      <c r="A426" s="1" t="s">
        <v>4614</v>
      </c>
      <c r="B426" s="1" t="s">
        <v>2376</v>
      </c>
      <c r="C426" s="1">
        <v>99213</v>
      </c>
      <c r="D426" s="6">
        <v>108.06</v>
      </c>
      <c r="E426" s="1" t="str">
        <f>_xlfn.XLOOKUP(C426,'Clean Procedures'!$A$2:$A$5,'Clean Procedures'!$B$2:$B$5,"Not mapped")</f>
        <v>Office visit, established patient, 15 min</v>
      </c>
    </row>
    <row r="427" spans="1:5" ht="18" customHeight="1" x14ac:dyDescent="0.25">
      <c r="A427" s="1" t="s">
        <v>4652</v>
      </c>
      <c r="B427" s="1" t="s">
        <v>2449</v>
      </c>
      <c r="C427" s="1">
        <v>99203</v>
      </c>
      <c r="D427" s="6">
        <v>107.37</v>
      </c>
      <c r="E427" s="1" t="str">
        <f>_xlfn.XLOOKUP(C427,'Clean Procedures'!$A$2:$A$5,'Clean Procedures'!$B$2:$B$5,"Not mapped")</f>
        <v>Office visit, new patient, 30 min</v>
      </c>
    </row>
    <row r="428" spans="1:5" ht="18" customHeight="1" x14ac:dyDescent="0.25">
      <c r="A428" s="1" t="s">
        <v>4863</v>
      </c>
      <c r="B428" s="1" t="s">
        <v>2841</v>
      </c>
      <c r="C428" s="1">
        <v>85025</v>
      </c>
      <c r="D428" s="6">
        <v>107.17</v>
      </c>
      <c r="E428" s="1" t="str">
        <f>_xlfn.XLOOKUP(C428,'Clean Procedures'!$A$2:$A$5,'Clean Procedures'!$B$2:$B$5,"Not mapped")</f>
        <v>Complete blood count (CBC)</v>
      </c>
    </row>
    <row r="429" spans="1:5" ht="18" customHeight="1" x14ac:dyDescent="0.25">
      <c r="A429" s="1" t="s">
        <v>4672</v>
      </c>
      <c r="B429" s="1" t="s">
        <v>2488</v>
      </c>
      <c r="C429" s="1">
        <v>99213</v>
      </c>
      <c r="D429" s="6">
        <v>105.88</v>
      </c>
      <c r="E429" s="1" t="str">
        <f>_xlfn.XLOOKUP(C429,'Clean Procedures'!$A$2:$A$5,'Clean Procedures'!$B$2:$B$5,"Not mapped")</f>
        <v>Office visit, established patient, 15 min</v>
      </c>
    </row>
    <row r="430" spans="1:5" ht="18" customHeight="1" x14ac:dyDescent="0.25">
      <c r="A430" s="1" t="s">
        <v>4916</v>
      </c>
      <c r="B430" s="1" t="s">
        <v>2933</v>
      </c>
      <c r="C430" s="1">
        <v>99213</v>
      </c>
      <c r="D430" s="6">
        <v>105.32</v>
      </c>
      <c r="E430" s="1" t="str">
        <f>_xlfn.XLOOKUP(C430,'Clean Procedures'!$A$2:$A$5,'Clean Procedures'!$B$2:$B$5,"Not mapped")</f>
        <v>Office visit, established patient, 15 min</v>
      </c>
    </row>
    <row r="431" spans="1:5" ht="18" customHeight="1" x14ac:dyDescent="0.25">
      <c r="A431" s="1" t="s">
        <v>4734</v>
      </c>
      <c r="B431" s="1" t="s">
        <v>2606</v>
      </c>
      <c r="C431" s="1">
        <v>80053</v>
      </c>
      <c r="D431" s="6">
        <v>105.27</v>
      </c>
      <c r="E431" s="1" t="str">
        <f>_xlfn.XLOOKUP(C431,'Clean Procedures'!$A$2:$A$5,'Clean Procedures'!$B$2:$B$5,"Not mapped")</f>
        <v>Comprehensive metabolic panel</v>
      </c>
    </row>
    <row r="432" spans="1:5" ht="18" customHeight="1" x14ac:dyDescent="0.25">
      <c r="A432" s="1" t="s">
        <v>4699</v>
      </c>
      <c r="B432" s="1" t="s">
        <v>2539</v>
      </c>
      <c r="C432" s="1">
        <v>99203</v>
      </c>
      <c r="D432" s="6">
        <v>105.14</v>
      </c>
      <c r="E432" s="1" t="str">
        <f>_xlfn.XLOOKUP(C432,'Clean Procedures'!$A$2:$A$5,'Clean Procedures'!$B$2:$B$5,"Not mapped")</f>
        <v>Office visit, new patient, 30 min</v>
      </c>
    </row>
    <row r="433" spans="1:5" ht="18" customHeight="1" x14ac:dyDescent="0.25">
      <c r="A433" s="1" t="s">
        <v>4912</v>
      </c>
      <c r="B433" s="1" t="s">
        <v>2925</v>
      </c>
      <c r="C433" s="1">
        <v>85025</v>
      </c>
      <c r="D433" s="6">
        <v>103.96</v>
      </c>
      <c r="E433" s="1" t="str">
        <f>_xlfn.XLOOKUP(C433,'Clean Procedures'!$A$2:$A$5,'Clean Procedures'!$B$2:$B$5,"Not mapped")</f>
        <v>Complete blood count (CBC)</v>
      </c>
    </row>
    <row r="434" spans="1:5" ht="18" customHeight="1" x14ac:dyDescent="0.25">
      <c r="A434" s="1" t="s">
        <v>4958</v>
      </c>
      <c r="B434" s="1" t="s">
        <v>3004</v>
      </c>
      <c r="C434" s="1">
        <v>80053</v>
      </c>
      <c r="D434" s="6">
        <v>103.03</v>
      </c>
      <c r="E434" s="1" t="str">
        <f>_xlfn.XLOOKUP(C434,'Clean Procedures'!$A$2:$A$5,'Clean Procedures'!$B$2:$B$5,"Not mapped")</f>
        <v>Comprehensive metabolic panel</v>
      </c>
    </row>
    <row r="435" spans="1:5" ht="18" customHeight="1" x14ac:dyDescent="0.25">
      <c r="A435" s="1" t="s">
        <v>4856</v>
      </c>
      <c r="B435" s="1" t="s">
        <v>2830</v>
      </c>
      <c r="C435" s="1">
        <v>85025</v>
      </c>
      <c r="D435" s="6">
        <v>101.13</v>
      </c>
      <c r="E435" s="1" t="str">
        <f>_xlfn.XLOOKUP(C435,'Clean Procedures'!$A$2:$A$5,'Clean Procedures'!$B$2:$B$5,"Not mapped")</f>
        <v>Complete blood count (CBC)</v>
      </c>
    </row>
    <row r="436" spans="1:5" ht="18" customHeight="1" x14ac:dyDescent="0.25">
      <c r="A436" s="1" t="s">
        <v>4505</v>
      </c>
      <c r="B436" s="1" t="s">
        <v>2154</v>
      </c>
      <c r="C436" s="1">
        <v>80053</v>
      </c>
      <c r="D436" s="6">
        <v>100.65</v>
      </c>
      <c r="E436" s="1" t="str">
        <f>_xlfn.XLOOKUP(C436,'Clean Procedures'!$A$2:$A$5,'Clean Procedures'!$B$2:$B$5,"Not mapped")</f>
        <v>Comprehensive metabolic panel</v>
      </c>
    </row>
    <row r="437" spans="1:5" ht="18" customHeight="1" x14ac:dyDescent="0.25">
      <c r="A437" s="1" t="s">
        <v>4626</v>
      </c>
      <c r="B437" s="1" t="s">
        <v>2399</v>
      </c>
      <c r="C437" s="1">
        <v>99213</v>
      </c>
      <c r="D437" s="6">
        <v>100.05</v>
      </c>
      <c r="E437" s="1" t="str">
        <f>_xlfn.XLOOKUP(C437,'Clean Procedures'!$A$2:$A$5,'Clean Procedures'!$B$2:$B$5,"Not mapped")</f>
        <v>Office visit, established patient, 15 min</v>
      </c>
    </row>
    <row r="438" spans="1:5" ht="18" customHeight="1" x14ac:dyDescent="0.25">
      <c r="A438" s="1" t="s">
        <v>4649</v>
      </c>
      <c r="B438" s="1" t="s">
        <v>2443</v>
      </c>
      <c r="C438" s="1">
        <v>80053</v>
      </c>
      <c r="D438" s="6">
        <v>99.36</v>
      </c>
      <c r="E438" s="1" t="str">
        <f>_xlfn.XLOOKUP(C438,'Clean Procedures'!$A$2:$A$5,'Clean Procedures'!$B$2:$B$5,"Not mapped")</f>
        <v>Comprehensive metabolic panel</v>
      </c>
    </row>
    <row r="439" spans="1:5" ht="18" customHeight="1" x14ac:dyDescent="0.25">
      <c r="A439" s="1" t="s">
        <v>4585</v>
      </c>
      <c r="B439" s="1" t="s">
        <v>2321</v>
      </c>
      <c r="C439" s="1">
        <v>85025</v>
      </c>
      <c r="D439" s="6">
        <v>98.24</v>
      </c>
      <c r="E439" s="1" t="str">
        <f>_xlfn.XLOOKUP(C439,'Clean Procedures'!$A$2:$A$5,'Clean Procedures'!$B$2:$B$5,"Not mapped")</f>
        <v>Complete blood count (CBC)</v>
      </c>
    </row>
    <row r="440" spans="1:5" ht="18" customHeight="1" x14ac:dyDescent="0.25">
      <c r="A440" s="1" t="s">
        <v>4798</v>
      </c>
      <c r="B440" s="1" t="s">
        <v>2724</v>
      </c>
      <c r="C440" s="1">
        <v>99203</v>
      </c>
      <c r="D440" s="6">
        <v>97.51</v>
      </c>
      <c r="E440" s="1" t="str">
        <f>_xlfn.XLOOKUP(C440,'Clean Procedures'!$A$2:$A$5,'Clean Procedures'!$B$2:$B$5,"Not mapped")</f>
        <v>Office visit, new patient, 30 min</v>
      </c>
    </row>
    <row r="441" spans="1:5" ht="18" customHeight="1" x14ac:dyDescent="0.25">
      <c r="A441" s="1" t="s">
        <v>4696</v>
      </c>
      <c r="B441" s="1" t="s">
        <v>2533</v>
      </c>
      <c r="C441" s="1">
        <v>99213</v>
      </c>
      <c r="D441" s="6">
        <v>97.34</v>
      </c>
      <c r="E441" s="1" t="str">
        <f>_xlfn.XLOOKUP(C441,'Clean Procedures'!$A$2:$A$5,'Clean Procedures'!$B$2:$B$5,"Not mapped")</f>
        <v>Office visit, established patient, 15 min</v>
      </c>
    </row>
    <row r="442" spans="1:5" ht="18" customHeight="1" x14ac:dyDescent="0.25">
      <c r="A442" s="1" t="s">
        <v>4677</v>
      </c>
      <c r="B442" s="1" t="s">
        <v>2497</v>
      </c>
      <c r="C442" s="1">
        <v>99203</v>
      </c>
      <c r="D442" s="6">
        <v>96.4</v>
      </c>
      <c r="E442" s="1" t="str">
        <f>_xlfn.XLOOKUP(C442,'Clean Procedures'!$A$2:$A$5,'Clean Procedures'!$B$2:$B$5,"Not mapped")</f>
        <v>Office visit, new patient, 30 min</v>
      </c>
    </row>
    <row r="443" spans="1:5" ht="18" customHeight="1" x14ac:dyDescent="0.25">
      <c r="A443" s="1" t="s">
        <v>4799</v>
      </c>
      <c r="B443" s="1" t="s">
        <v>2726</v>
      </c>
      <c r="C443" s="1">
        <v>99213</v>
      </c>
      <c r="D443" s="6">
        <v>94.83</v>
      </c>
      <c r="E443" s="1" t="str">
        <f>_xlfn.XLOOKUP(C443,'Clean Procedures'!$A$2:$A$5,'Clean Procedures'!$B$2:$B$5,"Not mapped")</f>
        <v>Office visit, established patient, 15 min</v>
      </c>
    </row>
    <row r="444" spans="1:5" ht="18" customHeight="1" x14ac:dyDescent="0.25">
      <c r="A444" s="1" t="s">
        <v>4846</v>
      </c>
      <c r="B444" s="1" t="s">
        <v>2810</v>
      </c>
      <c r="C444" s="1">
        <v>85025</v>
      </c>
      <c r="D444" s="6">
        <v>94.83</v>
      </c>
      <c r="E444" s="1" t="str">
        <f>_xlfn.XLOOKUP(C444,'Clean Procedures'!$A$2:$A$5,'Clean Procedures'!$B$2:$B$5,"Not mapped")</f>
        <v>Complete blood count (CBC)</v>
      </c>
    </row>
    <row r="445" spans="1:5" ht="18" customHeight="1" x14ac:dyDescent="0.25">
      <c r="A445" s="1" t="s">
        <v>4641</v>
      </c>
      <c r="B445" s="1" t="s">
        <v>2427</v>
      </c>
      <c r="C445" s="1">
        <v>99203</v>
      </c>
      <c r="D445" s="6">
        <v>93.14</v>
      </c>
      <c r="E445" s="1" t="str">
        <f>_xlfn.XLOOKUP(C445,'Clean Procedures'!$A$2:$A$5,'Clean Procedures'!$B$2:$B$5,"Not mapped")</f>
        <v>Office visit, new patient, 30 min</v>
      </c>
    </row>
    <row r="446" spans="1:5" ht="18" customHeight="1" x14ac:dyDescent="0.25">
      <c r="A446" s="1" t="s">
        <v>4738</v>
      </c>
      <c r="B446" s="1" t="s">
        <v>2614</v>
      </c>
      <c r="C446" s="1">
        <v>85025</v>
      </c>
      <c r="D446" s="6">
        <v>93.02</v>
      </c>
      <c r="E446" s="1" t="str">
        <f>_xlfn.XLOOKUP(C446,'Clean Procedures'!$A$2:$A$5,'Clean Procedures'!$B$2:$B$5,"Not mapped")</f>
        <v>Complete blood count (CBC)</v>
      </c>
    </row>
    <row r="447" spans="1:5" ht="18" customHeight="1" x14ac:dyDescent="0.25">
      <c r="A447" s="1" t="s">
        <v>4552</v>
      </c>
      <c r="B447" s="1" t="s">
        <v>2255</v>
      </c>
      <c r="C447" s="1">
        <v>85025</v>
      </c>
      <c r="D447" s="6">
        <v>91.89</v>
      </c>
      <c r="E447" s="1" t="str">
        <f>_xlfn.XLOOKUP(C447,'Clean Procedures'!$A$2:$A$5,'Clean Procedures'!$B$2:$B$5,"Not mapped")</f>
        <v>Complete blood count (CBC)</v>
      </c>
    </row>
    <row r="448" spans="1:5" ht="18" customHeight="1" x14ac:dyDescent="0.25">
      <c r="A448" s="1" t="s">
        <v>4520</v>
      </c>
      <c r="B448" s="1" t="s">
        <v>2189</v>
      </c>
      <c r="C448" s="1">
        <v>99213</v>
      </c>
      <c r="D448" s="6">
        <v>91.77</v>
      </c>
      <c r="E448" s="1" t="str">
        <f>_xlfn.XLOOKUP(C448,'Clean Procedures'!$A$2:$A$5,'Clean Procedures'!$B$2:$B$5,"Not mapped")</f>
        <v>Office visit, established patient, 15 min</v>
      </c>
    </row>
    <row r="449" spans="1:5" ht="18" customHeight="1" x14ac:dyDescent="0.25">
      <c r="A449" s="1" t="s">
        <v>4688</v>
      </c>
      <c r="B449" s="1" t="s">
        <v>2517</v>
      </c>
      <c r="C449" s="1">
        <v>99213</v>
      </c>
      <c r="D449" s="6">
        <v>91.68</v>
      </c>
      <c r="E449" s="1" t="str">
        <f>_xlfn.XLOOKUP(C449,'Clean Procedures'!$A$2:$A$5,'Clean Procedures'!$B$2:$B$5,"Not mapped")</f>
        <v>Office visit, established patient, 15 min</v>
      </c>
    </row>
    <row r="450" spans="1:5" ht="18" customHeight="1" x14ac:dyDescent="0.25">
      <c r="A450" s="1" t="s">
        <v>4789</v>
      </c>
      <c r="B450" s="1" t="s">
        <v>2708</v>
      </c>
      <c r="C450" s="1">
        <v>80053</v>
      </c>
      <c r="D450" s="6">
        <v>90.89</v>
      </c>
      <c r="E450" s="1" t="str">
        <f>_xlfn.XLOOKUP(C450,'Clean Procedures'!$A$2:$A$5,'Clean Procedures'!$B$2:$B$5,"Not mapped")</f>
        <v>Comprehensive metabolic panel</v>
      </c>
    </row>
    <row r="451" spans="1:5" ht="18" customHeight="1" x14ac:dyDescent="0.25">
      <c r="A451" s="1" t="s">
        <v>4753</v>
      </c>
      <c r="B451" s="1" t="s">
        <v>2642</v>
      </c>
      <c r="C451" s="1">
        <v>99203</v>
      </c>
      <c r="D451" s="6">
        <v>89.51</v>
      </c>
      <c r="E451" s="1" t="str">
        <f>_xlfn.XLOOKUP(C451,'Clean Procedures'!$A$2:$A$5,'Clean Procedures'!$B$2:$B$5,"Not mapped")</f>
        <v>Office visit, new patient, 30 min</v>
      </c>
    </row>
    <row r="452" spans="1:5" ht="18" customHeight="1" x14ac:dyDescent="0.25">
      <c r="A452" s="1" t="s">
        <v>4946</v>
      </c>
      <c r="B452" s="1" t="s">
        <v>2983</v>
      </c>
      <c r="C452" s="1">
        <v>80053</v>
      </c>
      <c r="D452" s="6">
        <v>88.42</v>
      </c>
      <c r="E452" s="1" t="str">
        <f>_xlfn.XLOOKUP(C452,'Clean Procedures'!$A$2:$A$5,'Clean Procedures'!$B$2:$B$5,"Not mapped")</f>
        <v>Comprehensive metabolic panel</v>
      </c>
    </row>
    <row r="453" spans="1:5" ht="18" customHeight="1" x14ac:dyDescent="0.25">
      <c r="A453" s="1" t="s">
        <v>4487</v>
      </c>
      <c r="B453" s="1" t="s">
        <v>2105</v>
      </c>
      <c r="C453" s="1">
        <v>99213</v>
      </c>
      <c r="D453" s="6">
        <v>88.3</v>
      </c>
      <c r="E453" s="1" t="str">
        <f>_xlfn.XLOOKUP(C453,'Clean Procedures'!$A$2:$A$5,'Clean Procedures'!$B$2:$B$5,"Not mapped")</f>
        <v>Office visit, established patient, 15 min</v>
      </c>
    </row>
    <row r="454" spans="1:5" ht="18" customHeight="1" x14ac:dyDescent="0.25">
      <c r="A454" s="1" t="s">
        <v>4671</v>
      </c>
      <c r="B454" s="1" t="s">
        <v>2486</v>
      </c>
      <c r="C454" s="1">
        <v>99203</v>
      </c>
      <c r="D454" s="6">
        <v>87.92</v>
      </c>
      <c r="E454" s="1" t="str">
        <f>_xlfn.XLOOKUP(C454,'Clean Procedures'!$A$2:$A$5,'Clean Procedures'!$B$2:$B$5,"Not mapped")</f>
        <v>Office visit, new patient, 30 min</v>
      </c>
    </row>
    <row r="455" spans="1:5" ht="18" customHeight="1" x14ac:dyDescent="0.25">
      <c r="A455" s="1" t="s">
        <v>4869</v>
      </c>
      <c r="B455" s="1" t="s">
        <v>2853</v>
      </c>
      <c r="C455" s="1">
        <v>99203</v>
      </c>
      <c r="D455" s="6">
        <v>83.15</v>
      </c>
      <c r="E455" s="1" t="str">
        <f>_xlfn.XLOOKUP(C455,'Clean Procedures'!$A$2:$A$5,'Clean Procedures'!$B$2:$B$5,"Not mapped")</f>
        <v>Office visit, new patient, 30 min</v>
      </c>
    </row>
    <row r="456" spans="1:5" ht="18" customHeight="1" x14ac:dyDescent="0.25">
      <c r="A456" s="1" t="s">
        <v>4508</v>
      </c>
      <c r="B456" s="1" t="s">
        <v>2161</v>
      </c>
      <c r="C456" s="1">
        <v>80053</v>
      </c>
      <c r="D456" s="6">
        <v>83.11</v>
      </c>
      <c r="E456" s="1" t="str">
        <f>_xlfn.XLOOKUP(C456,'Clean Procedures'!$A$2:$A$5,'Clean Procedures'!$B$2:$B$5,"Not mapped")</f>
        <v>Comprehensive metabolic panel</v>
      </c>
    </row>
    <row r="457" spans="1:5" ht="18" customHeight="1" x14ac:dyDescent="0.25">
      <c r="A457" s="1" t="s">
        <v>4631</v>
      </c>
      <c r="B457" s="1" t="s">
        <v>2408</v>
      </c>
      <c r="C457" s="1">
        <v>80053</v>
      </c>
      <c r="D457" s="6">
        <v>82.4</v>
      </c>
      <c r="E457" s="1" t="str">
        <f>_xlfn.XLOOKUP(C457,'Clean Procedures'!$A$2:$A$5,'Clean Procedures'!$B$2:$B$5,"Not mapped")</f>
        <v>Comprehensive metabolic panel</v>
      </c>
    </row>
    <row r="458" spans="1:5" ht="18" customHeight="1" x14ac:dyDescent="0.25">
      <c r="A458" s="1" t="s">
        <v>4665</v>
      </c>
      <c r="B458" s="1" t="s">
        <v>2475</v>
      </c>
      <c r="C458" s="1">
        <v>99203</v>
      </c>
      <c r="D458" s="6">
        <v>81.8</v>
      </c>
      <c r="E458" s="1" t="str">
        <f>_xlfn.XLOOKUP(C458,'Clean Procedures'!$A$2:$A$5,'Clean Procedures'!$B$2:$B$5,"Not mapped")</f>
        <v>Office visit, new patient, 30 min</v>
      </c>
    </row>
    <row r="459" spans="1:5" ht="18" customHeight="1" x14ac:dyDescent="0.25">
      <c r="A459" s="1" t="s">
        <v>4559</v>
      </c>
      <c r="B459" s="1" t="s">
        <v>2269</v>
      </c>
      <c r="C459" s="1">
        <v>99203</v>
      </c>
      <c r="D459" s="6">
        <v>81.5</v>
      </c>
      <c r="E459" s="1" t="str">
        <f>_xlfn.XLOOKUP(C459,'Clean Procedures'!$A$2:$A$5,'Clean Procedures'!$B$2:$B$5,"Not mapped")</f>
        <v>Office visit, new patient, 30 min</v>
      </c>
    </row>
    <row r="460" spans="1:5" ht="18" customHeight="1" x14ac:dyDescent="0.25">
      <c r="A460" s="1" t="s">
        <v>4872</v>
      </c>
      <c r="B460" s="1" t="s">
        <v>2858</v>
      </c>
      <c r="C460" s="1">
        <v>99213</v>
      </c>
      <c r="D460" s="6">
        <v>80.599999999999994</v>
      </c>
      <c r="E460" s="1" t="str">
        <f>_xlfn.XLOOKUP(C460,'Clean Procedures'!$A$2:$A$5,'Clean Procedures'!$B$2:$B$5,"Not mapped")</f>
        <v>Office visit, established patient, 15 min</v>
      </c>
    </row>
    <row r="461" spans="1:5" ht="18" customHeight="1" x14ac:dyDescent="0.25">
      <c r="A461" s="1" t="s">
        <v>4858</v>
      </c>
      <c r="B461" s="1" t="s">
        <v>2832</v>
      </c>
      <c r="C461" s="1">
        <v>99203</v>
      </c>
      <c r="D461" s="6">
        <v>79.73</v>
      </c>
      <c r="E461" s="1" t="str">
        <f>_xlfn.XLOOKUP(C461,'Clean Procedures'!$A$2:$A$5,'Clean Procedures'!$B$2:$B$5,"Not mapped")</f>
        <v>Office visit, new patient, 30 min</v>
      </c>
    </row>
    <row r="462" spans="1:5" ht="18" customHeight="1" x14ac:dyDescent="0.25">
      <c r="A462" s="1" t="s">
        <v>4857</v>
      </c>
      <c r="B462" s="1" t="s">
        <v>2831</v>
      </c>
      <c r="C462" s="1">
        <v>99213</v>
      </c>
      <c r="D462" s="6">
        <v>77.489999999999995</v>
      </c>
      <c r="E462" s="1" t="str">
        <f>_xlfn.XLOOKUP(C462,'Clean Procedures'!$A$2:$A$5,'Clean Procedures'!$B$2:$B$5,"Not mapped")</f>
        <v>Office visit, established patient, 15 min</v>
      </c>
    </row>
    <row r="463" spans="1:5" ht="18" customHeight="1" x14ac:dyDescent="0.25">
      <c r="A463" s="1" t="s">
        <v>4485</v>
      </c>
      <c r="B463" s="1" t="s">
        <v>2098</v>
      </c>
      <c r="C463" s="1">
        <v>80053</v>
      </c>
      <c r="D463" s="6">
        <v>76.62</v>
      </c>
      <c r="E463" s="1" t="str">
        <f>_xlfn.XLOOKUP(C463,'Clean Procedures'!$A$2:$A$5,'Clean Procedures'!$B$2:$B$5,"Not mapped")</f>
        <v>Comprehensive metabolic panel</v>
      </c>
    </row>
    <row r="464" spans="1:5" ht="18" customHeight="1" x14ac:dyDescent="0.25">
      <c r="A464" s="1" t="s">
        <v>4847</v>
      </c>
      <c r="B464" s="1" t="s">
        <v>2812</v>
      </c>
      <c r="C464" s="1">
        <v>99213</v>
      </c>
      <c r="D464" s="6">
        <v>76.13</v>
      </c>
      <c r="E464" s="1" t="str">
        <f>_xlfn.XLOOKUP(C464,'Clean Procedures'!$A$2:$A$5,'Clean Procedures'!$B$2:$B$5,"Not mapped")</f>
        <v>Office visit, established patient, 15 min</v>
      </c>
    </row>
    <row r="465" spans="1:5" ht="18" customHeight="1" x14ac:dyDescent="0.25">
      <c r="A465" s="1" t="s">
        <v>4774</v>
      </c>
      <c r="B465" s="1" t="s">
        <v>2682</v>
      </c>
      <c r="C465" s="1">
        <v>99203</v>
      </c>
      <c r="D465" s="6">
        <v>75.42</v>
      </c>
      <c r="E465" s="1" t="str">
        <f>_xlfn.XLOOKUP(C465,'Clean Procedures'!$A$2:$A$5,'Clean Procedures'!$B$2:$B$5,"Not mapped")</f>
        <v>Office visit, new patient, 30 min</v>
      </c>
    </row>
    <row r="466" spans="1:5" ht="18" customHeight="1" x14ac:dyDescent="0.25">
      <c r="A466" s="1" t="s">
        <v>4966</v>
      </c>
      <c r="B466" s="1" t="s">
        <v>3018</v>
      </c>
      <c r="C466" s="1">
        <v>99203</v>
      </c>
      <c r="D466" s="6">
        <v>74.739999999999995</v>
      </c>
      <c r="E466" s="1" t="str">
        <f>_xlfn.XLOOKUP(C466,'Clean Procedures'!$A$2:$A$5,'Clean Procedures'!$B$2:$B$5,"Not mapped")</f>
        <v>Office visit, new patient, 30 min</v>
      </c>
    </row>
    <row r="467" spans="1:5" ht="18" customHeight="1" x14ac:dyDescent="0.25">
      <c r="A467" s="1" t="s">
        <v>4981</v>
      </c>
      <c r="B467" s="1" t="s">
        <v>3047</v>
      </c>
      <c r="C467" s="1">
        <v>99203</v>
      </c>
      <c r="D467" s="6">
        <v>74.56</v>
      </c>
      <c r="E467" s="1" t="str">
        <f>_xlfn.XLOOKUP(C467,'Clean Procedures'!$A$2:$A$5,'Clean Procedures'!$B$2:$B$5,"Not mapped")</f>
        <v>Office visit, new patient, 30 min</v>
      </c>
    </row>
    <row r="468" spans="1:5" ht="18" customHeight="1" x14ac:dyDescent="0.25">
      <c r="A468" s="1" t="s">
        <v>4940</v>
      </c>
      <c r="B468" s="1" t="s">
        <v>2973</v>
      </c>
      <c r="C468" s="1">
        <v>80053</v>
      </c>
      <c r="D468" s="6">
        <v>73</v>
      </c>
      <c r="E468" s="1" t="str">
        <f>_xlfn.XLOOKUP(C468,'Clean Procedures'!$A$2:$A$5,'Clean Procedures'!$B$2:$B$5,"Not mapped")</f>
        <v>Comprehensive metabolic panel</v>
      </c>
    </row>
    <row r="469" spans="1:5" ht="18" customHeight="1" x14ac:dyDescent="0.25">
      <c r="A469" s="1" t="s">
        <v>4691</v>
      </c>
      <c r="B469" s="1" t="s">
        <v>2523</v>
      </c>
      <c r="C469" s="1">
        <v>99213</v>
      </c>
      <c r="D469" s="6">
        <v>71.97</v>
      </c>
      <c r="E469" s="1" t="str">
        <f>_xlfn.XLOOKUP(C469,'Clean Procedures'!$A$2:$A$5,'Clean Procedures'!$B$2:$B$5,"Not mapped")</f>
        <v>Office visit, established patient, 15 min</v>
      </c>
    </row>
    <row r="470" spans="1:5" ht="18" customHeight="1" x14ac:dyDescent="0.25">
      <c r="A470" s="1" t="s">
        <v>4684</v>
      </c>
      <c r="B470" s="1" t="s">
        <v>2509</v>
      </c>
      <c r="C470" s="1">
        <v>85025</v>
      </c>
      <c r="D470" s="6">
        <v>71.069999999999993</v>
      </c>
      <c r="E470" s="1" t="str">
        <f>_xlfn.XLOOKUP(C470,'Clean Procedures'!$A$2:$A$5,'Clean Procedures'!$B$2:$B$5,"Not mapped")</f>
        <v>Complete blood count (CBC)</v>
      </c>
    </row>
    <row r="471" spans="1:5" ht="18" customHeight="1" x14ac:dyDescent="0.25">
      <c r="A471" s="1" t="s">
        <v>4895</v>
      </c>
      <c r="B471" s="1" t="s">
        <v>2895</v>
      </c>
      <c r="C471" s="1">
        <v>80053</v>
      </c>
      <c r="D471" s="6">
        <v>70.569999999999993</v>
      </c>
      <c r="E471" s="1" t="str">
        <f>_xlfn.XLOOKUP(C471,'Clean Procedures'!$A$2:$A$5,'Clean Procedures'!$B$2:$B$5,"Not mapped")</f>
        <v>Comprehensive metabolic panel</v>
      </c>
    </row>
    <row r="472" spans="1:5" ht="18" customHeight="1" x14ac:dyDescent="0.25">
      <c r="A472" s="1" t="s">
        <v>4970</v>
      </c>
      <c r="B472" s="1" t="s">
        <v>3026</v>
      </c>
      <c r="C472" s="1">
        <v>80053</v>
      </c>
      <c r="D472" s="6">
        <v>69.989999999999995</v>
      </c>
      <c r="E472" s="1" t="str">
        <f>_xlfn.XLOOKUP(C472,'Clean Procedures'!$A$2:$A$5,'Clean Procedures'!$B$2:$B$5,"Not mapped")</f>
        <v>Comprehensive metabolic panel</v>
      </c>
    </row>
    <row r="473" spans="1:5" ht="18" customHeight="1" x14ac:dyDescent="0.25">
      <c r="A473" s="1" t="s">
        <v>4945</v>
      </c>
      <c r="B473" s="1" t="s">
        <v>2981</v>
      </c>
      <c r="C473" s="1">
        <v>99213</v>
      </c>
      <c r="D473" s="6">
        <v>69.7</v>
      </c>
      <c r="E473" s="1" t="str">
        <f>_xlfn.XLOOKUP(C473,'Clean Procedures'!$A$2:$A$5,'Clean Procedures'!$B$2:$B$5,"Not mapped")</f>
        <v>Office visit, established patient, 15 min</v>
      </c>
    </row>
    <row r="474" spans="1:5" ht="18" customHeight="1" x14ac:dyDescent="0.25">
      <c r="A474" s="1" t="s">
        <v>4675</v>
      </c>
      <c r="B474" s="1" t="s">
        <v>2494</v>
      </c>
      <c r="C474" s="1">
        <v>99203</v>
      </c>
      <c r="D474" s="6">
        <v>68.989999999999995</v>
      </c>
      <c r="E474" s="1" t="str">
        <f>_xlfn.XLOOKUP(C474,'Clean Procedures'!$A$2:$A$5,'Clean Procedures'!$B$2:$B$5,"Not mapped")</f>
        <v>Office visit, new patient, 30 min</v>
      </c>
    </row>
    <row r="475" spans="1:5" ht="18" customHeight="1" x14ac:dyDescent="0.25">
      <c r="A475" s="1" t="s">
        <v>4627</v>
      </c>
      <c r="B475" s="1" t="s">
        <v>2400</v>
      </c>
      <c r="C475" s="1">
        <v>99213</v>
      </c>
      <c r="D475" s="6">
        <v>68.67</v>
      </c>
      <c r="E475" s="1" t="str">
        <f>_xlfn.XLOOKUP(C475,'Clean Procedures'!$A$2:$A$5,'Clean Procedures'!$B$2:$B$5,"Not mapped")</f>
        <v>Office visit, established patient, 15 min</v>
      </c>
    </row>
    <row r="476" spans="1:5" ht="18" customHeight="1" x14ac:dyDescent="0.25">
      <c r="A476" s="1" t="s">
        <v>4866</v>
      </c>
      <c r="B476" s="1" t="s">
        <v>2847</v>
      </c>
      <c r="C476" s="1">
        <v>85025</v>
      </c>
      <c r="D476" s="6">
        <v>68.34</v>
      </c>
      <c r="E476" s="1" t="str">
        <f>_xlfn.XLOOKUP(C476,'Clean Procedures'!$A$2:$A$5,'Clean Procedures'!$B$2:$B$5,"Not mapped")</f>
        <v>Complete blood count (CBC)</v>
      </c>
    </row>
    <row r="477" spans="1:5" ht="18" customHeight="1" x14ac:dyDescent="0.25">
      <c r="A477" s="1" t="s">
        <v>4760</v>
      </c>
      <c r="B477" s="1" t="s">
        <v>2656</v>
      </c>
      <c r="C477" s="1">
        <v>85025</v>
      </c>
      <c r="D477" s="6">
        <v>67.98</v>
      </c>
      <c r="E477" s="1" t="str">
        <f>_xlfn.XLOOKUP(C477,'Clean Procedures'!$A$2:$A$5,'Clean Procedures'!$B$2:$B$5,"Not mapped")</f>
        <v>Complete blood count (CBC)</v>
      </c>
    </row>
    <row r="478" spans="1:5" ht="18" customHeight="1" x14ac:dyDescent="0.25">
      <c r="A478" s="1" t="s">
        <v>4870</v>
      </c>
      <c r="B478" s="1" t="s">
        <v>2855</v>
      </c>
      <c r="C478" s="1">
        <v>80053</v>
      </c>
      <c r="D478" s="6">
        <v>65.69</v>
      </c>
      <c r="E478" s="1" t="str">
        <f>_xlfn.XLOOKUP(C478,'Clean Procedures'!$A$2:$A$5,'Clean Procedures'!$B$2:$B$5,"Not mapped")</f>
        <v>Comprehensive metabolic panel</v>
      </c>
    </row>
    <row r="479" spans="1:5" ht="18" customHeight="1" x14ac:dyDescent="0.25">
      <c r="A479" s="1" t="s">
        <v>4648</v>
      </c>
      <c r="B479" s="1" t="s">
        <v>2441</v>
      </c>
      <c r="C479" s="1">
        <v>80053</v>
      </c>
      <c r="D479" s="6">
        <v>64.400000000000006</v>
      </c>
      <c r="E479" s="1" t="str">
        <f>_xlfn.XLOOKUP(C479,'Clean Procedures'!$A$2:$A$5,'Clean Procedures'!$B$2:$B$5,"Not mapped")</f>
        <v>Comprehensive metabolic panel</v>
      </c>
    </row>
    <row r="480" spans="1:5" ht="18" customHeight="1" x14ac:dyDescent="0.25">
      <c r="A480" s="1" t="s">
        <v>4625</v>
      </c>
      <c r="B480" s="1" t="s">
        <v>2398</v>
      </c>
      <c r="C480" s="1">
        <v>99213</v>
      </c>
      <c r="D480" s="6">
        <v>63.8</v>
      </c>
      <c r="E480" s="1" t="str">
        <f>_xlfn.XLOOKUP(C480,'Clean Procedures'!$A$2:$A$5,'Clean Procedures'!$B$2:$B$5,"Not mapped")</f>
        <v>Office visit, established patient, 15 min</v>
      </c>
    </row>
    <row r="481" spans="1:5" ht="18" customHeight="1" x14ac:dyDescent="0.25">
      <c r="A481" s="1" t="s">
        <v>4525</v>
      </c>
      <c r="B481" s="1" t="s">
        <v>2200</v>
      </c>
      <c r="C481" s="1">
        <v>99203</v>
      </c>
      <c r="D481" s="6">
        <v>61.9</v>
      </c>
      <c r="E481" s="1" t="str">
        <f>_xlfn.XLOOKUP(C481,'Clean Procedures'!$A$2:$A$5,'Clean Procedures'!$B$2:$B$5,"Not mapped")</f>
        <v>Office visit, new patient, 30 min</v>
      </c>
    </row>
    <row r="482" spans="1:5" ht="18" customHeight="1" x14ac:dyDescent="0.25">
      <c r="A482" s="1" t="s">
        <v>4558</v>
      </c>
      <c r="B482" s="1" t="s">
        <v>2268</v>
      </c>
      <c r="C482" s="1">
        <v>80053</v>
      </c>
      <c r="D482" s="6">
        <v>61.22</v>
      </c>
      <c r="E482" s="1" t="str">
        <f>_xlfn.XLOOKUP(C482,'Clean Procedures'!$A$2:$A$5,'Clean Procedures'!$B$2:$B$5,"Not mapped")</f>
        <v>Comprehensive metabolic panel</v>
      </c>
    </row>
    <row r="483" spans="1:5" ht="18" customHeight="1" x14ac:dyDescent="0.25">
      <c r="A483" s="1" t="s">
        <v>4894</v>
      </c>
      <c r="B483" s="1" t="s">
        <v>2893</v>
      </c>
      <c r="C483" s="1">
        <v>99203</v>
      </c>
      <c r="D483" s="6">
        <v>60.84</v>
      </c>
      <c r="E483" s="1" t="str">
        <f>_xlfn.XLOOKUP(C483,'Clean Procedures'!$A$2:$A$5,'Clean Procedures'!$B$2:$B$5,"Not mapped")</f>
        <v>Office visit, new patient, 30 min</v>
      </c>
    </row>
    <row r="484" spans="1:5" ht="18" customHeight="1" x14ac:dyDescent="0.25">
      <c r="A484" s="1" t="s">
        <v>4780</v>
      </c>
      <c r="B484" s="1" t="s">
        <v>2692</v>
      </c>
      <c r="C484" s="1">
        <v>99203</v>
      </c>
      <c r="D484" s="6">
        <v>60.24</v>
      </c>
      <c r="E484" s="1" t="str">
        <f>_xlfn.XLOOKUP(C484,'Clean Procedures'!$A$2:$A$5,'Clean Procedures'!$B$2:$B$5,"Not mapped")</f>
        <v>Office visit, new patient, 30 min</v>
      </c>
    </row>
    <row r="485" spans="1:5" ht="18" customHeight="1" x14ac:dyDescent="0.25">
      <c r="A485" s="1" t="s">
        <v>4516</v>
      </c>
      <c r="B485" s="1" t="s">
        <v>2179</v>
      </c>
      <c r="C485" s="1">
        <v>80053</v>
      </c>
      <c r="D485" s="6">
        <v>59.62</v>
      </c>
      <c r="E485" s="1" t="str">
        <f>_xlfn.XLOOKUP(C485,'Clean Procedures'!$A$2:$A$5,'Clean Procedures'!$B$2:$B$5,"Not mapped")</f>
        <v>Comprehensive metabolic panel</v>
      </c>
    </row>
    <row r="486" spans="1:5" ht="18" customHeight="1" x14ac:dyDescent="0.25">
      <c r="A486" s="1" t="s">
        <v>4662</v>
      </c>
      <c r="B486" s="1" t="s">
        <v>2469</v>
      </c>
      <c r="C486" s="1">
        <v>99203</v>
      </c>
      <c r="D486" s="6">
        <v>59.35</v>
      </c>
      <c r="E486" s="1" t="str">
        <f>_xlfn.XLOOKUP(C486,'Clean Procedures'!$A$2:$A$5,'Clean Procedures'!$B$2:$B$5,"Not mapped")</f>
        <v>Office visit, new patient, 30 min</v>
      </c>
    </row>
    <row r="487" spans="1:5" ht="18" customHeight="1" x14ac:dyDescent="0.25">
      <c r="A487" s="1" t="s">
        <v>4647</v>
      </c>
      <c r="B487" s="1" t="s">
        <v>2439</v>
      </c>
      <c r="C487" s="1">
        <v>80053</v>
      </c>
      <c r="D487" s="6">
        <v>58.54</v>
      </c>
      <c r="E487" s="1" t="str">
        <f>_xlfn.XLOOKUP(C487,'Clean Procedures'!$A$2:$A$5,'Clean Procedures'!$B$2:$B$5,"Not mapped")</f>
        <v>Comprehensive metabolic panel</v>
      </c>
    </row>
    <row r="488" spans="1:5" ht="18" customHeight="1" x14ac:dyDescent="0.25">
      <c r="A488" s="1" t="s">
        <v>4572</v>
      </c>
      <c r="B488" s="1" t="s">
        <v>2294</v>
      </c>
      <c r="C488" s="1">
        <v>80053</v>
      </c>
      <c r="D488" s="6">
        <v>56.26</v>
      </c>
      <c r="E488" s="1" t="str">
        <f>_xlfn.XLOOKUP(C488,'Clean Procedures'!$A$2:$A$5,'Clean Procedures'!$B$2:$B$5,"Not mapped")</f>
        <v>Comprehensive metabolic panel</v>
      </c>
    </row>
    <row r="489" spans="1:5" ht="18" customHeight="1" x14ac:dyDescent="0.25">
      <c r="A489" s="1" t="s">
        <v>4739</v>
      </c>
      <c r="B489" s="1" t="s">
        <v>2615</v>
      </c>
      <c r="C489" s="1">
        <v>99213</v>
      </c>
      <c r="D489" s="6">
        <v>56.25</v>
      </c>
      <c r="E489" s="1" t="str">
        <f>_xlfn.XLOOKUP(C489,'Clean Procedures'!$A$2:$A$5,'Clean Procedures'!$B$2:$B$5,"Not mapped")</f>
        <v>Office visit, established patient, 15 min</v>
      </c>
    </row>
    <row r="490" spans="1:5" ht="18" customHeight="1" x14ac:dyDescent="0.25">
      <c r="A490" s="1" t="s">
        <v>4794</v>
      </c>
      <c r="B490" s="1" t="s">
        <v>2717</v>
      </c>
      <c r="C490" s="1">
        <v>80053</v>
      </c>
      <c r="D490" s="6">
        <v>55.78</v>
      </c>
      <c r="E490" s="1" t="str">
        <f>_xlfn.XLOOKUP(C490,'Clean Procedures'!$A$2:$A$5,'Clean Procedures'!$B$2:$B$5,"Not mapped")</f>
        <v>Comprehensive metabolic panel</v>
      </c>
    </row>
    <row r="491" spans="1:5" ht="18" customHeight="1" x14ac:dyDescent="0.25">
      <c r="A491" s="1" t="s">
        <v>4583</v>
      </c>
      <c r="B491" s="1" t="s">
        <v>2316</v>
      </c>
      <c r="C491" s="1">
        <v>99213</v>
      </c>
      <c r="D491" s="6">
        <v>55.68</v>
      </c>
      <c r="E491" s="1" t="str">
        <f>_xlfn.XLOOKUP(C491,'Clean Procedures'!$A$2:$A$5,'Clean Procedures'!$B$2:$B$5,"Not mapped")</f>
        <v>Office visit, established patient, 15 min</v>
      </c>
    </row>
    <row r="492" spans="1:5" ht="18" customHeight="1" x14ac:dyDescent="0.25">
      <c r="A492" s="1" t="s">
        <v>4844</v>
      </c>
      <c r="B492" s="1" t="s">
        <v>2807</v>
      </c>
      <c r="C492" s="1">
        <v>80053</v>
      </c>
      <c r="D492" s="6">
        <v>55.11</v>
      </c>
      <c r="E492" s="1" t="str">
        <f>_xlfn.XLOOKUP(C492,'Clean Procedures'!$A$2:$A$5,'Clean Procedures'!$B$2:$B$5,"Not mapped")</f>
        <v>Comprehensive metabolic panel</v>
      </c>
    </row>
    <row r="493" spans="1:5" ht="18" customHeight="1" x14ac:dyDescent="0.25">
      <c r="A493" s="1" t="s">
        <v>4851</v>
      </c>
      <c r="B493" s="1" t="s">
        <v>2820</v>
      </c>
      <c r="C493" s="1">
        <v>85025</v>
      </c>
      <c r="D493" s="6">
        <v>54.56</v>
      </c>
      <c r="E493" s="1" t="str">
        <f>_xlfn.XLOOKUP(C493,'Clean Procedures'!$A$2:$A$5,'Clean Procedures'!$B$2:$B$5,"Not mapped")</f>
        <v>Complete blood count (CBC)</v>
      </c>
    </row>
    <row r="494" spans="1:5" ht="18" customHeight="1" x14ac:dyDescent="0.25">
      <c r="A494" s="1" t="s">
        <v>4702</v>
      </c>
      <c r="B494" s="1" t="s">
        <v>2545</v>
      </c>
      <c r="C494" s="1">
        <v>85025</v>
      </c>
      <c r="D494" s="6">
        <v>54.23</v>
      </c>
      <c r="E494" s="1" t="str">
        <f>_xlfn.XLOOKUP(C494,'Clean Procedures'!$A$2:$A$5,'Clean Procedures'!$B$2:$B$5,"Not mapped")</f>
        <v>Complete blood count (CBC)</v>
      </c>
    </row>
    <row r="495" spans="1:5" ht="18" customHeight="1" x14ac:dyDescent="0.25">
      <c r="A495" s="1" t="s">
        <v>4975</v>
      </c>
      <c r="B495" s="1" t="s">
        <v>3036</v>
      </c>
      <c r="C495" s="1">
        <v>99213</v>
      </c>
      <c r="D495" s="6">
        <v>54</v>
      </c>
      <c r="E495" s="1" t="str">
        <f>_xlfn.XLOOKUP(C495,'Clean Procedures'!$A$2:$A$5,'Clean Procedures'!$B$2:$B$5,"Not mapped")</f>
        <v>Office visit, established patient, 15 min</v>
      </c>
    </row>
    <row r="496" spans="1:5" ht="18" customHeight="1" x14ac:dyDescent="0.25">
      <c r="A496" s="1" t="s">
        <v>4577</v>
      </c>
      <c r="B496" s="1" t="s">
        <v>2304</v>
      </c>
      <c r="C496" s="1">
        <v>85025</v>
      </c>
      <c r="D496" s="6">
        <v>53.84</v>
      </c>
      <c r="E496" s="1" t="str">
        <f>_xlfn.XLOOKUP(C496,'Clean Procedures'!$A$2:$A$5,'Clean Procedures'!$B$2:$B$5,"Not mapped")</f>
        <v>Complete blood count (CBC)</v>
      </c>
    </row>
    <row r="497" spans="1:5" ht="18" customHeight="1" x14ac:dyDescent="0.25">
      <c r="A497" s="1" t="s">
        <v>4862</v>
      </c>
      <c r="B497" s="1" t="s">
        <v>2839</v>
      </c>
      <c r="C497" s="1">
        <v>99203</v>
      </c>
      <c r="D497" s="6">
        <v>52.68</v>
      </c>
      <c r="E497" s="1" t="str">
        <f>_xlfn.XLOOKUP(C497,'Clean Procedures'!$A$2:$A$5,'Clean Procedures'!$B$2:$B$5,"Not mapped")</f>
        <v>Office visit, new patient, 30 min</v>
      </c>
    </row>
    <row r="498" spans="1:5" ht="18" customHeight="1" x14ac:dyDescent="0.25">
      <c r="A498" s="1" t="s">
        <v>4722</v>
      </c>
      <c r="B498" s="1" t="s">
        <v>2583</v>
      </c>
      <c r="C498" s="1">
        <v>99213</v>
      </c>
      <c r="D498" s="6">
        <v>51.34</v>
      </c>
      <c r="E498" s="1" t="str">
        <f>_xlfn.XLOOKUP(C498,'Clean Procedures'!$A$2:$A$5,'Clean Procedures'!$B$2:$B$5,"Not mapped")</f>
        <v>Office visit, established patient, 15 min</v>
      </c>
    </row>
    <row r="499" spans="1:5" ht="18" customHeight="1" x14ac:dyDescent="0.25">
      <c r="A499" s="1" t="s">
        <v>4707</v>
      </c>
      <c r="B499" s="1" t="s">
        <v>2554</v>
      </c>
      <c r="C499" s="1">
        <v>85025</v>
      </c>
      <c r="D499" s="6">
        <v>50.6</v>
      </c>
      <c r="E499" s="1" t="str">
        <f>_xlfn.XLOOKUP(C499,'Clean Procedures'!$A$2:$A$5,'Clean Procedures'!$B$2:$B$5,"Not mapped")</f>
        <v>Complete blood count (CBC)</v>
      </c>
    </row>
    <row r="500" spans="1:5" ht="18" customHeight="1" x14ac:dyDescent="0.25">
      <c r="A500" s="1" t="s">
        <v>4674</v>
      </c>
      <c r="B500" s="1" t="s">
        <v>2492</v>
      </c>
      <c r="C500" s="1">
        <v>80053</v>
      </c>
      <c r="D500" s="6">
        <v>50.46</v>
      </c>
      <c r="E500" s="1" t="str">
        <f>_xlfn.XLOOKUP(C500,'Clean Procedures'!$A$2:$A$5,'Clean Procedures'!$B$2:$B$5,"Not mapped")</f>
        <v>Comprehensive metabolic panel</v>
      </c>
    </row>
    <row r="501" spans="1:5" ht="18" customHeight="1" x14ac:dyDescent="0.25">
      <c r="A501" s="1" t="s">
        <v>4618</v>
      </c>
      <c r="B501" s="1" t="s">
        <v>2384</v>
      </c>
      <c r="C501" s="1">
        <v>80053</v>
      </c>
      <c r="D501" s="6">
        <v>50.26</v>
      </c>
      <c r="E501" s="1" t="str">
        <f>_xlfn.XLOOKUP(C501,'Clean Procedures'!$A$2:$A$5,'Clean Procedures'!$B$2:$B$5,"Not mapped")</f>
        <v>Comprehensive metabolic panel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415D5-2D66-4AAF-987C-A3FC1B36EEC4}">
  <dimension ref="A1:H501"/>
  <sheetViews>
    <sheetView workbookViewId="0">
      <selection activeCell="F1" sqref="F1"/>
    </sheetView>
  </sheetViews>
  <sheetFormatPr defaultRowHeight="15.75" x14ac:dyDescent="0.25"/>
  <cols>
    <col min="1" max="1" width="10.25" bestFit="1" customWidth="1"/>
    <col min="2" max="2" width="11.375" bestFit="1" customWidth="1"/>
    <col min="3" max="3" width="19.875" bestFit="1" customWidth="1"/>
    <col min="4" max="4" width="15.375" bestFit="1" customWidth="1"/>
    <col min="5" max="5" width="14" bestFit="1" customWidth="1"/>
    <col min="7" max="7" width="21.875" bestFit="1" customWidth="1"/>
    <col min="8" max="8" width="11.125" bestFit="1" customWidth="1"/>
  </cols>
  <sheetData>
    <row r="1" spans="1:8" ht="18" customHeight="1" x14ac:dyDescent="0.25">
      <c r="A1" s="1" t="s">
        <v>5041</v>
      </c>
      <c r="B1" s="1" t="s">
        <v>4480</v>
      </c>
      <c r="C1" s="1" t="s">
        <v>5042</v>
      </c>
      <c r="D1" s="1" t="s">
        <v>5043</v>
      </c>
      <c r="E1" s="1" t="s">
        <v>5044</v>
      </c>
      <c r="F1" s="1" t="s">
        <v>5045</v>
      </c>
      <c r="G1" s="1" t="s">
        <v>6115</v>
      </c>
      <c r="H1" s="1" t="s">
        <v>6116</v>
      </c>
    </row>
    <row r="2" spans="1:8" ht="18" customHeight="1" x14ac:dyDescent="0.25">
      <c r="A2" s="1" t="s">
        <v>5308</v>
      </c>
      <c r="B2" s="1" t="s">
        <v>4785</v>
      </c>
      <c r="C2" s="1" t="s">
        <v>5047</v>
      </c>
      <c r="D2" s="6">
        <v>499.36</v>
      </c>
      <c r="E2" s="6">
        <v>439.43680000000001</v>
      </c>
      <c r="F2" s="1" t="s">
        <v>5048</v>
      </c>
      <c r="G2" s="6">
        <f t="shared" ref="G2:G65" si="0">D2-E2</f>
        <v>59.923200000000008</v>
      </c>
      <c r="H2" s="7">
        <f t="shared" ref="H2:H65" si="1">IFERROR(E2/D2,0)</f>
        <v>0.88</v>
      </c>
    </row>
    <row r="3" spans="1:8" ht="18" customHeight="1" x14ac:dyDescent="0.25">
      <c r="A3" s="1" t="s">
        <v>5381</v>
      </c>
      <c r="B3" s="1" t="s">
        <v>4865</v>
      </c>
      <c r="C3" s="1" t="s">
        <v>5047</v>
      </c>
      <c r="D3" s="6">
        <v>497.94</v>
      </c>
      <c r="E3" s="6">
        <v>398.35199999999998</v>
      </c>
      <c r="F3" s="1" t="s">
        <v>5048</v>
      </c>
      <c r="G3" s="6">
        <f t="shared" si="0"/>
        <v>99.588000000000022</v>
      </c>
      <c r="H3" s="7">
        <f t="shared" si="1"/>
        <v>0.79999999999999993</v>
      </c>
    </row>
    <row r="4" spans="1:8" ht="18" customHeight="1" x14ac:dyDescent="0.25">
      <c r="A4" s="1" t="s">
        <v>5193</v>
      </c>
      <c r="B4" s="1" t="s">
        <v>4651</v>
      </c>
      <c r="C4" s="1" t="s">
        <v>5047</v>
      </c>
      <c r="D4" s="6">
        <v>496.51</v>
      </c>
      <c r="E4" s="6">
        <v>347.55700000000002</v>
      </c>
      <c r="F4" s="1" t="s">
        <v>5048</v>
      </c>
      <c r="G4" s="6">
        <f t="shared" si="0"/>
        <v>148.95299999999997</v>
      </c>
      <c r="H4" s="7">
        <f t="shared" si="1"/>
        <v>0.70000000000000007</v>
      </c>
    </row>
    <row r="5" spans="1:8" ht="18" customHeight="1" x14ac:dyDescent="0.25">
      <c r="A5" s="1" t="s">
        <v>5132</v>
      </c>
      <c r="B5" s="1" t="s">
        <v>4576</v>
      </c>
      <c r="C5" s="1" t="s">
        <v>5047</v>
      </c>
      <c r="D5" s="6">
        <v>495.11</v>
      </c>
      <c r="E5" s="6">
        <v>425.7946</v>
      </c>
      <c r="F5" s="1" t="s">
        <v>5048</v>
      </c>
      <c r="G5" s="6">
        <f t="shared" si="0"/>
        <v>69.315400000000011</v>
      </c>
      <c r="H5" s="7">
        <f t="shared" si="1"/>
        <v>0.86</v>
      </c>
    </row>
    <row r="6" spans="1:8" ht="18" customHeight="1" x14ac:dyDescent="0.25">
      <c r="A6" s="1" t="s">
        <v>5231</v>
      </c>
      <c r="B6" s="1" t="s">
        <v>4694</v>
      </c>
      <c r="C6" s="1" t="s">
        <v>5047</v>
      </c>
      <c r="D6" s="6">
        <v>494.34</v>
      </c>
      <c r="E6" s="6">
        <v>365.8116</v>
      </c>
      <c r="F6" s="1" t="s">
        <v>5048</v>
      </c>
      <c r="G6" s="6">
        <f t="shared" si="0"/>
        <v>128.52839999999998</v>
      </c>
      <c r="H6" s="7">
        <f t="shared" si="1"/>
        <v>0.74</v>
      </c>
    </row>
    <row r="7" spans="1:8" ht="18" customHeight="1" x14ac:dyDescent="0.25">
      <c r="A7" s="1" t="s">
        <v>5095</v>
      </c>
      <c r="B7" s="1" t="s">
        <v>4535</v>
      </c>
      <c r="C7" s="1" t="s">
        <v>5047</v>
      </c>
      <c r="D7" s="6">
        <v>493.7</v>
      </c>
      <c r="E7" s="6">
        <v>414.70800000000003</v>
      </c>
      <c r="F7" s="1" t="s">
        <v>5048</v>
      </c>
      <c r="G7" s="6">
        <f t="shared" si="0"/>
        <v>78.991999999999962</v>
      </c>
      <c r="H7" s="7">
        <f t="shared" si="1"/>
        <v>0.84000000000000008</v>
      </c>
    </row>
    <row r="8" spans="1:8" ht="18" customHeight="1" x14ac:dyDescent="0.25">
      <c r="A8" s="1" t="s">
        <v>5357</v>
      </c>
      <c r="B8" s="1" t="s">
        <v>4840</v>
      </c>
      <c r="C8" s="1" t="s">
        <v>5047</v>
      </c>
      <c r="D8" s="6">
        <v>493.62</v>
      </c>
      <c r="E8" s="6">
        <v>419.577</v>
      </c>
      <c r="F8" s="1" t="s">
        <v>5048</v>
      </c>
      <c r="G8" s="6">
        <f t="shared" si="0"/>
        <v>74.043000000000006</v>
      </c>
      <c r="H8" s="7">
        <f t="shared" si="1"/>
        <v>0.85</v>
      </c>
    </row>
    <row r="9" spans="1:8" ht="18" customHeight="1" x14ac:dyDescent="0.25">
      <c r="A9" s="1" t="s">
        <v>5179</v>
      </c>
      <c r="B9" s="1" t="s">
        <v>4634</v>
      </c>
      <c r="C9" s="1" t="s">
        <v>5047</v>
      </c>
      <c r="D9" s="6">
        <v>493.37</v>
      </c>
      <c r="E9" s="6">
        <v>394.69600000000003</v>
      </c>
      <c r="F9" s="1" t="s">
        <v>5048</v>
      </c>
      <c r="G9" s="6">
        <f t="shared" si="0"/>
        <v>98.673999999999978</v>
      </c>
      <c r="H9" s="7">
        <f t="shared" si="1"/>
        <v>0.8</v>
      </c>
    </row>
    <row r="10" spans="1:8" ht="18" customHeight="1" x14ac:dyDescent="0.25">
      <c r="A10" s="1" t="s">
        <v>5091</v>
      </c>
      <c r="B10" s="1" t="s">
        <v>4530</v>
      </c>
      <c r="C10" s="1" t="s">
        <v>5047</v>
      </c>
      <c r="D10" s="6">
        <v>493.29</v>
      </c>
      <c r="E10" s="6">
        <v>394.63200000000001</v>
      </c>
      <c r="F10" s="1" t="s">
        <v>5048</v>
      </c>
      <c r="G10" s="6">
        <f t="shared" si="0"/>
        <v>98.658000000000015</v>
      </c>
      <c r="H10" s="7">
        <f t="shared" si="1"/>
        <v>0.79999999999999993</v>
      </c>
    </row>
    <row r="11" spans="1:8" ht="18" customHeight="1" x14ac:dyDescent="0.25">
      <c r="A11" s="1" t="s">
        <v>5485</v>
      </c>
      <c r="B11" s="1" t="s">
        <v>4978</v>
      </c>
      <c r="C11" s="1" t="s">
        <v>5047</v>
      </c>
      <c r="D11" s="6">
        <v>492.88</v>
      </c>
      <c r="E11" s="6">
        <v>379.51760000000002</v>
      </c>
      <c r="F11" s="1" t="s">
        <v>5048</v>
      </c>
      <c r="G11" s="6">
        <f t="shared" si="0"/>
        <v>113.36239999999998</v>
      </c>
      <c r="H11" s="7">
        <f t="shared" si="1"/>
        <v>0.77</v>
      </c>
    </row>
    <row r="12" spans="1:8" ht="18" customHeight="1" x14ac:dyDescent="0.25">
      <c r="A12" s="1" t="s">
        <v>5406</v>
      </c>
      <c r="B12" s="1" t="s">
        <v>4892</v>
      </c>
      <c r="C12" s="1" t="s">
        <v>5047</v>
      </c>
      <c r="D12" s="6">
        <v>490.26</v>
      </c>
      <c r="E12" s="6">
        <v>416.721</v>
      </c>
      <c r="F12" s="1" t="s">
        <v>5048</v>
      </c>
      <c r="G12" s="6">
        <f t="shared" si="0"/>
        <v>73.538999999999987</v>
      </c>
      <c r="H12" s="7">
        <f t="shared" si="1"/>
        <v>0.85</v>
      </c>
    </row>
    <row r="13" spans="1:8" ht="18" customHeight="1" x14ac:dyDescent="0.25">
      <c r="A13" s="1" t="s">
        <v>5539</v>
      </c>
      <c r="B13" s="1" t="s">
        <v>5032</v>
      </c>
      <c r="C13" s="1" t="s">
        <v>5047</v>
      </c>
      <c r="D13" s="6">
        <v>490.06</v>
      </c>
      <c r="E13" s="6">
        <v>372.44560000000001</v>
      </c>
      <c r="F13" s="1" t="s">
        <v>5048</v>
      </c>
      <c r="G13" s="6">
        <f t="shared" si="0"/>
        <v>117.61439999999999</v>
      </c>
      <c r="H13" s="7">
        <f t="shared" si="1"/>
        <v>0.76</v>
      </c>
    </row>
    <row r="14" spans="1:8" ht="18" customHeight="1" x14ac:dyDescent="0.25">
      <c r="A14" s="1" t="s">
        <v>5338</v>
      </c>
      <c r="B14" s="1" t="s">
        <v>4819</v>
      </c>
      <c r="C14" s="1" t="s">
        <v>5047</v>
      </c>
      <c r="D14" s="6">
        <v>489.48</v>
      </c>
      <c r="E14" s="6">
        <v>416.05799999999999</v>
      </c>
      <c r="F14" s="1" t="s">
        <v>5048</v>
      </c>
      <c r="G14" s="6">
        <f t="shared" si="0"/>
        <v>73.422000000000025</v>
      </c>
      <c r="H14" s="7">
        <f t="shared" si="1"/>
        <v>0.85</v>
      </c>
    </row>
    <row r="15" spans="1:8" ht="18" customHeight="1" x14ac:dyDescent="0.25">
      <c r="A15" s="1" t="s">
        <v>5541</v>
      </c>
      <c r="B15" s="1" t="s">
        <v>5034</v>
      </c>
      <c r="C15" s="1" t="s">
        <v>5047</v>
      </c>
      <c r="D15" s="6">
        <v>488.71</v>
      </c>
      <c r="E15" s="6">
        <v>361.6454</v>
      </c>
      <c r="F15" s="1" t="s">
        <v>5048</v>
      </c>
      <c r="G15" s="6">
        <f t="shared" si="0"/>
        <v>127.06459999999998</v>
      </c>
      <c r="H15" s="7">
        <f t="shared" si="1"/>
        <v>0.74</v>
      </c>
    </row>
    <row r="16" spans="1:8" ht="18" customHeight="1" x14ac:dyDescent="0.25">
      <c r="A16" s="1" t="s">
        <v>5369</v>
      </c>
      <c r="B16" s="1" t="s">
        <v>4852</v>
      </c>
      <c r="C16" s="1" t="s">
        <v>5047</v>
      </c>
      <c r="D16" s="6">
        <v>488.08</v>
      </c>
      <c r="E16" s="6">
        <v>405.10640000000001</v>
      </c>
      <c r="F16" s="1" t="s">
        <v>5048</v>
      </c>
      <c r="G16" s="6">
        <f t="shared" si="0"/>
        <v>82.973599999999976</v>
      </c>
      <c r="H16" s="7">
        <f t="shared" si="1"/>
        <v>0.83000000000000007</v>
      </c>
    </row>
    <row r="17" spans="1:8" ht="18" customHeight="1" x14ac:dyDescent="0.25">
      <c r="A17" s="1" t="s">
        <v>5259</v>
      </c>
      <c r="B17" s="1" t="s">
        <v>4726</v>
      </c>
      <c r="C17" s="1" t="s">
        <v>5047</v>
      </c>
      <c r="D17" s="6">
        <v>487.23</v>
      </c>
      <c r="E17" s="6">
        <v>399.52859999999998</v>
      </c>
      <c r="F17" s="1" t="s">
        <v>5048</v>
      </c>
      <c r="G17" s="6">
        <f t="shared" si="0"/>
        <v>87.701400000000035</v>
      </c>
      <c r="H17" s="7">
        <f t="shared" si="1"/>
        <v>0.82</v>
      </c>
    </row>
    <row r="18" spans="1:8" ht="18" customHeight="1" x14ac:dyDescent="0.25">
      <c r="A18" s="1" t="s">
        <v>5328</v>
      </c>
      <c r="B18" s="1" t="s">
        <v>4805</v>
      </c>
      <c r="C18" s="1" t="s">
        <v>5047</v>
      </c>
      <c r="D18" s="6">
        <v>487.1</v>
      </c>
      <c r="E18" s="6">
        <v>389.68</v>
      </c>
      <c r="F18" s="1" t="s">
        <v>5048</v>
      </c>
      <c r="G18" s="6">
        <f t="shared" si="0"/>
        <v>97.420000000000016</v>
      </c>
      <c r="H18" s="7">
        <f t="shared" si="1"/>
        <v>0.79999999999999993</v>
      </c>
    </row>
    <row r="19" spans="1:8" ht="18" customHeight="1" x14ac:dyDescent="0.25">
      <c r="A19" s="1" t="s">
        <v>5165</v>
      </c>
      <c r="B19" s="1" t="s">
        <v>4616</v>
      </c>
      <c r="C19" s="1" t="s">
        <v>5047</v>
      </c>
      <c r="D19" s="6">
        <v>486.81</v>
      </c>
      <c r="E19" s="6">
        <v>374.84370000000001</v>
      </c>
      <c r="F19" s="1" t="s">
        <v>5048</v>
      </c>
      <c r="G19" s="6">
        <f t="shared" si="0"/>
        <v>111.96629999999999</v>
      </c>
      <c r="H19" s="7">
        <f t="shared" si="1"/>
        <v>0.77</v>
      </c>
    </row>
    <row r="20" spans="1:8" ht="18" customHeight="1" x14ac:dyDescent="0.25">
      <c r="A20" s="1" t="s">
        <v>5220</v>
      </c>
      <c r="B20" s="1" t="s">
        <v>4681</v>
      </c>
      <c r="C20" s="1" t="s">
        <v>5047</v>
      </c>
      <c r="D20" s="6">
        <v>484.98</v>
      </c>
      <c r="E20" s="6">
        <v>358.8852</v>
      </c>
      <c r="F20" s="1" t="s">
        <v>5048</v>
      </c>
      <c r="G20" s="6">
        <f t="shared" si="0"/>
        <v>126.09480000000002</v>
      </c>
      <c r="H20" s="7">
        <f t="shared" si="1"/>
        <v>0.74</v>
      </c>
    </row>
    <row r="21" spans="1:8" ht="18" customHeight="1" x14ac:dyDescent="0.25">
      <c r="A21" s="1" t="s">
        <v>5147</v>
      </c>
      <c r="B21" s="1" t="s">
        <v>4594</v>
      </c>
      <c r="C21" s="1" t="s">
        <v>5047</v>
      </c>
      <c r="D21" s="6">
        <v>483.92</v>
      </c>
      <c r="E21" s="6">
        <v>372.61840000000001</v>
      </c>
      <c r="F21" s="1" t="s">
        <v>5048</v>
      </c>
      <c r="G21" s="6">
        <f t="shared" si="0"/>
        <v>111.30160000000001</v>
      </c>
      <c r="H21" s="7">
        <f t="shared" si="1"/>
        <v>0.77</v>
      </c>
    </row>
    <row r="22" spans="1:8" ht="18" customHeight="1" x14ac:dyDescent="0.25">
      <c r="A22" s="1" t="s">
        <v>5547</v>
      </c>
      <c r="B22" s="1" t="s">
        <v>5040</v>
      </c>
      <c r="C22" s="1" t="s">
        <v>5047</v>
      </c>
      <c r="D22" s="6">
        <v>483.63</v>
      </c>
      <c r="E22" s="6">
        <v>435.267</v>
      </c>
      <c r="F22" s="1" t="s">
        <v>5048</v>
      </c>
      <c r="G22" s="6">
        <f t="shared" si="0"/>
        <v>48.363</v>
      </c>
      <c r="H22" s="7">
        <f t="shared" si="1"/>
        <v>0.9</v>
      </c>
    </row>
    <row r="23" spans="1:8" ht="18" customHeight="1" x14ac:dyDescent="0.25">
      <c r="A23" s="1" t="s">
        <v>5436</v>
      </c>
      <c r="B23" s="1" t="s">
        <v>4923</v>
      </c>
      <c r="C23" s="1" t="s">
        <v>5047</v>
      </c>
      <c r="D23" s="6">
        <v>482.31</v>
      </c>
      <c r="E23" s="6">
        <v>405.1404</v>
      </c>
      <c r="F23" s="1" t="s">
        <v>5048</v>
      </c>
      <c r="G23" s="6">
        <f t="shared" si="0"/>
        <v>77.169600000000003</v>
      </c>
      <c r="H23" s="7">
        <f t="shared" si="1"/>
        <v>0.84</v>
      </c>
    </row>
    <row r="24" spans="1:8" ht="18" customHeight="1" x14ac:dyDescent="0.25">
      <c r="A24" s="1" t="s">
        <v>5228</v>
      </c>
      <c r="B24" s="1" t="s">
        <v>4689</v>
      </c>
      <c r="C24" s="1" t="s">
        <v>5047</v>
      </c>
      <c r="D24" s="6">
        <v>481.84</v>
      </c>
      <c r="E24" s="6">
        <v>404.74560000000002</v>
      </c>
      <c r="F24" s="1" t="s">
        <v>5048</v>
      </c>
      <c r="G24" s="6">
        <f t="shared" si="0"/>
        <v>77.094399999999951</v>
      </c>
      <c r="H24" s="7">
        <f t="shared" si="1"/>
        <v>0.84000000000000008</v>
      </c>
    </row>
    <row r="25" spans="1:8" ht="18" customHeight="1" x14ac:dyDescent="0.25">
      <c r="A25" s="1" t="s">
        <v>5149</v>
      </c>
      <c r="B25" s="1" t="s">
        <v>4596</v>
      </c>
      <c r="C25" s="1" t="s">
        <v>5047</v>
      </c>
      <c r="D25" s="6">
        <v>481.71</v>
      </c>
      <c r="E25" s="6">
        <v>428.72190000000001</v>
      </c>
      <c r="F25" s="1" t="s">
        <v>5048</v>
      </c>
      <c r="G25" s="6">
        <f t="shared" si="0"/>
        <v>52.988099999999974</v>
      </c>
      <c r="H25" s="7">
        <f t="shared" si="1"/>
        <v>0.89</v>
      </c>
    </row>
    <row r="26" spans="1:8" ht="18" customHeight="1" x14ac:dyDescent="0.25">
      <c r="A26" s="1" t="s">
        <v>5143</v>
      </c>
      <c r="B26" s="1" t="s">
        <v>4590</v>
      </c>
      <c r="C26" s="1" t="s">
        <v>5047</v>
      </c>
      <c r="D26" s="6">
        <v>481.16</v>
      </c>
      <c r="E26" s="6">
        <v>408.98599999999999</v>
      </c>
      <c r="F26" s="1" t="s">
        <v>5048</v>
      </c>
      <c r="G26" s="6">
        <f t="shared" si="0"/>
        <v>72.174000000000035</v>
      </c>
      <c r="H26" s="7">
        <f t="shared" si="1"/>
        <v>0.85</v>
      </c>
    </row>
    <row r="27" spans="1:8" ht="18" customHeight="1" x14ac:dyDescent="0.25">
      <c r="A27" s="1" t="s">
        <v>5462</v>
      </c>
      <c r="B27" s="1" t="s">
        <v>4953</v>
      </c>
      <c r="C27" s="1" t="s">
        <v>5047</v>
      </c>
      <c r="D27" s="6">
        <v>480.81</v>
      </c>
      <c r="E27" s="6">
        <v>375.03179999999998</v>
      </c>
      <c r="F27" s="1" t="s">
        <v>5048</v>
      </c>
      <c r="G27" s="6">
        <f t="shared" si="0"/>
        <v>105.77820000000003</v>
      </c>
      <c r="H27" s="7">
        <f t="shared" si="1"/>
        <v>0.77999999999999992</v>
      </c>
    </row>
    <row r="28" spans="1:8" ht="18" customHeight="1" x14ac:dyDescent="0.25">
      <c r="A28" s="1" t="s">
        <v>5177</v>
      </c>
      <c r="B28" s="1" t="s">
        <v>4632</v>
      </c>
      <c r="C28" s="1" t="s">
        <v>5047</v>
      </c>
      <c r="D28" s="6">
        <v>479.87</v>
      </c>
      <c r="E28" s="6">
        <v>388.69470000000001</v>
      </c>
      <c r="F28" s="1" t="s">
        <v>5048</v>
      </c>
      <c r="G28" s="6">
        <f t="shared" si="0"/>
        <v>91.175299999999993</v>
      </c>
      <c r="H28" s="7">
        <f t="shared" si="1"/>
        <v>0.81</v>
      </c>
    </row>
    <row r="29" spans="1:8" ht="18" customHeight="1" x14ac:dyDescent="0.25">
      <c r="A29" s="1" t="s">
        <v>5417</v>
      </c>
      <c r="B29" s="1" t="s">
        <v>4904</v>
      </c>
      <c r="C29" s="1" t="s">
        <v>5047</v>
      </c>
      <c r="D29" s="6">
        <v>479.5</v>
      </c>
      <c r="E29" s="6">
        <v>426.755</v>
      </c>
      <c r="F29" s="1" t="s">
        <v>5048</v>
      </c>
      <c r="G29" s="6">
        <f t="shared" si="0"/>
        <v>52.745000000000005</v>
      </c>
      <c r="H29" s="7">
        <f t="shared" si="1"/>
        <v>0.89</v>
      </c>
    </row>
    <row r="30" spans="1:8" ht="18" customHeight="1" x14ac:dyDescent="0.25">
      <c r="A30" s="1" t="s">
        <v>5418</v>
      </c>
      <c r="B30" s="1" t="s">
        <v>4905</v>
      </c>
      <c r="C30" s="1" t="s">
        <v>5047</v>
      </c>
      <c r="D30" s="6">
        <v>478.64</v>
      </c>
      <c r="E30" s="6">
        <v>406.84399999999999</v>
      </c>
      <c r="F30" s="1" t="s">
        <v>5048</v>
      </c>
      <c r="G30" s="6">
        <f t="shared" si="0"/>
        <v>71.795999999999992</v>
      </c>
      <c r="H30" s="7">
        <f t="shared" si="1"/>
        <v>0.85</v>
      </c>
    </row>
    <row r="31" spans="1:8" ht="18" customHeight="1" x14ac:dyDescent="0.25">
      <c r="A31" s="1" t="s">
        <v>5401</v>
      </c>
      <c r="B31" s="1" t="s">
        <v>4887</v>
      </c>
      <c r="C31" s="1" t="s">
        <v>5047</v>
      </c>
      <c r="D31" s="6">
        <v>478.23</v>
      </c>
      <c r="E31" s="6">
        <v>377.80169999999998</v>
      </c>
      <c r="F31" s="1" t="s">
        <v>5048</v>
      </c>
      <c r="G31" s="6">
        <f t="shared" si="0"/>
        <v>100.42830000000004</v>
      </c>
      <c r="H31" s="7">
        <f t="shared" si="1"/>
        <v>0.78999999999999992</v>
      </c>
    </row>
    <row r="32" spans="1:8" ht="18" customHeight="1" x14ac:dyDescent="0.25">
      <c r="A32" s="1" t="s">
        <v>5166</v>
      </c>
      <c r="B32" s="1" t="s">
        <v>4621</v>
      </c>
      <c r="C32" s="1" t="s">
        <v>5047</v>
      </c>
      <c r="D32" s="6">
        <v>477.05</v>
      </c>
      <c r="E32" s="6">
        <v>429.34500000000003</v>
      </c>
      <c r="F32" s="1" t="s">
        <v>5048</v>
      </c>
      <c r="G32" s="6">
        <f t="shared" si="0"/>
        <v>47.704999999999984</v>
      </c>
      <c r="H32" s="7">
        <f t="shared" si="1"/>
        <v>0.9</v>
      </c>
    </row>
    <row r="33" spans="1:8" ht="18" customHeight="1" x14ac:dyDescent="0.25">
      <c r="A33" s="1" t="s">
        <v>5302</v>
      </c>
      <c r="B33" s="1" t="s">
        <v>4779</v>
      </c>
      <c r="C33" s="1" t="s">
        <v>5047</v>
      </c>
      <c r="D33" s="6">
        <v>476.16</v>
      </c>
      <c r="E33" s="6">
        <v>342.83519999999999</v>
      </c>
      <c r="F33" s="1" t="s">
        <v>5048</v>
      </c>
      <c r="G33" s="6">
        <f t="shared" si="0"/>
        <v>133.32480000000004</v>
      </c>
      <c r="H33" s="7">
        <f t="shared" si="1"/>
        <v>0.72</v>
      </c>
    </row>
    <row r="34" spans="1:8" ht="18" customHeight="1" x14ac:dyDescent="0.25">
      <c r="A34" s="1" t="s">
        <v>5346</v>
      </c>
      <c r="B34" s="1" t="s">
        <v>4828</v>
      </c>
      <c r="C34" s="1" t="s">
        <v>5047</v>
      </c>
      <c r="D34" s="6">
        <v>476.13</v>
      </c>
      <c r="E34" s="6">
        <v>366.62009999999998</v>
      </c>
      <c r="F34" s="1" t="s">
        <v>5048</v>
      </c>
      <c r="G34" s="6">
        <f t="shared" si="0"/>
        <v>109.50990000000002</v>
      </c>
      <c r="H34" s="7">
        <f t="shared" si="1"/>
        <v>0.77</v>
      </c>
    </row>
    <row r="35" spans="1:8" ht="18" customHeight="1" x14ac:dyDescent="0.25">
      <c r="A35" s="1" t="s">
        <v>5250</v>
      </c>
      <c r="B35" s="1" t="s">
        <v>4715</v>
      </c>
      <c r="C35" s="1" t="s">
        <v>5047</v>
      </c>
      <c r="D35" s="6">
        <v>475.61</v>
      </c>
      <c r="E35" s="6">
        <v>404.26850000000002</v>
      </c>
      <c r="F35" s="1" t="s">
        <v>5048</v>
      </c>
      <c r="G35" s="6">
        <f t="shared" si="0"/>
        <v>71.341499999999996</v>
      </c>
      <c r="H35" s="7">
        <f t="shared" si="1"/>
        <v>0.85</v>
      </c>
    </row>
    <row r="36" spans="1:8" ht="18" customHeight="1" x14ac:dyDescent="0.25">
      <c r="A36" s="1" t="s">
        <v>5396</v>
      </c>
      <c r="B36" s="1" t="s">
        <v>4882</v>
      </c>
      <c r="C36" s="1" t="s">
        <v>5047</v>
      </c>
      <c r="D36" s="6">
        <v>473.93</v>
      </c>
      <c r="E36" s="6">
        <v>412.31909999999999</v>
      </c>
      <c r="F36" s="1" t="s">
        <v>5048</v>
      </c>
      <c r="G36" s="6">
        <f t="shared" si="0"/>
        <v>61.610900000000015</v>
      </c>
      <c r="H36" s="7">
        <f t="shared" si="1"/>
        <v>0.87</v>
      </c>
    </row>
    <row r="37" spans="1:8" ht="18" customHeight="1" x14ac:dyDescent="0.25">
      <c r="A37" s="1" t="s">
        <v>5272</v>
      </c>
      <c r="B37" s="1" t="s">
        <v>4743</v>
      </c>
      <c r="C37" s="1" t="s">
        <v>5047</v>
      </c>
      <c r="D37" s="6">
        <v>472.39</v>
      </c>
      <c r="E37" s="6">
        <v>359.01639999999998</v>
      </c>
      <c r="F37" s="1" t="s">
        <v>5048</v>
      </c>
      <c r="G37" s="6">
        <f t="shared" si="0"/>
        <v>113.37360000000001</v>
      </c>
      <c r="H37" s="7">
        <f t="shared" si="1"/>
        <v>0.76</v>
      </c>
    </row>
    <row r="38" spans="1:8" ht="18" customHeight="1" x14ac:dyDescent="0.25">
      <c r="A38" s="1" t="s">
        <v>5267</v>
      </c>
      <c r="B38" s="1" t="s">
        <v>4735</v>
      </c>
      <c r="C38" s="1" t="s">
        <v>5047</v>
      </c>
      <c r="D38" s="6">
        <v>470.85</v>
      </c>
      <c r="E38" s="6">
        <v>367.26299999999998</v>
      </c>
      <c r="F38" s="1" t="s">
        <v>5048</v>
      </c>
      <c r="G38" s="6">
        <f t="shared" si="0"/>
        <v>103.58700000000005</v>
      </c>
      <c r="H38" s="7">
        <f t="shared" si="1"/>
        <v>0.77999999999999992</v>
      </c>
    </row>
    <row r="39" spans="1:8" ht="18" customHeight="1" x14ac:dyDescent="0.25">
      <c r="A39" s="1" t="s">
        <v>5124</v>
      </c>
      <c r="B39" s="1" t="s">
        <v>4567</v>
      </c>
      <c r="C39" s="1" t="s">
        <v>5047</v>
      </c>
      <c r="D39" s="6">
        <v>470.46</v>
      </c>
      <c r="E39" s="6">
        <v>385.77719999999999</v>
      </c>
      <c r="F39" s="1" t="s">
        <v>5048</v>
      </c>
      <c r="G39" s="6">
        <f t="shared" si="0"/>
        <v>84.682799999999986</v>
      </c>
      <c r="H39" s="7">
        <f t="shared" si="1"/>
        <v>0.82000000000000006</v>
      </c>
    </row>
    <row r="40" spans="1:8" ht="18" customHeight="1" x14ac:dyDescent="0.25">
      <c r="A40" s="1" t="s">
        <v>5225</v>
      </c>
      <c r="B40" s="1" t="s">
        <v>4686</v>
      </c>
      <c r="C40" s="1" t="s">
        <v>5047</v>
      </c>
      <c r="D40" s="6">
        <v>470.46</v>
      </c>
      <c r="E40" s="6">
        <v>376.36799999999999</v>
      </c>
      <c r="F40" s="1" t="s">
        <v>5048</v>
      </c>
      <c r="G40" s="6">
        <f t="shared" si="0"/>
        <v>94.091999999999985</v>
      </c>
      <c r="H40" s="7">
        <f t="shared" si="1"/>
        <v>0.8</v>
      </c>
    </row>
    <row r="41" spans="1:8" ht="18" customHeight="1" x14ac:dyDescent="0.25">
      <c r="A41" s="1" t="s">
        <v>5348</v>
      </c>
      <c r="B41" s="1" t="s">
        <v>4830</v>
      </c>
      <c r="C41" s="1" t="s">
        <v>5047</v>
      </c>
      <c r="D41" s="6">
        <v>468</v>
      </c>
      <c r="E41" s="6">
        <v>355.68</v>
      </c>
      <c r="F41" s="1" t="s">
        <v>5048</v>
      </c>
      <c r="G41" s="6">
        <f t="shared" si="0"/>
        <v>112.32</v>
      </c>
      <c r="H41" s="7">
        <f t="shared" si="1"/>
        <v>0.76</v>
      </c>
    </row>
    <row r="42" spans="1:8" ht="18" customHeight="1" x14ac:dyDescent="0.25">
      <c r="A42" s="1" t="s">
        <v>5422</v>
      </c>
      <c r="B42" s="1" t="s">
        <v>4909</v>
      </c>
      <c r="C42" s="1" t="s">
        <v>5047</v>
      </c>
      <c r="D42" s="6">
        <v>466.83</v>
      </c>
      <c r="E42" s="6">
        <v>350.1225</v>
      </c>
      <c r="F42" s="1" t="s">
        <v>5048</v>
      </c>
      <c r="G42" s="6">
        <f t="shared" si="0"/>
        <v>116.70749999999998</v>
      </c>
      <c r="H42" s="7">
        <f t="shared" si="1"/>
        <v>0.75</v>
      </c>
    </row>
    <row r="43" spans="1:8" ht="18" customHeight="1" x14ac:dyDescent="0.25">
      <c r="A43" s="1" t="s">
        <v>5531</v>
      </c>
      <c r="B43" s="1" t="s">
        <v>5024</v>
      </c>
      <c r="C43" s="1" t="s">
        <v>5047</v>
      </c>
      <c r="D43" s="6">
        <v>466.19</v>
      </c>
      <c r="E43" s="6">
        <v>400.92340000000002</v>
      </c>
      <c r="F43" s="1" t="s">
        <v>5048</v>
      </c>
      <c r="G43" s="6">
        <f t="shared" si="0"/>
        <v>65.266599999999983</v>
      </c>
      <c r="H43" s="7">
        <f t="shared" si="1"/>
        <v>0.86</v>
      </c>
    </row>
    <row r="44" spans="1:8" ht="18" customHeight="1" x14ac:dyDescent="0.25">
      <c r="A44" s="1" t="s">
        <v>5327</v>
      </c>
      <c r="B44" s="1" t="s">
        <v>4804</v>
      </c>
      <c r="C44" s="1" t="s">
        <v>5047</v>
      </c>
      <c r="D44" s="6">
        <v>465.72</v>
      </c>
      <c r="E44" s="6">
        <v>349.29</v>
      </c>
      <c r="F44" s="1" t="s">
        <v>5048</v>
      </c>
      <c r="G44" s="6">
        <f t="shared" si="0"/>
        <v>116.43</v>
      </c>
      <c r="H44" s="7">
        <f t="shared" si="1"/>
        <v>0.75</v>
      </c>
    </row>
    <row r="45" spans="1:8" ht="18" customHeight="1" x14ac:dyDescent="0.25">
      <c r="A45" s="1" t="s">
        <v>5545</v>
      </c>
      <c r="B45" s="1" t="s">
        <v>5038</v>
      </c>
      <c r="C45" s="1" t="s">
        <v>5047</v>
      </c>
      <c r="D45" s="6">
        <v>465.62</v>
      </c>
      <c r="E45" s="6">
        <v>353.87119999999999</v>
      </c>
      <c r="F45" s="1" t="s">
        <v>5048</v>
      </c>
      <c r="G45" s="6">
        <f t="shared" si="0"/>
        <v>111.74880000000002</v>
      </c>
      <c r="H45" s="7">
        <f t="shared" si="1"/>
        <v>0.76</v>
      </c>
    </row>
    <row r="46" spans="1:8" ht="18" customHeight="1" x14ac:dyDescent="0.25">
      <c r="A46" s="1" t="s">
        <v>5506</v>
      </c>
      <c r="B46" s="1" t="s">
        <v>4999</v>
      </c>
      <c r="C46" s="1" t="s">
        <v>5047</v>
      </c>
      <c r="D46" s="6">
        <v>464.81</v>
      </c>
      <c r="E46" s="6">
        <v>357.90370000000001</v>
      </c>
      <c r="F46" s="1" t="s">
        <v>5048</v>
      </c>
      <c r="G46" s="6">
        <f t="shared" si="0"/>
        <v>106.90629999999999</v>
      </c>
      <c r="H46" s="7">
        <f t="shared" si="1"/>
        <v>0.77</v>
      </c>
    </row>
    <row r="47" spans="1:8" ht="18" customHeight="1" x14ac:dyDescent="0.25">
      <c r="A47" s="1" t="s">
        <v>5432</v>
      </c>
      <c r="B47" s="1" t="s">
        <v>4919</v>
      </c>
      <c r="C47" s="1" t="s">
        <v>5047</v>
      </c>
      <c r="D47" s="6">
        <v>464.51</v>
      </c>
      <c r="E47" s="6">
        <v>357.67270000000002</v>
      </c>
      <c r="F47" s="1" t="s">
        <v>5048</v>
      </c>
      <c r="G47" s="6">
        <f t="shared" si="0"/>
        <v>106.83729999999997</v>
      </c>
      <c r="H47" s="7">
        <f t="shared" si="1"/>
        <v>0.77</v>
      </c>
    </row>
    <row r="48" spans="1:8" ht="18" customHeight="1" x14ac:dyDescent="0.25">
      <c r="A48" s="1" t="s">
        <v>5101</v>
      </c>
      <c r="B48" s="1" t="s">
        <v>4542</v>
      </c>
      <c r="C48" s="1" t="s">
        <v>5047</v>
      </c>
      <c r="D48" s="6">
        <v>464.4</v>
      </c>
      <c r="E48" s="6">
        <v>399.38400000000001</v>
      </c>
      <c r="F48" s="1" t="s">
        <v>5048</v>
      </c>
      <c r="G48" s="6">
        <f t="shared" si="0"/>
        <v>65.015999999999963</v>
      </c>
      <c r="H48" s="7">
        <f t="shared" si="1"/>
        <v>0.8600000000000001</v>
      </c>
    </row>
    <row r="49" spans="1:8" ht="18" customHeight="1" x14ac:dyDescent="0.25">
      <c r="A49" s="1" t="s">
        <v>5069</v>
      </c>
      <c r="B49" s="1" t="s">
        <v>4507</v>
      </c>
      <c r="C49" s="1" t="s">
        <v>5047</v>
      </c>
      <c r="D49" s="6">
        <v>464.21</v>
      </c>
      <c r="E49" s="6">
        <v>348.15750000000003</v>
      </c>
      <c r="F49" s="1" t="s">
        <v>5048</v>
      </c>
      <c r="G49" s="6">
        <f t="shared" si="0"/>
        <v>116.05249999999995</v>
      </c>
      <c r="H49" s="7">
        <f t="shared" si="1"/>
        <v>0.75000000000000011</v>
      </c>
    </row>
    <row r="50" spans="1:8" ht="18" customHeight="1" x14ac:dyDescent="0.25">
      <c r="A50" s="1" t="s">
        <v>5344</v>
      </c>
      <c r="B50" s="1" t="s">
        <v>4825</v>
      </c>
      <c r="C50" s="1" t="s">
        <v>5047</v>
      </c>
      <c r="D50" s="6">
        <v>464.02</v>
      </c>
      <c r="E50" s="6">
        <v>334.09440000000001</v>
      </c>
      <c r="F50" s="1" t="s">
        <v>5048</v>
      </c>
      <c r="G50" s="6">
        <f t="shared" si="0"/>
        <v>129.92559999999997</v>
      </c>
      <c r="H50" s="7">
        <f t="shared" si="1"/>
        <v>0.72000000000000008</v>
      </c>
    </row>
    <row r="51" spans="1:8" ht="18" customHeight="1" x14ac:dyDescent="0.25">
      <c r="A51" s="1" t="s">
        <v>5465</v>
      </c>
      <c r="B51" s="1" t="s">
        <v>4956</v>
      </c>
      <c r="C51" s="1" t="s">
        <v>5047</v>
      </c>
      <c r="D51" s="6">
        <v>463.18</v>
      </c>
      <c r="E51" s="6">
        <v>384.43939999999998</v>
      </c>
      <c r="F51" s="1" t="s">
        <v>5048</v>
      </c>
      <c r="G51" s="6">
        <f t="shared" si="0"/>
        <v>78.740600000000029</v>
      </c>
      <c r="H51" s="7">
        <f t="shared" si="1"/>
        <v>0.83</v>
      </c>
    </row>
    <row r="52" spans="1:8" ht="18" customHeight="1" x14ac:dyDescent="0.25">
      <c r="A52" s="1" t="s">
        <v>5522</v>
      </c>
      <c r="B52" s="1" t="s">
        <v>5015</v>
      </c>
      <c r="C52" s="1" t="s">
        <v>5047</v>
      </c>
      <c r="D52" s="6">
        <v>462.32</v>
      </c>
      <c r="E52" s="6">
        <v>351.36320000000001</v>
      </c>
      <c r="F52" s="1" t="s">
        <v>5048</v>
      </c>
      <c r="G52" s="6">
        <f t="shared" si="0"/>
        <v>110.95679999999999</v>
      </c>
      <c r="H52" s="7">
        <f t="shared" si="1"/>
        <v>0.76</v>
      </c>
    </row>
    <row r="53" spans="1:8" ht="18" customHeight="1" x14ac:dyDescent="0.25">
      <c r="A53" s="1" t="s">
        <v>5295</v>
      </c>
      <c r="B53" s="1" t="s">
        <v>4770</v>
      </c>
      <c r="C53" s="1" t="s">
        <v>5047</v>
      </c>
      <c r="D53" s="6">
        <v>460.07</v>
      </c>
      <c r="E53" s="6">
        <v>354.25389999999999</v>
      </c>
      <c r="F53" s="1" t="s">
        <v>5048</v>
      </c>
      <c r="G53" s="6">
        <f t="shared" si="0"/>
        <v>105.81610000000001</v>
      </c>
      <c r="H53" s="7">
        <f t="shared" si="1"/>
        <v>0.77</v>
      </c>
    </row>
    <row r="54" spans="1:8" ht="18" customHeight="1" x14ac:dyDescent="0.25">
      <c r="A54" s="1" t="s">
        <v>5430</v>
      </c>
      <c r="B54" s="1" t="s">
        <v>4917</v>
      </c>
      <c r="C54" s="1" t="s">
        <v>5047</v>
      </c>
      <c r="D54" s="6">
        <v>459.33</v>
      </c>
      <c r="E54" s="6">
        <v>358.2774</v>
      </c>
      <c r="F54" s="1" t="s">
        <v>5048</v>
      </c>
      <c r="G54" s="6">
        <f t="shared" si="0"/>
        <v>101.05259999999998</v>
      </c>
      <c r="H54" s="7">
        <f t="shared" si="1"/>
        <v>0.78</v>
      </c>
    </row>
    <row r="55" spans="1:8" ht="18" customHeight="1" x14ac:dyDescent="0.25">
      <c r="A55" s="1" t="s">
        <v>5325</v>
      </c>
      <c r="B55" s="1" t="s">
        <v>4802</v>
      </c>
      <c r="C55" s="1" t="s">
        <v>5047</v>
      </c>
      <c r="D55" s="6">
        <v>458.84</v>
      </c>
      <c r="E55" s="6">
        <v>385.42559999999997</v>
      </c>
      <c r="F55" s="1" t="s">
        <v>5048</v>
      </c>
      <c r="G55" s="6">
        <f t="shared" si="0"/>
        <v>73.414400000000001</v>
      </c>
      <c r="H55" s="7">
        <f t="shared" si="1"/>
        <v>0.84</v>
      </c>
    </row>
    <row r="56" spans="1:8" ht="18" customHeight="1" x14ac:dyDescent="0.25">
      <c r="A56" s="1" t="s">
        <v>5199</v>
      </c>
      <c r="B56" s="1" t="s">
        <v>4657</v>
      </c>
      <c r="C56" s="1" t="s">
        <v>5047</v>
      </c>
      <c r="D56" s="6">
        <v>458.44</v>
      </c>
      <c r="E56" s="6">
        <v>385.08960000000002</v>
      </c>
      <c r="F56" s="1" t="s">
        <v>5048</v>
      </c>
      <c r="G56" s="6">
        <f t="shared" si="0"/>
        <v>73.350399999999979</v>
      </c>
      <c r="H56" s="7">
        <f t="shared" si="1"/>
        <v>0.84000000000000008</v>
      </c>
    </row>
    <row r="57" spans="1:8" ht="18" customHeight="1" x14ac:dyDescent="0.25">
      <c r="A57" s="1" t="s">
        <v>5537</v>
      </c>
      <c r="B57" s="1" t="s">
        <v>5030</v>
      </c>
      <c r="C57" s="1" t="s">
        <v>5047</v>
      </c>
      <c r="D57" s="6">
        <v>456.26</v>
      </c>
      <c r="E57" s="6">
        <v>406.07139999999998</v>
      </c>
      <c r="F57" s="1" t="s">
        <v>5048</v>
      </c>
      <c r="G57" s="6">
        <f t="shared" si="0"/>
        <v>50.188600000000008</v>
      </c>
      <c r="H57" s="7">
        <f t="shared" si="1"/>
        <v>0.89</v>
      </c>
    </row>
    <row r="58" spans="1:8" ht="18" customHeight="1" x14ac:dyDescent="0.25">
      <c r="A58" s="1" t="s">
        <v>5297</v>
      </c>
      <c r="B58" s="1" t="s">
        <v>4772</v>
      </c>
      <c r="C58" s="1" t="s">
        <v>5047</v>
      </c>
      <c r="D58" s="6">
        <v>455.95</v>
      </c>
      <c r="E58" s="6">
        <v>392.11700000000002</v>
      </c>
      <c r="F58" s="1" t="s">
        <v>5048</v>
      </c>
      <c r="G58" s="6">
        <f t="shared" si="0"/>
        <v>63.83299999999997</v>
      </c>
      <c r="H58" s="7">
        <f t="shared" si="1"/>
        <v>0.8600000000000001</v>
      </c>
    </row>
    <row r="59" spans="1:8" ht="18" customHeight="1" x14ac:dyDescent="0.25">
      <c r="A59" s="1" t="s">
        <v>5076</v>
      </c>
      <c r="B59" s="1" t="s">
        <v>4514</v>
      </c>
      <c r="C59" s="1" t="s">
        <v>5047</v>
      </c>
      <c r="D59" s="6">
        <v>455.17</v>
      </c>
      <c r="E59" s="6">
        <v>405.10129999999998</v>
      </c>
      <c r="F59" s="1" t="s">
        <v>5048</v>
      </c>
      <c r="G59" s="6">
        <f t="shared" si="0"/>
        <v>50.068700000000035</v>
      </c>
      <c r="H59" s="7">
        <f t="shared" si="1"/>
        <v>0.8899999999999999</v>
      </c>
    </row>
    <row r="60" spans="1:8" ht="18" customHeight="1" x14ac:dyDescent="0.25">
      <c r="A60" s="1" t="s">
        <v>5444</v>
      </c>
      <c r="B60" s="1" t="s">
        <v>4932</v>
      </c>
      <c r="C60" s="1" t="s">
        <v>5047</v>
      </c>
      <c r="D60" s="6">
        <v>454.4</v>
      </c>
      <c r="E60" s="6">
        <v>358.976</v>
      </c>
      <c r="F60" s="1" t="s">
        <v>5048</v>
      </c>
      <c r="G60" s="6">
        <f t="shared" si="0"/>
        <v>95.423999999999978</v>
      </c>
      <c r="H60" s="7">
        <f t="shared" si="1"/>
        <v>0.79</v>
      </c>
    </row>
    <row r="61" spans="1:8" ht="18" customHeight="1" x14ac:dyDescent="0.25">
      <c r="A61" s="1" t="s">
        <v>5504</v>
      </c>
      <c r="B61" s="1" t="s">
        <v>4997</v>
      </c>
      <c r="C61" s="1" t="s">
        <v>5047</v>
      </c>
      <c r="D61" s="6">
        <v>452.06</v>
      </c>
      <c r="E61" s="6">
        <v>388.77159999999998</v>
      </c>
      <c r="F61" s="1" t="s">
        <v>5048</v>
      </c>
      <c r="G61" s="6">
        <f t="shared" si="0"/>
        <v>63.288400000000024</v>
      </c>
      <c r="H61" s="7">
        <f t="shared" si="1"/>
        <v>0.86</v>
      </c>
    </row>
    <row r="62" spans="1:8" ht="18" customHeight="1" x14ac:dyDescent="0.25">
      <c r="A62" s="1" t="s">
        <v>5148</v>
      </c>
      <c r="B62" s="1" t="s">
        <v>4595</v>
      </c>
      <c r="C62" s="1" t="s">
        <v>5047</v>
      </c>
      <c r="D62" s="6">
        <v>451.5</v>
      </c>
      <c r="E62" s="6">
        <v>356.685</v>
      </c>
      <c r="F62" s="1" t="s">
        <v>5048</v>
      </c>
      <c r="G62" s="6">
        <f t="shared" si="0"/>
        <v>94.814999999999998</v>
      </c>
      <c r="H62" s="7">
        <f t="shared" si="1"/>
        <v>0.79</v>
      </c>
    </row>
    <row r="63" spans="1:8" ht="18" customHeight="1" x14ac:dyDescent="0.25">
      <c r="A63" s="1" t="s">
        <v>5182</v>
      </c>
      <c r="B63" s="1" t="s">
        <v>4637</v>
      </c>
      <c r="C63" s="1" t="s">
        <v>5047</v>
      </c>
      <c r="D63" s="6">
        <v>451.04</v>
      </c>
      <c r="E63" s="6">
        <v>369.8528</v>
      </c>
      <c r="F63" s="1" t="s">
        <v>5048</v>
      </c>
      <c r="G63" s="6">
        <f t="shared" si="0"/>
        <v>81.187200000000018</v>
      </c>
      <c r="H63" s="7">
        <f t="shared" si="1"/>
        <v>0.82</v>
      </c>
    </row>
    <row r="64" spans="1:8" ht="18" customHeight="1" x14ac:dyDescent="0.25">
      <c r="A64" s="1" t="s">
        <v>5142</v>
      </c>
      <c r="B64" s="1" t="s">
        <v>4589</v>
      </c>
      <c r="C64" s="1" t="s">
        <v>5047</v>
      </c>
      <c r="D64" s="6">
        <v>449.98</v>
      </c>
      <c r="E64" s="6">
        <v>328.48540000000003</v>
      </c>
      <c r="F64" s="1" t="s">
        <v>5048</v>
      </c>
      <c r="G64" s="6">
        <f t="shared" si="0"/>
        <v>121.49459999999999</v>
      </c>
      <c r="H64" s="7">
        <f t="shared" si="1"/>
        <v>0.73</v>
      </c>
    </row>
    <row r="65" spans="1:8" ht="18" customHeight="1" x14ac:dyDescent="0.25">
      <c r="A65" s="1" t="s">
        <v>5237</v>
      </c>
      <c r="B65" s="1" t="s">
        <v>4700</v>
      </c>
      <c r="C65" s="1" t="s">
        <v>5047</v>
      </c>
      <c r="D65" s="6">
        <v>447.97</v>
      </c>
      <c r="E65" s="6">
        <v>398.69330000000002</v>
      </c>
      <c r="F65" s="1" t="s">
        <v>5048</v>
      </c>
      <c r="G65" s="6">
        <f t="shared" si="0"/>
        <v>49.276700000000005</v>
      </c>
      <c r="H65" s="7">
        <f t="shared" si="1"/>
        <v>0.89</v>
      </c>
    </row>
    <row r="66" spans="1:8" ht="18" customHeight="1" x14ac:dyDescent="0.25">
      <c r="A66" s="1" t="s">
        <v>5169</v>
      </c>
      <c r="B66" s="1" t="s">
        <v>4624</v>
      </c>
      <c r="C66" s="1" t="s">
        <v>5047</v>
      </c>
      <c r="D66" s="6">
        <v>446.1</v>
      </c>
      <c r="E66" s="6">
        <v>356.88</v>
      </c>
      <c r="F66" s="1" t="s">
        <v>5048</v>
      </c>
      <c r="G66" s="6">
        <f t="shared" ref="G66:G129" si="2">D66-E66</f>
        <v>89.220000000000027</v>
      </c>
      <c r="H66" s="7">
        <f t="shared" ref="H66:H129" si="3">IFERROR(E66/D66,0)</f>
        <v>0.79999999999999993</v>
      </c>
    </row>
    <row r="67" spans="1:8" ht="18" customHeight="1" x14ac:dyDescent="0.25">
      <c r="A67" s="1" t="s">
        <v>5461</v>
      </c>
      <c r="B67" s="1" t="s">
        <v>4952</v>
      </c>
      <c r="C67" s="1" t="s">
        <v>5047</v>
      </c>
      <c r="D67" s="6">
        <v>444.94</v>
      </c>
      <c r="E67" s="6">
        <v>382.64839999999998</v>
      </c>
      <c r="F67" s="1" t="s">
        <v>5048</v>
      </c>
      <c r="G67" s="6">
        <f t="shared" si="2"/>
        <v>62.291600000000017</v>
      </c>
      <c r="H67" s="7">
        <f t="shared" si="3"/>
        <v>0.86</v>
      </c>
    </row>
    <row r="68" spans="1:8" ht="18" customHeight="1" x14ac:dyDescent="0.25">
      <c r="A68" s="1" t="s">
        <v>5413</v>
      </c>
      <c r="B68" s="1" t="s">
        <v>4899</v>
      </c>
      <c r="C68" s="1" t="s">
        <v>5047</v>
      </c>
      <c r="D68" s="6">
        <v>444.72</v>
      </c>
      <c r="E68" s="6">
        <v>346.88159999999999</v>
      </c>
      <c r="F68" s="1" t="s">
        <v>5048</v>
      </c>
      <c r="G68" s="6">
        <f t="shared" si="2"/>
        <v>97.838400000000036</v>
      </c>
      <c r="H68" s="7">
        <f t="shared" si="3"/>
        <v>0.77999999999999992</v>
      </c>
    </row>
    <row r="69" spans="1:8" ht="18" customHeight="1" x14ac:dyDescent="0.25">
      <c r="A69" s="1" t="s">
        <v>5096</v>
      </c>
      <c r="B69" s="1" t="s">
        <v>4536</v>
      </c>
      <c r="C69" s="1" t="s">
        <v>5047</v>
      </c>
      <c r="D69" s="6">
        <v>444.53</v>
      </c>
      <c r="E69" s="6">
        <v>324.50689999999997</v>
      </c>
      <c r="F69" s="1" t="s">
        <v>5048</v>
      </c>
      <c r="G69" s="6">
        <f t="shared" si="2"/>
        <v>120.0231</v>
      </c>
      <c r="H69" s="7">
        <f t="shared" si="3"/>
        <v>0.73</v>
      </c>
    </row>
    <row r="70" spans="1:8" ht="18" customHeight="1" x14ac:dyDescent="0.25">
      <c r="A70" s="1" t="s">
        <v>5376</v>
      </c>
      <c r="B70" s="1" t="s">
        <v>4859</v>
      </c>
      <c r="C70" s="1" t="s">
        <v>5047</v>
      </c>
      <c r="D70" s="6">
        <v>444.08</v>
      </c>
      <c r="E70" s="6">
        <v>386.34960000000001</v>
      </c>
      <c r="F70" s="1" t="s">
        <v>5048</v>
      </c>
      <c r="G70" s="6">
        <f t="shared" si="2"/>
        <v>57.730399999999975</v>
      </c>
      <c r="H70" s="7">
        <f t="shared" si="3"/>
        <v>0.87000000000000011</v>
      </c>
    </row>
    <row r="71" spans="1:8" ht="18" customHeight="1" x14ac:dyDescent="0.25">
      <c r="A71" s="1" t="s">
        <v>5134</v>
      </c>
      <c r="B71" s="1" t="s">
        <v>4579</v>
      </c>
      <c r="C71" s="1" t="s">
        <v>5047</v>
      </c>
      <c r="D71" s="6">
        <v>442.87</v>
      </c>
      <c r="E71" s="6">
        <v>354.29599999999999</v>
      </c>
      <c r="F71" s="1" t="s">
        <v>5048</v>
      </c>
      <c r="G71" s="6">
        <f t="shared" si="2"/>
        <v>88.574000000000012</v>
      </c>
      <c r="H71" s="7">
        <f t="shared" si="3"/>
        <v>0.79999999999999993</v>
      </c>
    </row>
    <row r="72" spans="1:8" ht="18" customHeight="1" x14ac:dyDescent="0.25">
      <c r="A72" s="1" t="s">
        <v>5410</v>
      </c>
      <c r="B72" s="1" t="s">
        <v>4896</v>
      </c>
      <c r="C72" s="1" t="s">
        <v>5047</v>
      </c>
      <c r="D72" s="6">
        <v>442.46</v>
      </c>
      <c r="E72" s="6">
        <v>336.26960000000003</v>
      </c>
      <c r="F72" s="1" t="s">
        <v>5048</v>
      </c>
      <c r="G72" s="6">
        <f t="shared" si="2"/>
        <v>106.19039999999995</v>
      </c>
      <c r="H72" s="7">
        <f t="shared" si="3"/>
        <v>0.76000000000000012</v>
      </c>
    </row>
    <row r="73" spans="1:8" ht="18" customHeight="1" x14ac:dyDescent="0.25">
      <c r="A73" s="1" t="s">
        <v>5355</v>
      </c>
      <c r="B73" s="1" t="s">
        <v>4838</v>
      </c>
      <c r="C73" s="1" t="s">
        <v>5047</v>
      </c>
      <c r="D73" s="6">
        <v>442.44</v>
      </c>
      <c r="E73" s="6">
        <v>336.25439999999998</v>
      </c>
      <c r="F73" s="1" t="s">
        <v>5048</v>
      </c>
      <c r="G73" s="6">
        <f t="shared" si="2"/>
        <v>106.18560000000002</v>
      </c>
      <c r="H73" s="7">
        <f t="shared" si="3"/>
        <v>0.7599999999999999</v>
      </c>
    </row>
    <row r="74" spans="1:8" ht="18" customHeight="1" x14ac:dyDescent="0.25">
      <c r="A74" s="1" t="s">
        <v>5284</v>
      </c>
      <c r="B74" s="1" t="s">
        <v>4757</v>
      </c>
      <c r="C74" s="1" t="s">
        <v>5047</v>
      </c>
      <c r="D74" s="6">
        <v>440.43</v>
      </c>
      <c r="E74" s="6">
        <v>317.1096</v>
      </c>
      <c r="F74" s="1" t="s">
        <v>5048</v>
      </c>
      <c r="G74" s="6">
        <f t="shared" si="2"/>
        <v>123.32040000000001</v>
      </c>
      <c r="H74" s="7">
        <f t="shared" si="3"/>
        <v>0.72</v>
      </c>
    </row>
    <row r="75" spans="1:8" ht="18" customHeight="1" x14ac:dyDescent="0.25">
      <c r="A75" s="1" t="s">
        <v>5262</v>
      </c>
      <c r="B75" s="1" t="s">
        <v>4729</v>
      </c>
      <c r="C75" s="1" t="s">
        <v>5047</v>
      </c>
      <c r="D75" s="6">
        <v>439.2</v>
      </c>
      <c r="E75" s="6">
        <v>364.536</v>
      </c>
      <c r="F75" s="1" t="s">
        <v>5048</v>
      </c>
      <c r="G75" s="6">
        <f t="shared" si="2"/>
        <v>74.663999999999987</v>
      </c>
      <c r="H75" s="7">
        <f t="shared" si="3"/>
        <v>0.83000000000000007</v>
      </c>
    </row>
    <row r="76" spans="1:8" ht="18" customHeight="1" x14ac:dyDescent="0.25">
      <c r="A76" s="1" t="s">
        <v>5089</v>
      </c>
      <c r="B76" s="1" t="s">
        <v>4527</v>
      </c>
      <c r="C76" s="1" t="s">
        <v>5047</v>
      </c>
      <c r="D76" s="6">
        <v>438.77</v>
      </c>
      <c r="E76" s="6">
        <v>355.40370000000001</v>
      </c>
      <c r="F76" s="1" t="s">
        <v>5048</v>
      </c>
      <c r="G76" s="6">
        <f t="shared" si="2"/>
        <v>83.366299999999967</v>
      </c>
      <c r="H76" s="7">
        <f t="shared" si="3"/>
        <v>0.81</v>
      </c>
    </row>
    <row r="77" spans="1:8" ht="18" customHeight="1" x14ac:dyDescent="0.25">
      <c r="A77" s="1" t="s">
        <v>5245</v>
      </c>
      <c r="B77" s="1" t="s">
        <v>4708</v>
      </c>
      <c r="C77" s="1" t="s">
        <v>5047</v>
      </c>
      <c r="D77" s="6">
        <v>437.71</v>
      </c>
      <c r="E77" s="6">
        <v>350.16800000000001</v>
      </c>
      <c r="F77" s="1" t="s">
        <v>5048</v>
      </c>
      <c r="G77" s="6">
        <f t="shared" si="2"/>
        <v>87.541999999999973</v>
      </c>
      <c r="H77" s="7">
        <f t="shared" si="3"/>
        <v>0.8</v>
      </c>
    </row>
    <row r="78" spans="1:8" ht="18" customHeight="1" x14ac:dyDescent="0.25">
      <c r="A78" s="1" t="s">
        <v>5196</v>
      </c>
      <c r="B78" s="1" t="s">
        <v>4654</v>
      </c>
      <c r="C78" s="1" t="s">
        <v>5047</v>
      </c>
      <c r="D78" s="6">
        <v>432.74</v>
      </c>
      <c r="E78" s="6">
        <v>385.1386</v>
      </c>
      <c r="F78" s="1" t="s">
        <v>5048</v>
      </c>
      <c r="G78" s="6">
        <f t="shared" si="2"/>
        <v>47.601400000000012</v>
      </c>
      <c r="H78" s="7">
        <f t="shared" si="3"/>
        <v>0.89</v>
      </c>
    </row>
    <row r="79" spans="1:8" ht="18" customHeight="1" x14ac:dyDescent="0.25">
      <c r="A79" s="1" t="s">
        <v>5046</v>
      </c>
      <c r="B79" s="1" t="s">
        <v>4482</v>
      </c>
      <c r="C79" s="1" t="s">
        <v>5047</v>
      </c>
      <c r="D79" s="6">
        <v>432.61</v>
      </c>
      <c r="E79" s="6">
        <v>372.0446</v>
      </c>
      <c r="F79" s="1" t="s">
        <v>5048</v>
      </c>
      <c r="G79" s="6">
        <f t="shared" si="2"/>
        <v>60.565400000000011</v>
      </c>
      <c r="H79" s="7">
        <f t="shared" si="3"/>
        <v>0.86</v>
      </c>
    </row>
    <row r="80" spans="1:8" ht="18" customHeight="1" x14ac:dyDescent="0.25">
      <c r="A80" s="1" t="s">
        <v>5065</v>
      </c>
      <c r="B80" s="1" t="s">
        <v>4502</v>
      </c>
      <c r="C80" s="1" t="s">
        <v>5047</v>
      </c>
      <c r="D80" s="6">
        <v>429.87</v>
      </c>
      <c r="E80" s="6">
        <v>378.28559999999999</v>
      </c>
      <c r="F80" s="1" t="s">
        <v>5048</v>
      </c>
      <c r="G80" s="6">
        <f t="shared" si="2"/>
        <v>51.584400000000016</v>
      </c>
      <c r="H80" s="7">
        <f t="shared" si="3"/>
        <v>0.88</v>
      </c>
    </row>
    <row r="81" spans="1:8" ht="18" customHeight="1" x14ac:dyDescent="0.25">
      <c r="A81" s="1" t="s">
        <v>5323</v>
      </c>
      <c r="B81" s="1" t="s">
        <v>4800</v>
      </c>
      <c r="C81" s="1" t="s">
        <v>5047</v>
      </c>
      <c r="D81" s="6">
        <v>428.66</v>
      </c>
      <c r="E81" s="6">
        <v>351.50119999999998</v>
      </c>
      <c r="F81" s="1" t="s">
        <v>5048</v>
      </c>
      <c r="G81" s="6">
        <f t="shared" si="2"/>
        <v>77.158800000000042</v>
      </c>
      <c r="H81" s="7">
        <f t="shared" si="3"/>
        <v>0.82</v>
      </c>
    </row>
    <row r="82" spans="1:8" ht="18" customHeight="1" x14ac:dyDescent="0.25">
      <c r="A82" s="1" t="s">
        <v>5427</v>
      </c>
      <c r="B82" s="1" t="s">
        <v>4914</v>
      </c>
      <c r="C82" s="1" t="s">
        <v>5047</v>
      </c>
      <c r="D82" s="6">
        <v>428.62</v>
      </c>
      <c r="E82" s="6">
        <v>330.03739999999999</v>
      </c>
      <c r="F82" s="1" t="s">
        <v>5048</v>
      </c>
      <c r="G82" s="6">
        <f t="shared" si="2"/>
        <v>98.582600000000014</v>
      </c>
      <c r="H82" s="7">
        <f t="shared" si="3"/>
        <v>0.77</v>
      </c>
    </row>
    <row r="83" spans="1:8" ht="18" customHeight="1" x14ac:dyDescent="0.25">
      <c r="A83" s="1" t="s">
        <v>5073</v>
      </c>
      <c r="B83" s="1" t="s">
        <v>4511</v>
      </c>
      <c r="C83" s="1" t="s">
        <v>5047</v>
      </c>
      <c r="D83" s="6">
        <v>427.73</v>
      </c>
      <c r="E83" s="6">
        <v>367.84780000000001</v>
      </c>
      <c r="F83" s="1" t="s">
        <v>5048</v>
      </c>
      <c r="G83" s="6">
        <f t="shared" si="2"/>
        <v>59.882200000000012</v>
      </c>
      <c r="H83" s="7">
        <f t="shared" si="3"/>
        <v>0.86</v>
      </c>
    </row>
    <row r="84" spans="1:8" ht="18" customHeight="1" x14ac:dyDescent="0.25">
      <c r="A84" s="1" t="s">
        <v>5399</v>
      </c>
      <c r="B84" s="1" t="s">
        <v>4885</v>
      </c>
      <c r="C84" s="1" t="s">
        <v>5047</v>
      </c>
      <c r="D84" s="6">
        <v>427.14</v>
      </c>
      <c r="E84" s="6">
        <v>328.89780000000002</v>
      </c>
      <c r="F84" s="1" t="s">
        <v>5048</v>
      </c>
      <c r="G84" s="6">
        <f t="shared" si="2"/>
        <v>98.242199999999968</v>
      </c>
      <c r="H84" s="7">
        <f t="shared" si="3"/>
        <v>0.77</v>
      </c>
    </row>
    <row r="85" spans="1:8" ht="18" customHeight="1" x14ac:dyDescent="0.25">
      <c r="A85" s="1" t="s">
        <v>5240</v>
      </c>
      <c r="B85" s="1" t="s">
        <v>4703</v>
      </c>
      <c r="C85" s="1" t="s">
        <v>5047</v>
      </c>
      <c r="D85" s="6">
        <v>426.02</v>
      </c>
      <c r="E85" s="6">
        <v>340.81599999999997</v>
      </c>
      <c r="F85" s="1" t="s">
        <v>5048</v>
      </c>
      <c r="G85" s="6">
        <f t="shared" si="2"/>
        <v>85.204000000000008</v>
      </c>
      <c r="H85" s="7">
        <f t="shared" si="3"/>
        <v>0.79999999999999993</v>
      </c>
    </row>
    <row r="86" spans="1:8" ht="18" customHeight="1" x14ac:dyDescent="0.25">
      <c r="A86" s="1" t="s">
        <v>5126</v>
      </c>
      <c r="B86" s="1" t="s">
        <v>4569</v>
      </c>
      <c r="C86" s="1" t="s">
        <v>5047</v>
      </c>
      <c r="D86" s="6">
        <v>424.68</v>
      </c>
      <c r="E86" s="6">
        <v>339.74400000000003</v>
      </c>
      <c r="F86" s="1" t="s">
        <v>5048</v>
      </c>
      <c r="G86" s="6">
        <f t="shared" si="2"/>
        <v>84.935999999999979</v>
      </c>
      <c r="H86" s="7">
        <f t="shared" si="3"/>
        <v>0.8</v>
      </c>
    </row>
    <row r="87" spans="1:8" ht="18" customHeight="1" x14ac:dyDescent="0.25">
      <c r="A87" s="1" t="s">
        <v>5160</v>
      </c>
      <c r="B87" s="1" t="s">
        <v>4608</v>
      </c>
      <c r="C87" s="1" t="s">
        <v>5047</v>
      </c>
      <c r="D87" s="6">
        <v>424.12</v>
      </c>
      <c r="E87" s="6">
        <v>360.50200000000001</v>
      </c>
      <c r="F87" s="1" t="s">
        <v>5048</v>
      </c>
      <c r="G87" s="6">
        <f t="shared" si="2"/>
        <v>63.617999999999995</v>
      </c>
      <c r="H87" s="7">
        <f t="shared" si="3"/>
        <v>0.85</v>
      </c>
    </row>
    <row r="88" spans="1:8" ht="18" customHeight="1" x14ac:dyDescent="0.25">
      <c r="A88" s="1" t="s">
        <v>5188</v>
      </c>
      <c r="B88" s="1" t="s">
        <v>4644</v>
      </c>
      <c r="C88" s="1" t="s">
        <v>5047</v>
      </c>
      <c r="D88" s="6">
        <v>423.81</v>
      </c>
      <c r="E88" s="6">
        <v>300.9051</v>
      </c>
      <c r="F88" s="1" t="s">
        <v>5048</v>
      </c>
      <c r="G88" s="6">
        <f t="shared" si="2"/>
        <v>122.9049</v>
      </c>
      <c r="H88" s="7">
        <f t="shared" si="3"/>
        <v>0.71</v>
      </c>
    </row>
    <row r="89" spans="1:8" ht="18" customHeight="1" x14ac:dyDescent="0.25">
      <c r="A89" s="1" t="s">
        <v>5206</v>
      </c>
      <c r="B89" s="1" t="s">
        <v>4666</v>
      </c>
      <c r="C89" s="1" t="s">
        <v>5047</v>
      </c>
      <c r="D89" s="6">
        <v>422.3</v>
      </c>
      <c r="E89" s="6">
        <v>308.279</v>
      </c>
      <c r="F89" s="1" t="s">
        <v>5048</v>
      </c>
      <c r="G89" s="6">
        <f t="shared" si="2"/>
        <v>114.02100000000002</v>
      </c>
      <c r="H89" s="7">
        <f t="shared" si="3"/>
        <v>0.73</v>
      </c>
    </row>
    <row r="90" spans="1:8" ht="18" customHeight="1" x14ac:dyDescent="0.25">
      <c r="A90" s="1" t="s">
        <v>5175</v>
      </c>
      <c r="B90" s="1" t="s">
        <v>4630</v>
      </c>
      <c r="C90" s="1" t="s">
        <v>5047</v>
      </c>
      <c r="D90" s="6">
        <v>421.93</v>
      </c>
      <c r="E90" s="6">
        <v>350.20190000000002</v>
      </c>
      <c r="F90" s="1" t="s">
        <v>5048</v>
      </c>
      <c r="G90" s="6">
        <f t="shared" si="2"/>
        <v>71.728099999999984</v>
      </c>
      <c r="H90" s="7">
        <f t="shared" si="3"/>
        <v>0.83000000000000007</v>
      </c>
    </row>
    <row r="91" spans="1:8" ht="18" customHeight="1" x14ac:dyDescent="0.25">
      <c r="A91" s="1" t="s">
        <v>5345</v>
      </c>
      <c r="B91" s="1" t="s">
        <v>4827</v>
      </c>
      <c r="C91" s="1" t="s">
        <v>5047</v>
      </c>
      <c r="D91" s="6">
        <v>418.01</v>
      </c>
      <c r="E91" s="6">
        <v>309.32740000000001</v>
      </c>
      <c r="F91" s="1" t="s">
        <v>5048</v>
      </c>
      <c r="G91" s="6">
        <f t="shared" si="2"/>
        <v>108.68259999999998</v>
      </c>
      <c r="H91" s="7">
        <f t="shared" si="3"/>
        <v>0.74</v>
      </c>
    </row>
    <row r="92" spans="1:8" ht="18" customHeight="1" x14ac:dyDescent="0.25">
      <c r="A92" s="1" t="s">
        <v>5470</v>
      </c>
      <c r="B92" s="1" t="s">
        <v>4962</v>
      </c>
      <c r="C92" s="1" t="s">
        <v>5047</v>
      </c>
      <c r="D92" s="6">
        <v>417.21</v>
      </c>
      <c r="E92" s="6">
        <v>350.45639999999997</v>
      </c>
      <c r="F92" s="1" t="s">
        <v>5048</v>
      </c>
      <c r="G92" s="6">
        <f t="shared" si="2"/>
        <v>66.753600000000006</v>
      </c>
      <c r="H92" s="7">
        <f t="shared" si="3"/>
        <v>0.84</v>
      </c>
    </row>
    <row r="93" spans="1:8" ht="18" customHeight="1" x14ac:dyDescent="0.25">
      <c r="A93" s="1" t="s">
        <v>5207</v>
      </c>
      <c r="B93" s="1" t="s">
        <v>4667</v>
      </c>
      <c r="C93" s="1" t="s">
        <v>5047</v>
      </c>
      <c r="D93" s="6">
        <v>416.87</v>
      </c>
      <c r="E93" s="6">
        <v>354.33949999999999</v>
      </c>
      <c r="F93" s="1" t="s">
        <v>5048</v>
      </c>
      <c r="G93" s="6">
        <f t="shared" si="2"/>
        <v>62.530500000000018</v>
      </c>
      <c r="H93" s="7">
        <f t="shared" si="3"/>
        <v>0.85</v>
      </c>
    </row>
    <row r="94" spans="1:8" ht="18" customHeight="1" x14ac:dyDescent="0.25">
      <c r="A94" s="1" t="s">
        <v>5380</v>
      </c>
      <c r="B94" s="1" t="s">
        <v>4864</v>
      </c>
      <c r="C94" s="1" t="s">
        <v>5047</v>
      </c>
      <c r="D94" s="6">
        <v>416.87</v>
      </c>
      <c r="E94" s="6">
        <v>366.84559999999999</v>
      </c>
      <c r="F94" s="1" t="s">
        <v>5048</v>
      </c>
      <c r="G94" s="6">
        <f t="shared" si="2"/>
        <v>50.024400000000014</v>
      </c>
      <c r="H94" s="7">
        <f t="shared" si="3"/>
        <v>0.88</v>
      </c>
    </row>
    <row r="95" spans="1:8" ht="18" customHeight="1" x14ac:dyDescent="0.25">
      <c r="A95" s="1" t="s">
        <v>5443</v>
      </c>
      <c r="B95" s="1" t="s">
        <v>4931</v>
      </c>
      <c r="C95" s="1" t="s">
        <v>5047</v>
      </c>
      <c r="D95" s="6">
        <v>416.75</v>
      </c>
      <c r="E95" s="6">
        <v>366.74</v>
      </c>
      <c r="F95" s="1" t="s">
        <v>5048</v>
      </c>
      <c r="G95" s="6">
        <f t="shared" si="2"/>
        <v>50.009999999999991</v>
      </c>
      <c r="H95" s="7">
        <f t="shared" si="3"/>
        <v>0.88</v>
      </c>
    </row>
    <row r="96" spans="1:8" ht="18" customHeight="1" x14ac:dyDescent="0.25">
      <c r="A96" s="1" t="s">
        <v>5414</v>
      </c>
      <c r="B96" s="1" t="s">
        <v>4900</v>
      </c>
      <c r="C96" s="1" t="s">
        <v>5047</v>
      </c>
      <c r="D96" s="6">
        <v>416.09</v>
      </c>
      <c r="E96" s="6">
        <v>353.67649999999998</v>
      </c>
      <c r="F96" s="1" t="s">
        <v>5048</v>
      </c>
      <c r="G96" s="6">
        <f t="shared" si="2"/>
        <v>62.413499999999999</v>
      </c>
      <c r="H96" s="7">
        <f t="shared" si="3"/>
        <v>0.85</v>
      </c>
    </row>
    <row r="97" spans="1:8" ht="18" customHeight="1" x14ac:dyDescent="0.25">
      <c r="A97" s="1" t="s">
        <v>5270</v>
      </c>
      <c r="B97" s="1" t="s">
        <v>4741</v>
      </c>
      <c r="C97" s="1" t="s">
        <v>5047</v>
      </c>
      <c r="D97" s="6">
        <v>415.4</v>
      </c>
      <c r="E97" s="6">
        <v>299.08800000000002</v>
      </c>
      <c r="F97" s="1" t="s">
        <v>5048</v>
      </c>
      <c r="G97" s="6">
        <f t="shared" si="2"/>
        <v>116.31199999999995</v>
      </c>
      <c r="H97" s="7">
        <f t="shared" si="3"/>
        <v>0.72000000000000008</v>
      </c>
    </row>
    <row r="98" spans="1:8" ht="18" customHeight="1" x14ac:dyDescent="0.25">
      <c r="A98" s="1" t="s">
        <v>5389</v>
      </c>
      <c r="B98" s="1" t="s">
        <v>4874</v>
      </c>
      <c r="C98" s="1" t="s">
        <v>5047</v>
      </c>
      <c r="D98" s="6">
        <v>415.32</v>
      </c>
      <c r="E98" s="6">
        <v>357.17520000000002</v>
      </c>
      <c r="F98" s="1" t="s">
        <v>5048</v>
      </c>
      <c r="G98" s="6">
        <f t="shared" si="2"/>
        <v>58.144799999999975</v>
      </c>
      <c r="H98" s="7">
        <f t="shared" si="3"/>
        <v>0.8600000000000001</v>
      </c>
    </row>
    <row r="99" spans="1:8" ht="18" customHeight="1" x14ac:dyDescent="0.25">
      <c r="A99" s="1" t="s">
        <v>5333</v>
      </c>
      <c r="B99" s="1" t="s">
        <v>4811</v>
      </c>
      <c r="C99" s="1" t="s">
        <v>5047</v>
      </c>
      <c r="D99" s="6">
        <v>414.08</v>
      </c>
      <c r="E99" s="6">
        <v>364.3904</v>
      </c>
      <c r="F99" s="1" t="s">
        <v>5048</v>
      </c>
      <c r="G99" s="6">
        <f t="shared" si="2"/>
        <v>49.689599999999984</v>
      </c>
      <c r="H99" s="7">
        <f t="shared" si="3"/>
        <v>0.88</v>
      </c>
    </row>
    <row r="100" spans="1:8" ht="18" customHeight="1" x14ac:dyDescent="0.25">
      <c r="A100" s="1" t="s">
        <v>5263</v>
      </c>
      <c r="B100" s="1" t="s">
        <v>4730</v>
      </c>
      <c r="C100" s="1" t="s">
        <v>5047</v>
      </c>
      <c r="D100" s="6">
        <v>413.65</v>
      </c>
      <c r="E100" s="6">
        <v>339.19299999999998</v>
      </c>
      <c r="F100" s="1" t="s">
        <v>5048</v>
      </c>
      <c r="G100" s="6">
        <f t="shared" si="2"/>
        <v>74.456999999999994</v>
      </c>
      <c r="H100" s="7">
        <f t="shared" si="3"/>
        <v>0.82</v>
      </c>
    </row>
    <row r="101" spans="1:8" ht="18" customHeight="1" x14ac:dyDescent="0.25">
      <c r="A101" s="1" t="s">
        <v>5426</v>
      </c>
      <c r="B101" s="1" t="s">
        <v>4913</v>
      </c>
      <c r="C101" s="1" t="s">
        <v>5047</v>
      </c>
      <c r="D101" s="6">
        <v>413.65</v>
      </c>
      <c r="E101" s="6">
        <v>293.69150000000002</v>
      </c>
      <c r="F101" s="1" t="s">
        <v>5048</v>
      </c>
      <c r="G101" s="6">
        <f t="shared" si="2"/>
        <v>119.95849999999996</v>
      </c>
      <c r="H101" s="7">
        <f t="shared" si="3"/>
        <v>0.71000000000000008</v>
      </c>
    </row>
    <row r="102" spans="1:8" ht="18" customHeight="1" x14ac:dyDescent="0.25">
      <c r="A102" s="1" t="s">
        <v>5204</v>
      </c>
      <c r="B102" s="1" t="s">
        <v>4663</v>
      </c>
      <c r="C102" s="1" t="s">
        <v>5047</v>
      </c>
      <c r="D102" s="6">
        <v>413.44</v>
      </c>
      <c r="E102" s="6">
        <v>297.67680000000001</v>
      </c>
      <c r="F102" s="1" t="s">
        <v>5048</v>
      </c>
      <c r="G102" s="6">
        <f t="shared" si="2"/>
        <v>115.76319999999998</v>
      </c>
      <c r="H102" s="7">
        <f t="shared" si="3"/>
        <v>0.72000000000000008</v>
      </c>
    </row>
    <row r="103" spans="1:8" ht="18" customHeight="1" x14ac:dyDescent="0.25">
      <c r="A103" s="1" t="s">
        <v>5445</v>
      </c>
      <c r="B103" s="1" t="s">
        <v>4933</v>
      </c>
      <c r="C103" s="1" t="s">
        <v>5047</v>
      </c>
      <c r="D103" s="6">
        <v>412.59</v>
      </c>
      <c r="E103" s="6">
        <v>330.072</v>
      </c>
      <c r="F103" s="1" t="s">
        <v>5048</v>
      </c>
      <c r="G103" s="6">
        <f t="shared" si="2"/>
        <v>82.517999999999972</v>
      </c>
      <c r="H103" s="7">
        <f t="shared" si="3"/>
        <v>0.8</v>
      </c>
    </row>
    <row r="104" spans="1:8" ht="18" customHeight="1" x14ac:dyDescent="0.25">
      <c r="A104" s="1" t="s">
        <v>5472</v>
      </c>
      <c r="B104" s="1" t="s">
        <v>4964</v>
      </c>
      <c r="C104" s="1" t="s">
        <v>5047</v>
      </c>
      <c r="D104" s="6">
        <v>411.84</v>
      </c>
      <c r="E104" s="6">
        <v>312.9984</v>
      </c>
      <c r="F104" s="1" t="s">
        <v>5048</v>
      </c>
      <c r="G104" s="6">
        <f t="shared" si="2"/>
        <v>98.841599999999971</v>
      </c>
      <c r="H104" s="7">
        <f t="shared" si="3"/>
        <v>0.76</v>
      </c>
    </row>
    <row r="105" spans="1:8" ht="18" customHeight="1" x14ac:dyDescent="0.25">
      <c r="A105" s="1" t="s">
        <v>5475</v>
      </c>
      <c r="B105" s="1" t="s">
        <v>4967</v>
      </c>
      <c r="C105" s="1" t="s">
        <v>5047</v>
      </c>
      <c r="D105" s="6">
        <v>408.5</v>
      </c>
      <c r="E105" s="6">
        <v>294.12</v>
      </c>
      <c r="F105" s="1" t="s">
        <v>5048</v>
      </c>
      <c r="G105" s="6">
        <f t="shared" si="2"/>
        <v>114.38</v>
      </c>
      <c r="H105" s="7">
        <f t="shared" si="3"/>
        <v>0.72</v>
      </c>
    </row>
    <row r="106" spans="1:8" ht="18" customHeight="1" x14ac:dyDescent="0.25">
      <c r="A106" s="1" t="s">
        <v>5342</v>
      </c>
      <c r="B106" s="1" t="s">
        <v>4823</v>
      </c>
      <c r="C106" s="1" t="s">
        <v>5047</v>
      </c>
      <c r="D106" s="6">
        <v>407.89</v>
      </c>
      <c r="E106" s="6">
        <v>309.99639999999999</v>
      </c>
      <c r="F106" s="1" t="s">
        <v>5048</v>
      </c>
      <c r="G106" s="6">
        <f t="shared" si="2"/>
        <v>97.893599999999992</v>
      </c>
      <c r="H106" s="7">
        <f t="shared" si="3"/>
        <v>0.76</v>
      </c>
    </row>
    <row r="107" spans="1:8" ht="18" customHeight="1" x14ac:dyDescent="0.25">
      <c r="A107" s="1" t="s">
        <v>5144</v>
      </c>
      <c r="B107" s="1" t="s">
        <v>4591</v>
      </c>
      <c r="C107" s="1" t="s">
        <v>5047</v>
      </c>
      <c r="D107" s="6">
        <v>406.65</v>
      </c>
      <c r="E107" s="6">
        <v>317.18700000000001</v>
      </c>
      <c r="F107" s="1" t="s">
        <v>5048</v>
      </c>
      <c r="G107" s="6">
        <f t="shared" si="2"/>
        <v>89.462999999999965</v>
      </c>
      <c r="H107" s="7">
        <f t="shared" si="3"/>
        <v>0.78</v>
      </c>
    </row>
    <row r="108" spans="1:8" ht="18" customHeight="1" x14ac:dyDescent="0.25">
      <c r="A108" s="1" t="s">
        <v>5110</v>
      </c>
      <c r="B108" s="1" t="s">
        <v>4551</v>
      </c>
      <c r="C108" s="1" t="s">
        <v>5047</v>
      </c>
      <c r="D108" s="6">
        <v>404.03</v>
      </c>
      <c r="E108" s="6">
        <v>282.82100000000003</v>
      </c>
      <c r="F108" s="1" t="s">
        <v>5048</v>
      </c>
      <c r="G108" s="6">
        <f t="shared" si="2"/>
        <v>121.20899999999995</v>
      </c>
      <c r="H108" s="7">
        <f t="shared" si="3"/>
        <v>0.70000000000000007</v>
      </c>
    </row>
    <row r="109" spans="1:8" ht="18" customHeight="1" x14ac:dyDescent="0.25">
      <c r="A109" s="1" t="s">
        <v>5291</v>
      </c>
      <c r="B109" s="1" t="s">
        <v>4766</v>
      </c>
      <c r="C109" s="1" t="s">
        <v>5047</v>
      </c>
      <c r="D109" s="6">
        <v>403.82</v>
      </c>
      <c r="E109" s="6">
        <v>331.13240000000002</v>
      </c>
      <c r="F109" s="1" t="s">
        <v>5048</v>
      </c>
      <c r="G109" s="6">
        <f t="shared" si="2"/>
        <v>72.687599999999975</v>
      </c>
      <c r="H109" s="7">
        <f t="shared" si="3"/>
        <v>0.82000000000000006</v>
      </c>
    </row>
    <row r="110" spans="1:8" ht="18" customHeight="1" x14ac:dyDescent="0.25">
      <c r="A110" s="1" t="s">
        <v>5217</v>
      </c>
      <c r="B110" s="1" t="s">
        <v>4678</v>
      </c>
      <c r="C110" s="1" t="s">
        <v>5047</v>
      </c>
      <c r="D110" s="6">
        <v>403.58</v>
      </c>
      <c r="E110" s="6">
        <v>347.0788</v>
      </c>
      <c r="F110" s="1" t="s">
        <v>5048</v>
      </c>
      <c r="G110" s="6">
        <f t="shared" si="2"/>
        <v>56.501199999999983</v>
      </c>
      <c r="H110" s="7">
        <f t="shared" si="3"/>
        <v>0.86</v>
      </c>
    </row>
    <row r="111" spans="1:8" ht="18" customHeight="1" x14ac:dyDescent="0.25">
      <c r="A111" s="1" t="s">
        <v>5335</v>
      </c>
      <c r="B111" s="1" t="s">
        <v>4813</v>
      </c>
      <c r="C111" s="1" t="s">
        <v>5047</v>
      </c>
      <c r="D111" s="6">
        <v>402.02</v>
      </c>
      <c r="E111" s="6">
        <v>317.5958</v>
      </c>
      <c r="F111" s="1" t="s">
        <v>5048</v>
      </c>
      <c r="G111" s="6">
        <f t="shared" si="2"/>
        <v>84.424199999999985</v>
      </c>
      <c r="H111" s="7">
        <f t="shared" si="3"/>
        <v>0.79</v>
      </c>
    </row>
    <row r="112" spans="1:8" ht="18" customHeight="1" x14ac:dyDescent="0.25">
      <c r="A112" s="1" t="s">
        <v>5128</v>
      </c>
      <c r="B112" s="1" t="s">
        <v>4571</v>
      </c>
      <c r="C112" s="1" t="s">
        <v>5047</v>
      </c>
      <c r="D112" s="6">
        <v>401.64</v>
      </c>
      <c r="E112" s="6">
        <v>317.29559999999998</v>
      </c>
      <c r="F112" s="1" t="s">
        <v>5048</v>
      </c>
      <c r="G112" s="6">
        <f t="shared" si="2"/>
        <v>84.344400000000007</v>
      </c>
      <c r="H112" s="7">
        <f t="shared" si="3"/>
        <v>0.78999999999999992</v>
      </c>
    </row>
    <row r="113" spans="1:8" ht="18" customHeight="1" x14ac:dyDescent="0.25">
      <c r="A113" s="1" t="s">
        <v>5158</v>
      </c>
      <c r="B113" s="1" t="s">
        <v>4606</v>
      </c>
      <c r="C113" s="1" t="s">
        <v>5047</v>
      </c>
      <c r="D113" s="6">
        <v>400.19</v>
      </c>
      <c r="E113" s="6">
        <v>340.16149999999999</v>
      </c>
      <c r="F113" s="1" t="s">
        <v>5048</v>
      </c>
      <c r="G113" s="6">
        <f t="shared" si="2"/>
        <v>60.028500000000008</v>
      </c>
      <c r="H113" s="7">
        <f t="shared" si="3"/>
        <v>0.85</v>
      </c>
    </row>
    <row r="114" spans="1:8" ht="18" customHeight="1" x14ac:dyDescent="0.25">
      <c r="A114" s="1" t="s">
        <v>5448</v>
      </c>
      <c r="B114" s="1" t="s">
        <v>4936</v>
      </c>
      <c r="C114" s="1" t="s">
        <v>5047</v>
      </c>
      <c r="D114" s="6">
        <v>400.09</v>
      </c>
      <c r="E114" s="6">
        <v>292.06569999999999</v>
      </c>
      <c r="F114" s="1" t="s">
        <v>5048</v>
      </c>
      <c r="G114" s="6">
        <f t="shared" si="2"/>
        <v>108.02429999999998</v>
      </c>
      <c r="H114" s="7">
        <f t="shared" si="3"/>
        <v>0.73</v>
      </c>
    </row>
    <row r="115" spans="1:8" ht="18" customHeight="1" x14ac:dyDescent="0.25">
      <c r="A115" s="1" t="s">
        <v>5049</v>
      </c>
      <c r="B115" s="1" t="s">
        <v>4483</v>
      </c>
      <c r="C115" s="1" t="s">
        <v>5047</v>
      </c>
      <c r="D115" s="6">
        <v>399.89</v>
      </c>
      <c r="E115" s="6">
        <v>323.91090000000003</v>
      </c>
      <c r="F115" s="1" t="s">
        <v>5048</v>
      </c>
      <c r="G115" s="6">
        <f t="shared" si="2"/>
        <v>75.97909999999996</v>
      </c>
      <c r="H115" s="7">
        <f t="shared" si="3"/>
        <v>0.81</v>
      </c>
    </row>
    <row r="116" spans="1:8" ht="18" customHeight="1" x14ac:dyDescent="0.25">
      <c r="A116" s="1" t="s">
        <v>5511</v>
      </c>
      <c r="B116" s="1" t="s">
        <v>5004</v>
      </c>
      <c r="C116" s="1" t="s">
        <v>5047</v>
      </c>
      <c r="D116" s="6">
        <v>399.26</v>
      </c>
      <c r="E116" s="6">
        <v>307.43020000000001</v>
      </c>
      <c r="F116" s="1" t="s">
        <v>5048</v>
      </c>
      <c r="G116" s="6">
        <f t="shared" si="2"/>
        <v>91.829799999999977</v>
      </c>
      <c r="H116" s="7">
        <f t="shared" si="3"/>
        <v>0.77</v>
      </c>
    </row>
    <row r="117" spans="1:8" ht="18" customHeight="1" x14ac:dyDescent="0.25">
      <c r="A117" s="1" t="s">
        <v>5119</v>
      </c>
      <c r="B117" s="1" t="s">
        <v>4560</v>
      </c>
      <c r="C117" s="1" t="s">
        <v>5047</v>
      </c>
      <c r="D117" s="6">
        <v>398.42</v>
      </c>
      <c r="E117" s="6">
        <v>326.70440000000002</v>
      </c>
      <c r="F117" s="1" t="s">
        <v>5048</v>
      </c>
      <c r="G117" s="6">
        <f t="shared" si="2"/>
        <v>71.715599999999995</v>
      </c>
      <c r="H117" s="7">
        <f t="shared" si="3"/>
        <v>0.82000000000000006</v>
      </c>
    </row>
    <row r="118" spans="1:8" ht="18" customHeight="1" x14ac:dyDescent="0.25">
      <c r="A118" s="1" t="s">
        <v>5404</v>
      </c>
      <c r="B118" s="1" t="s">
        <v>4890</v>
      </c>
      <c r="C118" s="1" t="s">
        <v>5047</v>
      </c>
      <c r="D118" s="6">
        <v>398.21</v>
      </c>
      <c r="E118" s="6">
        <v>298.65750000000003</v>
      </c>
      <c r="F118" s="1" t="s">
        <v>5048</v>
      </c>
      <c r="G118" s="6">
        <f t="shared" si="2"/>
        <v>99.552499999999952</v>
      </c>
      <c r="H118" s="7">
        <f t="shared" si="3"/>
        <v>0.75000000000000011</v>
      </c>
    </row>
    <row r="119" spans="1:8" ht="18" customHeight="1" x14ac:dyDescent="0.25">
      <c r="A119" s="1" t="s">
        <v>5458</v>
      </c>
      <c r="B119" s="1" t="s">
        <v>4949</v>
      </c>
      <c r="C119" s="1" t="s">
        <v>5047</v>
      </c>
      <c r="D119" s="6">
        <v>397.6</v>
      </c>
      <c r="E119" s="6">
        <v>290.24799999999999</v>
      </c>
      <c r="F119" s="1" t="s">
        <v>5048</v>
      </c>
      <c r="G119" s="6">
        <f t="shared" si="2"/>
        <v>107.35200000000003</v>
      </c>
      <c r="H119" s="7">
        <f t="shared" si="3"/>
        <v>0.73</v>
      </c>
    </row>
    <row r="120" spans="1:8" ht="18" customHeight="1" x14ac:dyDescent="0.25">
      <c r="A120" s="1" t="s">
        <v>5463</v>
      </c>
      <c r="B120" s="1" t="s">
        <v>4954</v>
      </c>
      <c r="C120" s="1" t="s">
        <v>5047</v>
      </c>
      <c r="D120" s="6">
        <v>397.05</v>
      </c>
      <c r="E120" s="6">
        <v>301.75799999999998</v>
      </c>
      <c r="F120" s="1" t="s">
        <v>5048</v>
      </c>
      <c r="G120" s="6">
        <f t="shared" si="2"/>
        <v>95.29200000000003</v>
      </c>
      <c r="H120" s="7">
        <f t="shared" si="3"/>
        <v>0.7599999999999999</v>
      </c>
    </row>
    <row r="121" spans="1:8" ht="18" customHeight="1" x14ac:dyDescent="0.25">
      <c r="A121" s="1" t="s">
        <v>5509</v>
      </c>
      <c r="B121" s="1" t="s">
        <v>5002</v>
      </c>
      <c r="C121" s="1" t="s">
        <v>5047</v>
      </c>
      <c r="D121" s="6">
        <v>396.7</v>
      </c>
      <c r="E121" s="6">
        <v>325.29399999999998</v>
      </c>
      <c r="F121" s="1" t="s">
        <v>5048</v>
      </c>
      <c r="G121" s="6">
        <f t="shared" si="2"/>
        <v>71.406000000000006</v>
      </c>
      <c r="H121" s="7">
        <f t="shared" si="3"/>
        <v>0.82</v>
      </c>
    </row>
    <row r="122" spans="1:8" ht="18" customHeight="1" x14ac:dyDescent="0.25">
      <c r="A122" s="1" t="s">
        <v>5455</v>
      </c>
      <c r="B122" s="1" t="s">
        <v>4944</v>
      </c>
      <c r="C122" s="1" t="s">
        <v>5047</v>
      </c>
      <c r="D122" s="6">
        <v>395.07</v>
      </c>
      <c r="E122" s="6">
        <v>347.66160000000002</v>
      </c>
      <c r="F122" s="1" t="s">
        <v>5048</v>
      </c>
      <c r="G122" s="6">
        <f t="shared" si="2"/>
        <v>47.408399999999972</v>
      </c>
      <c r="H122" s="7">
        <f t="shared" si="3"/>
        <v>0.88000000000000012</v>
      </c>
    </row>
    <row r="123" spans="1:8" ht="18" customHeight="1" x14ac:dyDescent="0.25">
      <c r="A123" s="1" t="s">
        <v>5268</v>
      </c>
      <c r="B123" s="1" t="s">
        <v>4737</v>
      </c>
      <c r="C123" s="1" t="s">
        <v>5047</v>
      </c>
      <c r="D123" s="6">
        <v>395.03</v>
      </c>
      <c r="E123" s="6">
        <v>284.42160000000001</v>
      </c>
      <c r="F123" s="1" t="s">
        <v>5048</v>
      </c>
      <c r="G123" s="6">
        <f t="shared" si="2"/>
        <v>110.60839999999996</v>
      </c>
      <c r="H123" s="7">
        <f t="shared" si="3"/>
        <v>0.72000000000000008</v>
      </c>
    </row>
    <row r="124" spans="1:8" ht="18" customHeight="1" x14ac:dyDescent="0.25">
      <c r="A124" s="1" t="s">
        <v>5056</v>
      </c>
      <c r="B124" s="1" t="s">
        <v>4491</v>
      </c>
      <c r="C124" s="1" t="s">
        <v>5047</v>
      </c>
      <c r="D124" s="6">
        <v>393.93</v>
      </c>
      <c r="E124" s="6">
        <v>342.71910000000003</v>
      </c>
      <c r="F124" s="1" t="s">
        <v>5048</v>
      </c>
      <c r="G124" s="6">
        <f t="shared" si="2"/>
        <v>51.210899999999981</v>
      </c>
      <c r="H124" s="7">
        <f t="shared" si="3"/>
        <v>0.87</v>
      </c>
    </row>
    <row r="125" spans="1:8" ht="18" customHeight="1" x14ac:dyDescent="0.25">
      <c r="A125" s="1" t="s">
        <v>5349</v>
      </c>
      <c r="B125" s="1" t="s">
        <v>4831</v>
      </c>
      <c r="C125" s="1" t="s">
        <v>5047</v>
      </c>
      <c r="D125" s="6">
        <v>393.57</v>
      </c>
      <c r="E125" s="6">
        <v>318.79169999999999</v>
      </c>
      <c r="F125" s="1" t="s">
        <v>5048</v>
      </c>
      <c r="G125" s="6">
        <f t="shared" si="2"/>
        <v>74.778300000000002</v>
      </c>
      <c r="H125" s="7">
        <f t="shared" si="3"/>
        <v>0.80999999999999994</v>
      </c>
    </row>
    <row r="126" spans="1:8" ht="18" customHeight="1" x14ac:dyDescent="0.25">
      <c r="A126" s="1" t="s">
        <v>5092</v>
      </c>
      <c r="B126" s="1" t="s">
        <v>4531</v>
      </c>
      <c r="C126" s="1" t="s">
        <v>5047</v>
      </c>
      <c r="D126" s="6">
        <v>392.93</v>
      </c>
      <c r="E126" s="6">
        <v>302.55610000000001</v>
      </c>
      <c r="F126" s="1" t="s">
        <v>5048</v>
      </c>
      <c r="G126" s="6">
        <f t="shared" si="2"/>
        <v>90.373899999999992</v>
      </c>
      <c r="H126" s="7">
        <f t="shared" si="3"/>
        <v>0.77</v>
      </c>
    </row>
    <row r="127" spans="1:8" ht="18" customHeight="1" x14ac:dyDescent="0.25">
      <c r="A127" s="1" t="s">
        <v>5120</v>
      </c>
      <c r="B127" s="1" t="s">
        <v>4561</v>
      </c>
      <c r="C127" s="1" t="s">
        <v>5047</v>
      </c>
      <c r="D127" s="6">
        <v>391.6</v>
      </c>
      <c r="E127" s="6">
        <v>301.53199999999998</v>
      </c>
      <c r="F127" s="1" t="s">
        <v>5048</v>
      </c>
      <c r="G127" s="6">
        <f t="shared" si="2"/>
        <v>90.06800000000004</v>
      </c>
      <c r="H127" s="7">
        <f t="shared" si="3"/>
        <v>0.76999999999999991</v>
      </c>
    </row>
    <row r="128" spans="1:8" ht="18" customHeight="1" x14ac:dyDescent="0.25">
      <c r="A128" s="1" t="s">
        <v>5326</v>
      </c>
      <c r="B128" s="1" t="s">
        <v>4803</v>
      </c>
      <c r="C128" s="1" t="s">
        <v>5047</v>
      </c>
      <c r="D128" s="6">
        <v>390.66</v>
      </c>
      <c r="E128" s="6">
        <v>292.995</v>
      </c>
      <c r="F128" s="1" t="s">
        <v>5048</v>
      </c>
      <c r="G128" s="6">
        <f t="shared" si="2"/>
        <v>97.66500000000002</v>
      </c>
      <c r="H128" s="7">
        <f t="shared" si="3"/>
        <v>0.75</v>
      </c>
    </row>
    <row r="129" spans="1:8" ht="18" customHeight="1" x14ac:dyDescent="0.25">
      <c r="A129" s="1" t="s">
        <v>5402</v>
      </c>
      <c r="B129" s="1" t="s">
        <v>4888</v>
      </c>
      <c r="C129" s="1" t="s">
        <v>5047</v>
      </c>
      <c r="D129" s="6">
        <v>390.59</v>
      </c>
      <c r="E129" s="6">
        <v>320.28379999999999</v>
      </c>
      <c r="F129" s="1" t="s">
        <v>5048</v>
      </c>
      <c r="G129" s="6">
        <f t="shared" si="2"/>
        <v>70.30619999999999</v>
      </c>
      <c r="H129" s="7">
        <f t="shared" si="3"/>
        <v>0.82000000000000006</v>
      </c>
    </row>
    <row r="130" spans="1:8" ht="18" customHeight="1" x14ac:dyDescent="0.25">
      <c r="A130" s="1" t="s">
        <v>5491</v>
      </c>
      <c r="B130" s="1" t="s">
        <v>4984</v>
      </c>
      <c r="C130" s="1" t="s">
        <v>5047</v>
      </c>
      <c r="D130" s="6">
        <v>386.19</v>
      </c>
      <c r="E130" s="6">
        <v>281.9187</v>
      </c>
      <c r="F130" s="1" t="s">
        <v>5048</v>
      </c>
      <c r="G130" s="6">
        <f t="shared" ref="G130:G193" si="4">D130-E130</f>
        <v>104.2713</v>
      </c>
      <c r="H130" s="7">
        <f t="shared" ref="H130:H193" si="5">IFERROR(E130/D130,0)</f>
        <v>0.73</v>
      </c>
    </row>
    <row r="131" spans="1:8" ht="18" customHeight="1" x14ac:dyDescent="0.25">
      <c r="A131" s="1" t="s">
        <v>5219</v>
      </c>
      <c r="B131" s="1" t="s">
        <v>4680</v>
      </c>
      <c r="C131" s="1" t="s">
        <v>5047</v>
      </c>
      <c r="D131" s="6">
        <v>385.25</v>
      </c>
      <c r="E131" s="6">
        <v>308.2</v>
      </c>
      <c r="F131" s="1" t="s">
        <v>5048</v>
      </c>
      <c r="G131" s="6">
        <f t="shared" si="4"/>
        <v>77.050000000000011</v>
      </c>
      <c r="H131" s="7">
        <f t="shared" si="5"/>
        <v>0.79999999999999993</v>
      </c>
    </row>
    <row r="132" spans="1:8" ht="18" customHeight="1" x14ac:dyDescent="0.25">
      <c r="A132" s="1" t="s">
        <v>5513</v>
      </c>
      <c r="B132" s="1" t="s">
        <v>5006</v>
      </c>
      <c r="C132" s="1" t="s">
        <v>5047</v>
      </c>
      <c r="D132" s="6">
        <v>385.11</v>
      </c>
      <c r="E132" s="6">
        <v>296.53469999999999</v>
      </c>
      <c r="F132" s="1" t="s">
        <v>5048</v>
      </c>
      <c r="G132" s="6">
        <f t="shared" si="4"/>
        <v>88.575300000000027</v>
      </c>
      <c r="H132" s="7">
        <f t="shared" si="5"/>
        <v>0.76999999999999991</v>
      </c>
    </row>
    <row r="133" spans="1:8" ht="18" customHeight="1" x14ac:dyDescent="0.25">
      <c r="A133" s="1" t="s">
        <v>5494</v>
      </c>
      <c r="B133" s="1" t="s">
        <v>4987</v>
      </c>
      <c r="C133" s="1" t="s">
        <v>5047</v>
      </c>
      <c r="D133" s="6">
        <v>384.78</v>
      </c>
      <c r="E133" s="6">
        <v>292.43279999999999</v>
      </c>
      <c r="F133" s="1" t="s">
        <v>5048</v>
      </c>
      <c r="G133" s="6">
        <f t="shared" si="4"/>
        <v>92.347199999999987</v>
      </c>
      <c r="H133" s="7">
        <f t="shared" si="5"/>
        <v>0.76</v>
      </c>
    </row>
    <row r="134" spans="1:8" ht="18" customHeight="1" x14ac:dyDescent="0.25">
      <c r="A134" s="1" t="s">
        <v>5255</v>
      </c>
      <c r="B134" s="1" t="s">
        <v>4720</v>
      </c>
      <c r="C134" s="1" t="s">
        <v>5047</v>
      </c>
      <c r="D134" s="6">
        <v>384.55</v>
      </c>
      <c r="E134" s="6">
        <v>303.79450000000003</v>
      </c>
      <c r="F134" s="1" t="s">
        <v>5048</v>
      </c>
      <c r="G134" s="6">
        <f t="shared" si="4"/>
        <v>80.755499999999984</v>
      </c>
      <c r="H134" s="7">
        <f t="shared" si="5"/>
        <v>0.79</v>
      </c>
    </row>
    <row r="135" spans="1:8" ht="18" customHeight="1" x14ac:dyDescent="0.25">
      <c r="A135" s="1" t="s">
        <v>5186</v>
      </c>
      <c r="B135" s="1" t="s">
        <v>4642</v>
      </c>
      <c r="C135" s="1" t="s">
        <v>5047</v>
      </c>
      <c r="D135" s="6">
        <v>384.34</v>
      </c>
      <c r="E135" s="6">
        <v>311.31540000000001</v>
      </c>
      <c r="F135" s="1" t="s">
        <v>5048</v>
      </c>
      <c r="G135" s="6">
        <f t="shared" si="4"/>
        <v>73.024599999999964</v>
      </c>
      <c r="H135" s="7">
        <f t="shared" si="5"/>
        <v>0.81</v>
      </c>
    </row>
    <row r="136" spans="1:8" ht="18" customHeight="1" x14ac:dyDescent="0.25">
      <c r="A136" s="1" t="s">
        <v>5497</v>
      </c>
      <c r="B136" s="1" t="s">
        <v>4990</v>
      </c>
      <c r="C136" s="1" t="s">
        <v>5047</v>
      </c>
      <c r="D136" s="6">
        <v>384.14</v>
      </c>
      <c r="E136" s="6">
        <v>330.36040000000003</v>
      </c>
      <c r="F136" s="1" t="s">
        <v>5048</v>
      </c>
      <c r="G136" s="6">
        <f t="shared" si="4"/>
        <v>53.779599999999959</v>
      </c>
      <c r="H136" s="7">
        <f t="shared" si="5"/>
        <v>0.8600000000000001</v>
      </c>
    </row>
    <row r="137" spans="1:8" ht="18" customHeight="1" x14ac:dyDescent="0.25">
      <c r="A137" s="1" t="s">
        <v>5336</v>
      </c>
      <c r="B137" s="1" t="s">
        <v>4814</v>
      </c>
      <c r="C137" s="1" t="s">
        <v>5047</v>
      </c>
      <c r="D137" s="6">
        <v>383.42</v>
      </c>
      <c r="E137" s="6">
        <v>306.73599999999999</v>
      </c>
      <c r="F137" s="1" t="s">
        <v>5048</v>
      </c>
      <c r="G137" s="6">
        <f t="shared" si="4"/>
        <v>76.684000000000026</v>
      </c>
      <c r="H137" s="7">
        <f t="shared" si="5"/>
        <v>0.79999999999999993</v>
      </c>
    </row>
    <row r="138" spans="1:8" ht="18" customHeight="1" x14ac:dyDescent="0.25">
      <c r="A138" s="1" t="s">
        <v>5141</v>
      </c>
      <c r="B138" s="1" t="s">
        <v>4587</v>
      </c>
      <c r="C138" s="1" t="s">
        <v>5047</v>
      </c>
      <c r="D138" s="6">
        <v>381.83</v>
      </c>
      <c r="E138" s="6">
        <v>316.91890000000001</v>
      </c>
      <c r="F138" s="1" t="s">
        <v>5048</v>
      </c>
      <c r="G138" s="6">
        <f t="shared" si="4"/>
        <v>64.911099999999976</v>
      </c>
      <c r="H138" s="7">
        <f t="shared" si="5"/>
        <v>0.83000000000000007</v>
      </c>
    </row>
    <row r="139" spans="1:8" ht="18" customHeight="1" x14ac:dyDescent="0.25">
      <c r="A139" s="1" t="s">
        <v>5487</v>
      </c>
      <c r="B139" s="1" t="s">
        <v>4980</v>
      </c>
      <c r="C139" s="1" t="s">
        <v>5047</v>
      </c>
      <c r="D139" s="6">
        <v>381.74</v>
      </c>
      <c r="E139" s="6">
        <v>301.57459999999998</v>
      </c>
      <c r="F139" s="1" t="s">
        <v>5048</v>
      </c>
      <c r="G139" s="6">
        <f t="shared" si="4"/>
        <v>80.165400000000034</v>
      </c>
      <c r="H139" s="7">
        <f t="shared" si="5"/>
        <v>0.78999999999999992</v>
      </c>
    </row>
    <row r="140" spans="1:8" ht="18" customHeight="1" x14ac:dyDescent="0.25">
      <c r="A140" s="1" t="s">
        <v>5273</v>
      </c>
      <c r="B140" s="1" t="s">
        <v>4744</v>
      </c>
      <c r="C140" s="1" t="s">
        <v>5047</v>
      </c>
      <c r="D140" s="6">
        <v>380.64</v>
      </c>
      <c r="E140" s="6">
        <v>338.76960000000003</v>
      </c>
      <c r="F140" s="1" t="s">
        <v>5048</v>
      </c>
      <c r="G140" s="6">
        <f t="shared" si="4"/>
        <v>41.870399999999961</v>
      </c>
      <c r="H140" s="7">
        <f t="shared" si="5"/>
        <v>0.89000000000000012</v>
      </c>
    </row>
    <row r="141" spans="1:8" ht="18" customHeight="1" x14ac:dyDescent="0.25">
      <c r="A141" s="1" t="s">
        <v>5387</v>
      </c>
      <c r="B141" s="1" t="s">
        <v>4871</v>
      </c>
      <c r="C141" s="1" t="s">
        <v>5047</v>
      </c>
      <c r="D141" s="6">
        <v>379.87</v>
      </c>
      <c r="E141" s="6">
        <v>341.88299999999998</v>
      </c>
      <c r="F141" s="1" t="s">
        <v>5048</v>
      </c>
      <c r="G141" s="6">
        <f t="shared" si="4"/>
        <v>37.987000000000023</v>
      </c>
      <c r="H141" s="7">
        <f t="shared" si="5"/>
        <v>0.89999999999999991</v>
      </c>
    </row>
    <row r="142" spans="1:8" ht="18" customHeight="1" x14ac:dyDescent="0.25">
      <c r="A142" s="1" t="s">
        <v>5178</v>
      </c>
      <c r="B142" s="1" t="s">
        <v>4633</v>
      </c>
      <c r="C142" s="1" t="s">
        <v>5047</v>
      </c>
      <c r="D142" s="6">
        <v>379.68</v>
      </c>
      <c r="E142" s="6">
        <v>337.91520000000003</v>
      </c>
      <c r="F142" s="1" t="s">
        <v>5048</v>
      </c>
      <c r="G142" s="6">
        <f t="shared" si="4"/>
        <v>41.76479999999998</v>
      </c>
      <c r="H142" s="7">
        <f t="shared" si="5"/>
        <v>0.89</v>
      </c>
    </row>
    <row r="143" spans="1:8" ht="18" customHeight="1" x14ac:dyDescent="0.25">
      <c r="A143" s="1" t="s">
        <v>5224</v>
      </c>
      <c r="B143" s="1" t="s">
        <v>4685</v>
      </c>
      <c r="C143" s="1" t="s">
        <v>5047</v>
      </c>
      <c r="D143" s="6">
        <v>377.73</v>
      </c>
      <c r="E143" s="6">
        <v>283.29750000000001</v>
      </c>
      <c r="F143" s="1" t="s">
        <v>5048</v>
      </c>
      <c r="G143" s="6">
        <f t="shared" si="4"/>
        <v>94.432500000000005</v>
      </c>
      <c r="H143" s="7">
        <f t="shared" si="5"/>
        <v>0.75</v>
      </c>
    </row>
    <row r="144" spans="1:8" ht="18" customHeight="1" x14ac:dyDescent="0.25">
      <c r="A144" s="1" t="s">
        <v>5151</v>
      </c>
      <c r="B144" s="1" t="s">
        <v>4598</v>
      </c>
      <c r="C144" s="1" t="s">
        <v>5047</v>
      </c>
      <c r="D144" s="6">
        <v>377.69</v>
      </c>
      <c r="E144" s="6">
        <v>332.36720000000003</v>
      </c>
      <c r="F144" s="1" t="s">
        <v>5048</v>
      </c>
      <c r="G144" s="6">
        <f t="shared" si="4"/>
        <v>45.322799999999972</v>
      </c>
      <c r="H144" s="7">
        <f t="shared" si="5"/>
        <v>0.88000000000000012</v>
      </c>
    </row>
    <row r="145" spans="1:8" ht="18" customHeight="1" x14ac:dyDescent="0.25">
      <c r="A145" s="1" t="s">
        <v>5367</v>
      </c>
      <c r="B145" s="1" t="s">
        <v>4850</v>
      </c>
      <c r="C145" s="1" t="s">
        <v>5047</v>
      </c>
      <c r="D145" s="6">
        <v>377.65</v>
      </c>
      <c r="E145" s="6">
        <v>321.0025</v>
      </c>
      <c r="F145" s="1" t="s">
        <v>5048</v>
      </c>
      <c r="G145" s="6">
        <f t="shared" si="4"/>
        <v>56.64749999999998</v>
      </c>
      <c r="H145" s="7">
        <f t="shared" si="5"/>
        <v>0.85000000000000009</v>
      </c>
    </row>
    <row r="146" spans="1:8" ht="18" customHeight="1" x14ac:dyDescent="0.25">
      <c r="A146" s="1" t="s">
        <v>5115</v>
      </c>
      <c r="B146" s="1" t="s">
        <v>4556</v>
      </c>
      <c r="C146" s="1" t="s">
        <v>5047</v>
      </c>
      <c r="D146" s="6">
        <v>377.51</v>
      </c>
      <c r="E146" s="6">
        <v>268.03210000000001</v>
      </c>
      <c r="F146" s="1" t="s">
        <v>5048</v>
      </c>
      <c r="G146" s="6">
        <f t="shared" si="4"/>
        <v>109.47789999999998</v>
      </c>
      <c r="H146" s="7">
        <f t="shared" si="5"/>
        <v>0.71000000000000008</v>
      </c>
    </row>
    <row r="147" spans="1:8" ht="18" customHeight="1" x14ac:dyDescent="0.25">
      <c r="A147" s="1" t="s">
        <v>5145</v>
      </c>
      <c r="B147" s="1" t="s">
        <v>4592</v>
      </c>
      <c r="C147" s="1" t="s">
        <v>5047</v>
      </c>
      <c r="D147" s="6">
        <v>376.57</v>
      </c>
      <c r="E147" s="6">
        <v>305.02170000000001</v>
      </c>
      <c r="F147" s="1" t="s">
        <v>5048</v>
      </c>
      <c r="G147" s="6">
        <f t="shared" si="4"/>
        <v>71.548299999999983</v>
      </c>
      <c r="H147" s="7">
        <f t="shared" si="5"/>
        <v>0.81</v>
      </c>
    </row>
    <row r="148" spans="1:8" ht="18" customHeight="1" x14ac:dyDescent="0.25">
      <c r="A148" s="1" t="s">
        <v>5496</v>
      </c>
      <c r="B148" s="1" t="s">
        <v>4989</v>
      </c>
      <c r="C148" s="1" t="s">
        <v>5047</v>
      </c>
      <c r="D148" s="6">
        <v>373.63</v>
      </c>
      <c r="E148" s="6">
        <v>328.7944</v>
      </c>
      <c r="F148" s="1" t="s">
        <v>5048</v>
      </c>
      <c r="G148" s="6">
        <f t="shared" si="4"/>
        <v>44.835599999999999</v>
      </c>
      <c r="H148" s="7">
        <f t="shared" si="5"/>
        <v>0.88</v>
      </c>
    </row>
    <row r="149" spans="1:8" ht="18" customHeight="1" x14ac:dyDescent="0.25">
      <c r="A149" s="1" t="s">
        <v>5234</v>
      </c>
      <c r="B149" s="1" t="s">
        <v>4697</v>
      </c>
      <c r="C149" s="1" t="s">
        <v>5047</v>
      </c>
      <c r="D149" s="6">
        <v>373.48</v>
      </c>
      <c r="E149" s="6">
        <v>309.98840000000001</v>
      </c>
      <c r="F149" s="1" t="s">
        <v>5048</v>
      </c>
      <c r="G149" s="6">
        <f t="shared" si="4"/>
        <v>63.491600000000005</v>
      </c>
      <c r="H149" s="7">
        <f t="shared" si="5"/>
        <v>0.83</v>
      </c>
    </row>
    <row r="150" spans="1:8" ht="18" customHeight="1" x14ac:dyDescent="0.25">
      <c r="A150" s="1" t="s">
        <v>5502</v>
      </c>
      <c r="B150" s="1" t="s">
        <v>4995</v>
      </c>
      <c r="C150" s="1" t="s">
        <v>5047</v>
      </c>
      <c r="D150" s="6">
        <v>372.97</v>
      </c>
      <c r="E150" s="6">
        <v>328.21359999999999</v>
      </c>
      <c r="F150" s="1" t="s">
        <v>5048</v>
      </c>
      <c r="G150" s="6">
        <f t="shared" si="4"/>
        <v>44.756400000000042</v>
      </c>
      <c r="H150" s="7">
        <f t="shared" si="5"/>
        <v>0.87999999999999989</v>
      </c>
    </row>
    <row r="151" spans="1:8" ht="18" customHeight="1" x14ac:dyDescent="0.25">
      <c r="A151" s="1" t="s">
        <v>5064</v>
      </c>
      <c r="B151" s="1" t="s">
        <v>4500</v>
      </c>
      <c r="C151" s="1" t="s">
        <v>5047</v>
      </c>
      <c r="D151" s="6">
        <v>372.55</v>
      </c>
      <c r="E151" s="6">
        <v>312.94200000000001</v>
      </c>
      <c r="F151" s="1" t="s">
        <v>5048</v>
      </c>
      <c r="G151" s="6">
        <f t="shared" si="4"/>
        <v>59.608000000000004</v>
      </c>
      <c r="H151" s="7">
        <f t="shared" si="5"/>
        <v>0.84</v>
      </c>
    </row>
    <row r="152" spans="1:8" ht="18" customHeight="1" x14ac:dyDescent="0.25">
      <c r="A152" s="1" t="s">
        <v>5187</v>
      </c>
      <c r="B152" s="1" t="s">
        <v>4643</v>
      </c>
      <c r="C152" s="1" t="s">
        <v>5047</v>
      </c>
      <c r="D152" s="6">
        <v>371.52</v>
      </c>
      <c r="E152" s="6">
        <v>274.9248</v>
      </c>
      <c r="F152" s="1" t="s">
        <v>5048</v>
      </c>
      <c r="G152" s="6">
        <f t="shared" si="4"/>
        <v>96.595199999999977</v>
      </c>
      <c r="H152" s="7">
        <f t="shared" si="5"/>
        <v>0.7400000000000001</v>
      </c>
    </row>
    <row r="153" spans="1:8" ht="18" customHeight="1" x14ac:dyDescent="0.25">
      <c r="A153" s="1" t="s">
        <v>5052</v>
      </c>
      <c r="B153" s="1" t="s">
        <v>4486</v>
      </c>
      <c r="C153" s="1" t="s">
        <v>5047</v>
      </c>
      <c r="D153" s="6">
        <v>371.08</v>
      </c>
      <c r="E153" s="6">
        <v>278.31</v>
      </c>
      <c r="F153" s="1" t="s">
        <v>5048</v>
      </c>
      <c r="G153" s="6">
        <f t="shared" si="4"/>
        <v>92.769999999999982</v>
      </c>
      <c r="H153" s="7">
        <f t="shared" si="5"/>
        <v>0.75</v>
      </c>
    </row>
    <row r="154" spans="1:8" ht="18" customHeight="1" x14ac:dyDescent="0.25">
      <c r="A154" s="1" t="s">
        <v>5359</v>
      </c>
      <c r="B154" s="1" t="s">
        <v>4842</v>
      </c>
      <c r="C154" s="1" t="s">
        <v>5047</v>
      </c>
      <c r="D154" s="6">
        <v>370.78</v>
      </c>
      <c r="E154" s="6">
        <v>329.99419999999998</v>
      </c>
      <c r="F154" s="1" t="s">
        <v>5048</v>
      </c>
      <c r="G154" s="6">
        <f t="shared" si="4"/>
        <v>40.785799999999995</v>
      </c>
      <c r="H154" s="7">
        <f t="shared" si="5"/>
        <v>0.89</v>
      </c>
    </row>
    <row r="155" spans="1:8" ht="18" customHeight="1" x14ac:dyDescent="0.25">
      <c r="A155" s="1" t="s">
        <v>5319</v>
      </c>
      <c r="B155" s="1" t="s">
        <v>4796</v>
      </c>
      <c r="C155" s="1" t="s">
        <v>5047</v>
      </c>
      <c r="D155" s="6">
        <v>370.43</v>
      </c>
      <c r="E155" s="6">
        <v>281.52679999999998</v>
      </c>
      <c r="F155" s="1" t="s">
        <v>5048</v>
      </c>
      <c r="G155" s="6">
        <f t="shared" si="4"/>
        <v>88.903200000000027</v>
      </c>
      <c r="H155" s="7">
        <f t="shared" si="5"/>
        <v>0.7599999999999999</v>
      </c>
    </row>
    <row r="156" spans="1:8" ht="18" customHeight="1" x14ac:dyDescent="0.25">
      <c r="A156" s="1" t="s">
        <v>5533</v>
      </c>
      <c r="B156" s="1" t="s">
        <v>5026</v>
      </c>
      <c r="C156" s="1" t="s">
        <v>5047</v>
      </c>
      <c r="D156" s="6">
        <v>370.37</v>
      </c>
      <c r="E156" s="6">
        <v>299.99970000000002</v>
      </c>
      <c r="F156" s="1" t="s">
        <v>5048</v>
      </c>
      <c r="G156" s="6">
        <f t="shared" si="4"/>
        <v>70.370299999999986</v>
      </c>
      <c r="H156" s="7">
        <f t="shared" si="5"/>
        <v>0.81</v>
      </c>
    </row>
    <row r="157" spans="1:8" ht="18" customHeight="1" x14ac:dyDescent="0.25">
      <c r="A157" s="1" t="s">
        <v>5114</v>
      </c>
      <c r="B157" s="1" t="s">
        <v>4555</v>
      </c>
      <c r="C157" s="1" t="s">
        <v>5047</v>
      </c>
      <c r="D157" s="6">
        <v>370.31</v>
      </c>
      <c r="E157" s="6">
        <v>277.73250000000002</v>
      </c>
      <c r="F157" s="1" t="s">
        <v>5048</v>
      </c>
      <c r="G157" s="6">
        <f t="shared" si="4"/>
        <v>92.577499999999986</v>
      </c>
      <c r="H157" s="7">
        <f t="shared" si="5"/>
        <v>0.75</v>
      </c>
    </row>
    <row r="158" spans="1:8" ht="18" customHeight="1" x14ac:dyDescent="0.25">
      <c r="A158" s="1" t="s">
        <v>5057</v>
      </c>
      <c r="B158" s="1" t="s">
        <v>4493</v>
      </c>
      <c r="C158" s="1" t="s">
        <v>5047</v>
      </c>
      <c r="D158" s="6">
        <v>369.59</v>
      </c>
      <c r="E158" s="6">
        <v>295.67200000000003</v>
      </c>
      <c r="F158" s="1" t="s">
        <v>5048</v>
      </c>
      <c r="G158" s="6">
        <f t="shared" si="4"/>
        <v>73.91799999999995</v>
      </c>
      <c r="H158" s="7">
        <f t="shared" si="5"/>
        <v>0.80000000000000016</v>
      </c>
    </row>
    <row r="159" spans="1:8" ht="18" customHeight="1" x14ac:dyDescent="0.25">
      <c r="A159" s="1" t="s">
        <v>5405</v>
      </c>
      <c r="B159" s="1" t="s">
        <v>4891</v>
      </c>
      <c r="C159" s="1" t="s">
        <v>5047</v>
      </c>
      <c r="D159" s="6">
        <v>368.55</v>
      </c>
      <c r="E159" s="6">
        <v>276.41250000000002</v>
      </c>
      <c r="F159" s="1" t="s">
        <v>5048</v>
      </c>
      <c r="G159" s="6">
        <f t="shared" si="4"/>
        <v>92.137499999999989</v>
      </c>
      <c r="H159" s="7">
        <f t="shared" si="5"/>
        <v>0.75</v>
      </c>
    </row>
    <row r="160" spans="1:8" ht="18" customHeight="1" x14ac:dyDescent="0.25">
      <c r="A160" s="1" t="s">
        <v>5439</v>
      </c>
      <c r="B160" s="1" t="s">
        <v>4926</v>
      </c>
      <c r="C160" s="1" t="s">
        <v>5047</v>
      </c>
      <c r="D160" s="6">
        <v>366</v>
      </c>
      <c r="E160" s="6">
        <v>296.45999999999998</v>
      </c>
      <c r="F160" s="1" t="s">
        <v>5048</v>
      </c>
      <c r="G160" s="6">
        <f t="shared" si="4"/>
        <v>69.54000000000002</v>
      </c>
      <c r="H160" s="7">
        <f t="shared" si="5"/>
        <v>0.80999999999999994</v>
      </c>
    </row>
    <row r="161" spans="1:8" ht="18" customHeight="1" x14ac:dyDescent="0.25">
      <c r="A161" s="1" t="s">
        <v>5313</v>
      </c>
      <c r="B161" s="1" t="s">
        <v>4790</v>
      </c>
      <c r="C161" s="1" t="s">
        <v>5047</v>
      </c>
      <c r="D161" s="6">
        <v>365.27</v>
      </c>
      <c r="E161" s="6">
        <v>314.13220000000001</v>
      </c>
      <c r="F161" s="1" t="s">
        <v>5048</v>
      </c>
      <c r="G161" s="6">
        <f t="shared" si="4"/>
        <v>51.13779999999997</v>
      </c>
      <c r="H161" s="7">
        <f t="shared" si="5"/>
        <v>0.8600000000000001</v>
      </c>
    </row>
    <row r="162" spans="1:8" ht="18" customHeight="1" x14ac:dyDescent="0.25">
      <c r="A162" s="1" t="s">
        <v>5201</v>
      </c>
      <c r="B162" s="1" t="s">
        <v>4660</v>
      </c>
      <c r="C162" s="1" t="s">
        <v>5047</v>
      </c>
      <c r="D162" s="6">
        <v>363.64</v>
      </c>
      <c r="E162" s="6">
        <v>316.36680000000001</v>
      </c>
      <c r="F162" s="1" t="s">
        <v>5048</v>
      </c>
      <c r="G162" s="6">
        <f t="shared" si="4"/>
        <v>47.273199999999974</v>
      </c>
      <c r="H162" s="7">
        <f t="shared" si="5"/>
        <v>0.87000000000000011</v>
      </c>
    </row>
    <row r="163" spans="1:8" ht="18" customHeight="1" x14ac:dyDescent="0.25">
      <c r="A163" s="1" t="s">
        <v>5183</v>
      </c>
      <c r="B163" s="1" t="s">
        <v>4639</v>
      </c>
      <c r="C163" s="1" t="s">
        <v>5047</v>
      </c>
      <c r="D163" s="6">
        <v>363.31</v>
      </c>
      <c r="E163" s="6">
        <v>287.01490000000001</v>
      </c>
      <c r="F163" s="1" t="s">
        <v>5048</v>
      </c>
      <c r="G163" s="6">
        <f t="shared" si="4"/>
        <v>76.295099999999991</v>
      </c>
      <c r="H163" s="7">
        <f t="shared" si="5"/>
        <v>0.79</v>
      </c>
    </row>
    <row r="164" spans="1:8" ht="18" customHeight="1" x14ac:dyDescent="0.25">
      <c r="A164" s="1" t="s">
        <v>5309</v>
      </c>
      <c r="B164" s="1" t="s">
        <v>4786</v>
      </c>
      <c r="C164" s="1" t="s">
        <v>5047</v>
      </c>
      <c r="D164" s="6">
        <v>362.93</v>
      </c>
      <c r="E164" s="6">
        <v>301.2319</v>
      </c>
      <c r="F164" s="1" t="s">
        <v>5048</v>
      </c>
      <c r="G164" s="6">
        <f t="shared" si="4"/>
        <v>61.698100000000011</v>
      </c>
      <c r="H164" s="7">
        <f t="shared" si="5"/>
        <v>0.83</v>
      </c>
    </row>
    <row r="165" spans="1:8" ht="18" customHeight="1" x14ac:dyDescent="0.25">
      <c r="A165" s="1" t="s">
        <v>5130</v>
      </c>
      <c r="B165" s="1" t="s">
        <v>4573</v>
      </c>
      <c r="C165" s="1" t="s">
        <v>5047</v>
      </c>
      <c r="D165" s="6">
        <v>361.7</v>
      </c>
      <c r="E165" s="6">
        <v>311.06200000000001</v>
      </c>
      <c r="F165" s="1" t="s">
        <v>5048</v>
      </c>
      <c r="G165" s="6">
        <f t="shared" si="4"/>
        <v>50.637999999999977</v>
      </c>
      <c r="H165" s="7">
        <f t="shared" si="5"/>
        <v>0.8600000000000001</v>
      </c>
    </row>
    <row r="166" spans="1:8" ht="18" customHeight="1" x14ac:dyDescent="0.25">
      <c r="A166" s="1" t="s">
        <v>5438</v>
      </c>
      <c r="B166" s="1" t="s">
        <v>4925</v>
      </c>
      <c r="C166" s="1" t="s">
        <v>5047</v>
      </c>
      <c r="D166" s="6">
        <v>361.7</v>
      </c>
      <c r="E166" s="6">
        <v>311.06200000000001</v>
      </c>
      <c r="F166" s="1" t="s">
        <v>5048</v>
      </c>
      <c r="G166" s="6">
        <f t="shared" si="4"/>
        <v>50.637999999999977</v>
      </c>
      <c r="H166" s="7">
        <f t="shared" si="5"/>
        <v>0.8600000000000001</v>
      </c>
    </row>
    <row r="167" spans="1:8" ht="18" customHeight="1" x14ac:dyDescent="0.25">
      <c r="A167" s="1" t="s">
        <v>5500</v>
      </c>
      <c r="B167" s="1" t="s">
        <v>4993</v>
      </c>
      <c r="C167" s="1" t="s">
        <v>5047</v>
      </c>
      <c r="D167" s="6">
        <v>358.63</v>
      </c>
      <c r="E167" s="6">
        <v>268.97250000000003</v>
      </c>
      <c r="F167" s="1" t="s">
        <v>5048</v>
      </c>
      <c r="G167" s="6">
        <f t="shared" si="4"/>
        <v>89.65749999999997</v>
      </c>
      <c r="H167" s="7">
        <f t="shared" si="5"/>
        <v>0.75000000000000011</v>
      </c>
    </row>
    <row r="168" spans="1:8" ht="18" customHeight="1" x14ac:dyDescent="0.25">
      <c r="A168" s="1" t="s">
        <v>5293</v>
      </c>
      <c r="B168" s="1" t="s">
        <v>4768</v>
      </c>
      <c r="C168" s="1" t="s">
        <v>5047</v>
      </c>
      <c r="D168" s="6">
        <v>358.43</v>
      </c>
      <c r="E168" s="6">
        <v>286.74400000000003</v>
      </c>
      <c r="F168" s="1" t="s">
        <v>5048</v>
      </c>
      <c r="G168" s="6">
        <f t="shared" si="4"/>
        <v>71.685999999999979</v>
      </c>
      <c r="H168" s="7">
        <f t="shared" si="5"/>
        <v>0.8</v>
      </c>
    </row>
    <row r="169" spans="1:8" ht="18" customHeight="1" x14ac:dyDescent="0.25">
      <c r="A169" s="1" t="s">
        <v>5058</v>
      </c>
      <c r="B169" s="1" t="s">
        <v>4494</v>
      </c>
      <c r="C169" s="1" t="s">
        <v>5047</v>
      </c>
      <c r="D169" s="6">
        <v>358.17</v>
      </c>
      <c r="E169" s="6">
        <v>268.6275</v>
      </c>
      <c r="F169" s="1" t="s">
        <v>5048</v>
      </c>
      <c r="G169" s="6">
        <f t="shared" si="4"/>
        <v>89.542500000000018</v>
      </c>
      <c r="H169" s="7">
        <f t="shared" si="5"/>
        <v>0.75</v>
      </c>
    </row>
    <row r="170" spans="1:8" ht="18" customHeight="1" x14ac:dyDescent="0.25">
      <c r="A170" s="1" t="s">
        <v>5243</v>
      </c>
      <c r="B170" s="1" t="s">
        <v>4706</v>
      </c>
      <c r="C170" s="1" t="s">
        <v>5047</v>
      </c>
      <c r="D170" s="6">
        <v>357.07</v>
      </c>
      <c r="E170" s="6">
        <v>310.65089999999998</v>
      </c>
      <c r="F170" s="1" t="s">
        <v>5048</v>
      </c>
      <c r="G170" s="6">
        <f t="shared" si="4"/>
        <v>46.419100000000014</v>
      </c>
      <c r="H170" s="7">
        <f t="shared" si="5"/>
        <v>0.87</v>
      </c>
    </row>
    <row r="171" spans="1:8" ht="18" customHeight="1" x14ac:dyDescent="0.25">
      <c r="A171" s="1" t="s">
        <v>5390</v>
      </c>
      <c r="B171" s="1" t="s">
        <v>4875</v>
      </c>
      <c r="C171" s="1" t="s">
        <v>5047</v>
      </c>
      <c r="D171" s="6">
        <v>356.63</v>
      </c>
      <c r="E171" s="6">
        <v>256.77359999999999</v>
      </c>
      <c r="F171" s="1" t="s">
        <v>5048</v>
      </c>
      <c r="G171" s="6">
        <f t="shared" si="4"/>
        <v>99.856400000000008</v>
      </c>
      <c r="H171" s="7">
        <f t="shared" si="5"/>
        <v>0.72</v>
      </c>
    </row>
    <row r="172" spans="1:8" ht="18" customHeight="1" x14ac:dyDescent="0.25">
      <c r="A172" s="1" t="s">
        <v>5094</v>
      </c>
      <c r="B172" s="1" t="s">
        <v>4534</v>
      </c>
      <c r="C172" s="1" t="s">
        <v>5047</v>
      </c>
      <c r="D172" s="6">
        <v>355.74</v>
      </c>
      <c r="E172" s="6">
        <v>305.93639999999999</v>
      </c>
      <c r="F172" s="1" t="s">
        <v>5048</v>
      </c>
      <c r="G172" s="6">
        <f t="shared" si="4"/>
        <v>49.803600000000017</v>
      </c>
      <c r="H172" s="7">
        <f t="shared" si="5"/>
        <v>0.86</v>
      </c>
    </row>
    <row r="173" spans="1:8" ht="18" customHeight="1" x14ac:dyDescent="0.25">
      <c r="A173" s="1" t="s">
        <v>5440</v>
      </c>
      <c r="B173" s="1" t="s">
        <v>4927</v>
      </c>
      <c r="C173" s="1" t="s">
        <v>5047</v>
      </c>
      <c r="D173" s="6">
        <v>355.54</v>
      </c>
      <c r="E173" s="6">
        <v>270.21039999999999</v>
      </c>
      <c r="F173" s="1" t="s">
        <v>5048</v>
      </c>
      <c r="G173" s="6">
        <f t="shared" si="4"/>
        <v>85.329600000000028</v>
      </c>
      <c r="H173" s="7">
        <f t="shared" si="5"/>
        <v>0.7599999999999999</v>
      </c>
    </row>
    <row r="174" spans="1:8" ht="18" customHeight="1" x14ac:dyDescent="0.25">
      <c r="A174" s="1" t="s">
        <v>5146</v>
      </c>
      <c r="B174" s="1" t="s">
        <v>4593</v>
      </c>
      <c r="C174" s="1" t="s">
        <v>5047</v>
      </c>
      <c r="D174" s="6">
        <v>355.09</v>
      </c>
      <c r="E174" s="6">
        <v>301.82650000000001</v>
      </c>
      <c r="F174" s="1" t="s">
        <v>5048</v>
      </c>
      <c r="G174" s="6">
        <f t="shared" si="4"/>
        <v>53.263499999999965</v>
      </c>
      <c r="H174" s="7">
        <f t="shared" si="5"/>
        <v>0.85000000000000009</v>
      </c>
    </row>
    <row r="175" spans="1:8" ht="18" customHeight="1" x14ac:dyDescent="0.25">
      <c r="A175" s="1" t="s">
        <v>5135</v>
      </c>
      <c r="B175" s="1" t="s">
        <v>4580</v>
      </c>
      <c r="C175" s="1" t="s">
        <v>5047</v>
      </c>
      <c r="D175" s="6">
        <v>354.13</v>
      </c>
      <c r="E175" s="6">
        <v>262.05619999999999</v>
      </c>
      <c r="F175" s="1" t="s">
        <v>5048</v>
      </c>
      <c r="G175" s="6">
        <f t="shared" si="4"/>
        <v>92.073800000000006</v>
      </c>
      <c r="H175" s="7">
        <f t="shared" si="5"/>
        <v>0.74</v>
      </c>
    </row>
    <row r="176" spans="1:8" ht="18" customHeight="1" x14ac:dyDescent="0.25">
      <c r="A176" s="1" t="s">
        <v>5288</v>
      </c>
      <c r="B176" s="1" t="s">
        <v>4763</v>
      </c>
      <c r="C176" s="1" t="s">
        <v>5047</v>
      </c>
      <c r="D176" s="6">
        <v>353.27</v>
      </c>
      <c r="E176" s="6">
        <v>300.27949999999998</v>
      </c>
      <c r="F176" s="1" t="s">
        <v>5048</v>
      </c>
      <c r="G176" s="6">
        <f t="shared" si="4"/>
        <v>52.990499999999997</v>
      </c>
      <c r="H176" s="7">
        <f t="shared" si="5"/>
        <v>0.85</v>
      </c>
    </row>
    <row r="177" spans="1:8" ht="18" customHeight="1" x14ac:dyDescent="0.25">
      <c r="A177" s="1" t="s">
        <v>5318</v>
      </c>
      <c r="B177" s="1" t="s">
        <v>4795</v>
      </c>
      <c r="C177" s="1" t="s">
        <v>5047</v>
      </c>
      <c r="D177" s="6">
        <v>353.21</v>
      </c>
      <c r="E177" s="6">
        <v>279.03590000000003</v>
      </c>
      <c r="F177" s="1" t="s">
        <v>5048</v>
      </c>
      <c r="G177" s="6">
        <f t="shared" si="4"/>
        <v>74.174099999999953</v>
      </c>
      <c r="H177" s="7">
        <f t="shared" si="5"/>
        <v>0.79000000000000015</v>
      </c>
    </row>
    <row r="178" spans="1:8" ht="18" customHeight="1" x14ac:dyDescent="0.25">
      <c r="A178" s="1" t="s">
        <v>5435</v>
      </c>
      <c r="B178" s="1" t="s">
        <v>4922</v>
      </c>
      <c r="C178" s="1" t="s">
        <v>5047</v>
      </c>
      <c r="D178" s="6">
        <v>353.04</v>
      </c>
      <c r="E178" s="6">
        <v>257.7192</v>
      </c>
      <c r="F178" s="1" t="s">
        <v>5048</v>
      </c>
      <c r="G178" s="6">
        <f t="shared" si="4"/>
        <v>95.32080000000002</v>
      </c>
      <c r="H178" s="7">
        <f t="shared" si="5"/>
        <v>0.73</v>
      </c>
    </row>
    <row r="179" spans="1:8" ht="18" customHeight="1" x14ac:dyDescent="0.25">
      <c r="A179" s="1" t="s">
        <v>5532</v>
      </c>
      <c r="B179" s="1" t="s">
        <v>5025</v>
      </c>
      <c r="C179" s="1" t="s">
        <v>5047</v>
      </c>
      <c r="D179" s="6">
        <v>352.2</v>
      </c>
      <c r="E179" s="6">
        <v>288.80399999999997</v>
      </c>
      <c r="F179" s="1" t="s">
        <v>5048</v>
      </c>
      <c r="G179" s="6">
        <f t="shared" si="4"/>
        <v>63.396000000000015</v>
      </c>
      <c r="H179" s="7">
        <f t="shared" si="5"/>
        <v>0.82</v>
      </c>
    </row>
    <row r="180" spans="1:8" ht="18" customHeight="1" x14ac:dyDescent="0.25">
      <c r="A180" s="1" t="s">
        <v>5285</v>
      </c>
      <c r="B180" s="1" t="s">
        <v>4759</v>
      </c>
      <c r="C180" s="1" t="s">
        <v>5047</v>
      </c>
      <c r="D180" s="6">
        <v>349.57</v>
      </c>
      <c r="E180" s="6">
        <v>311.1173</v>
      </c>
      <c r="F180" s="1" t="s">
        <v>5048</v>
      </c>
      <c r="G180" s="6">
        <f t="shared" si="4"/>
        <v>38.452699999999993</v>
      </c>
      <c r="H180" s="7">
        <f t="shared" si="5"/>
        <v>0.89</v>
      </c>
    </row>
    <row r="181" spans="1:8" ht="18" customHeight="1" x14ac:dyDescent="0.25">
      <c r="A181" s="1" t="s">
        <v>5366</v>
      </c>
      <c r="B181" s="1" t="s">
        <v>4849</v>
      </c>
      <c r="C181" s="1" t="s">
        <v>5047</v>
      </c>
      <c r="D181" s="6">
        <v>349.21</v>
      </c>
      <c r="E181" s="6">
        <v>296.82850000000002</v>
      </c>
      <c r="F181" s="1" t="s">
        <v>5048</v>
      </c>
      <c r="G181" s="6">
        <f t="shared" si="4"/>
        <v>52.38149999999996</v>
      </c>
      <c r="H181" s="7">
        <f t="shared" si="5"/>
        <v>0.85000000000000009</v>
      </c>
    </row>
    <row r="182" spans="1:8" ht="18" customHeight="1" x14ac:dyDescent="0.25">
      <c r="A182" s="1" t="s">
        <v>5525</v>
      </c>
      <c r="B182" s="1" t="s">
        <v>5018</v>
      </c>
      <c r="C182" s="1" t="s">
        <v>5047</v>
      </c>
      <c r="D182" s="6">
        <v>349.18</v>
      </c>
      <c r="E182" s="6">
        <v>254.9014</v>
      </c>
      <c r="F182" s="1" t="s">
        <v>5048</v>
      </c>
      <c r="G182" s="6">
        <f t="shared" si="4"/>
        <v>94.278600000000012</v>
      </c>
      <c r="H182" s="7">
        <f t="shared" si="5"/>
        <v>0.73</v>
      </c>
    </row>
    <row r="183" spans="1:8" ht="18" customHeight="1" x14ac:dyDescent="0.25">
      <c r="A183" s="1" t="s">
        <v>5360</v>
      </c>
      <c r="B183" s="1" t="s">
        <v>4843</v>
      </c>
      <c r="C183" s="1" t="s">
        <v>5047</v>
      </c>
      <c r="D183" s="6">
        <v>348.71</v>
      </c>
      <c r="E183" s="6">
        <v>282.45510000000002</v>
      </c>
      <c r="F183" s="1" t="s">
        <v>5048</v>
      </c>
      <c r="G183" s="6">
        <f t="shared" si="4"/>
        <v>66.254899999999964</v>
      </c>
      <c r="H183" s="7">
        <f t="shared" si="5"/>
        <v>0.81</v>
      </c>
    </row>
    <row r="184" spans="1:8" ht="18" customHeight="1" x14ac:dyDescent="0.25">
      <c r="A184" s="1" t="s">
        <v>5350</v>
      </c>
      <c r="B184" s="1" t="s">
        <v>4832</v>
      </c>
      <c r="C184" s="1" t="s">
        <v>5047</v>
      </c>
      <c r="D184" s="6">
        <v>348.31</v>
      </c>
      <c r="E184" s="6">
        <v>296.06349999999998</v>
      </c>
      <c r="F184" s="1" t="s">
        <v>5048</v>
      </c>
      <c r="G184" s="6">
        <f t="shared" si="4"/>
        <v>52.246500000000026</v>
      </c>
      <c r="H184" s="7">
        <f t="shared" si="5"/>
        <v>0.85</v>
      </c>
    </row>
    <row r="185" spans="1:8" ht="18" customHeight="1" x14ac:dyDescent="0.25">
      <c r="A185" s="1" t="s">
        <v>5383</v>
      </c>
      <c r="B185" s="1" t="s">
        <v>4867</v>
      </c>
      <c r="C185" s="1" t="s">
        <v>5047</v>
      </c>
      <c r="D185" s="6">
        <v>347.73</v>
      </c>
      <c r="E185" s="6">
        <v>278.18400000000003</v>
      </c>
      <c r="F185" s="1" t="s">
        <v>5048</v>
      </c>
      <c r="G185" s="6">
        <f t="shared" si="4"/>
        <v>69.545999999999992</v>
      </c>
      <c r="H185" s="7">
        <f t="shared" si="5"/>
        <v>0.8</v>
      </c>
    </row>
    <row r="186" spans="1:8" ht="18" customHeight="1" x14ac:dyDescent="0.25">
      <c r="A186" s="1" t="s">
        <v>5103</v>
      </c>
      <c r="B186" s="1" t="s">
        <v>4544</v>
      </c>
      <c r="C186" s="1" t="s">
        <v>5047</v>
      </c>
      <c r="D186" s="6">
        <v>345.47</v>
      </c>
      <c r="E186" s="6">
        <v>304.0136</v>
      </c>
      <c r="F186" s="1" t="s">
        <v>5048</v>
      </c>
      <c r="G186" s="6">
        <f t="shared" si="4"/>
        <v>41.456400000000031</v>
      </c>
      <c r="H186" s="7">
        <f t="shared" si="5"/>
        <v>0.87999999999999989</v>
      </c>
    </row>
    <row r="187" spans="1:8" ht="18" customHeight="1" x14ac:dyDescent="0.25">
      <c r="A187" s="1" t="s">
        <v>5371</v>
      </c>
      <c r="B187" s="1" t="s">
        <v>4854</v>
      </c>
      <c r="C187" s="1" t="s">
        <v>5047</v>
      </c>
      <c r="D187" s="6">
        <v>344.81</v>
      </c>
      <c r="E187" s="6">
        <v>289.6404</v>
      </c>
      <c r="F187" s="1" t="s">
        <v>5048</v>
      </c>
      <c r="G187" s="6">
        <f t="shared" si="4"/>
        <v>55.169600000000003</v>
      </c>
      <c r="H187" s="7">
        <f t="shared" si="5"/>
        <v>0.84</v>
      </c>
    </row>
    <row r="188" spans="1:8" ht="18" customHeight="1" x14ac:dyDescent="0.25">
      <c r="A188" s="1" t="s">
        <v>5280</v>
      </c>
      <c r="B188" s="1" t="s">
        <v>4752</v>
      </c>
      <c r="C188" s="1" t="s">
        <v>5047</v>
      </c>
      <c r="D188" s="6">
        <v>343.26</v>
      </c>
      <c r="E188" s="6">
        <v>260.87759999999997</v>
      </c>
      <c r="F188" s="1" t="s">
        <v>5048</v>
      </c>
      <c r="G188" s="6">
        <f t="shared" si="4"/>
        <v>82.382400000000018</v>
      </c>
      <c r="H188" s="7">
        <f t="shared" si="5"/>
        <v>0.7599999999999999</v>
      </c>
    </row>
    <row r="189" spans="1:8" ht="18" customHeight="1" x14ac:dyDescent="0.25">
      <c r="A189" s="1" t="s">
        <v>5292</v>
      </c>
      <c r="B189" s="1" t="s">
        <v>4767</v>
      </c>
      <c r="C189" s="1" t="s">
        <v>5047</v>
      </c>
      <c r="D189" s="6">
        <v>341.44</v>
      </c>
      <c r="E189" s="6">
        <v>286.80959999999999</v>
      </c>
      <c r="F189" s="1" t="s">
        <v>5048</v>
      </c>
      <c r="G189" s="6">
        <f t="shared" si="4"/>
        <v>54.630400000000009</v>
      </c>
      <c r="H189" s="7">
        <f t="shared" si="5"/>
        <v>0.84</v>
      </c>
    </row>
    <row r="190" spans="1:8" ht="18" customHeight="1" x14ac:dyDescent="0.25">
      <c r="A190" s="1" t="s">
        <v>5226</v>
      </c>
      <c r="B190" s="1" t="s">
        <v>4687</v>
      </c>
      <c r="C190" s="1" t="s">
        <v>5047</v>
      </c>
      <c r="D190" s="6">
        <v>340.44</v>
      </c>
      <c r="E190" s="6">
        <v>262.1388</v>
      </c>
      <c r="F190" s="1" t="s">
        <v>5048</v>
      </c>
      <c r="G190" s="6">
        <f t="shared" si="4"/>
        <v>78.301199999999994</v>
      </c>
      <c r="H190" s="7">
        <f t="shared" si="5"/>
        <v>0.77</v>
      </c>
    </row>
    <row r="191" spans="1:8" ht="18" customHeight="1" x14ac:dyDescent="0.25">
      <c r="A191" s="1" t="s">
        <v>5400</v>
      </c>
      <c r="B191" s="1" t="s">
        <v>4886</v>
      </c>
      <c r="C191" s="1" t="s">
        <v>5047</v>
      </c>
      <c r="D191" s="6">
        <v>339.84</v>
      </c>
      <c r="E191" s="6">
        <v>275.2704</v>
      </c>
      <c r="F191" s="1" t="s">
        <v>5048</v>
      </c>
      <c r="G191" s="6">
        <f t="shared" si="4"/>
        <v>64.56959999999998</v>
      </c>
      <c r="H191" s="7">
        <f t="shared" si="5"/>
        <v>0.81</v>
      </c>
    </row>
    <row r="192" spans="1:8" ht="18" customHeight="1" x14ac:dyDescent="0.25">
      <c r="A192" s="1" t="s">
        <v>5392</v>
      </c>
      <c r="B192" s="1" t="s">
        <v>4877</v>
      </c>
      <c r="C192" s="1" t="s">
        <v>5047</v>
      </c>
      <c r="D192" s="6">
        <v>338.51</v>
      </c>
      <c r="E192" s="6">
        <v>257.26760000000002</v>
      </c>
      <c r="F192" s="1" t="s">
        <v>5048</v>
      </c>
      <c r="G192" s="6">
        <f t="shared" si="4"/>
        <v>81.242399999999975</v>
      </c>
      <c r="H192" s="7">
        <f t="shared" si="5"/>
        <v>0.76000000000000012</v>
      </c>
    </row>
    <row r="193" spans="1:8" ht="18" customHeight="1" x14ac:dyDescent="0.25">
      <c r="A193" s="1" t="s">
        <v>5538</v>
      </c>
      <c r="B193" s="1" t="s">
        <v>5031</v>
      </c>
      <c r="C193" s="1" t="s">
        <v>5047</v>
      </c>
      <c r="D193" s="6">
        <v>335.99</v>
      </c>
      <c r="E193" s="6">
        <v>251.99250000000001</v>
      </c>
      <c r="F193" s="1" t="s">
        <v>5048</v>
      </c>
      <c r="G193" s="6">
        <f t="shared" si="4"/>
        <v>83.997500000000002</v>
      </c>
      <c r="H193" s="7">
        <f t="shared" si="5"/>
        <v>0.75</v>
      </c>
    </row>
    <row r="194" spans="1:8" ht="18" customHeight="1" x14ac:dyDescent="0.25">
      <c r="A194" s="1" t="s">
        <v>5102</v>
      </c>
      <c r="B194" s="1" t="s">
        <v>4543</v>
      </c>
      <c r="C194" s="1" t="s">
        <v>5047</v>
      </c>
      <c r="D194" s="6">
        <v>335.9</v>
      </c>
      <c r="E194" s="6">
        <v>258.64299999999997</v>
      </c>
      <c r="F194" s="1" t="s">
        <v>5048</v>
      </c>
      <c r="G194" s="6">
        <f t="shared" ref="G194:G257" si="6">D194-E194</f>
        <v>77.257000000000005</v>
      </c>
      <c r="H194" s="7">
        <f t="shared" ref="H194:H257" si="7">IFERROR(E194/D194,0)</f>
        <v>0.77</v>
      </c>
    </row>
    <row r="195" spans="1:8" ht="18" customHeight="1" x14ac:dyDescent="0.25">
      <c r="A195" s="1" t="s">
        <v>5464</v>
      </c>
      <c r="B195" s="1" t="s">
        <v>4955</v>
      </c>
      <c r="C195" s="1" t="s">
        <v>5047</v>
      </c>
      <c r="D195" s="6">
        <v>335.79</v>
      </c>
      <c r="E195" s="6">
        <v>265.27409999999998</v>
      </c>
      <c r="F195" s="1" t="s">
        <v>5048</v>
      </c>
      <c r="G195" s="6">
        <f t="shared" si="6"/>
        <v>70.515900000000045</v>
      </c>
      <c r="H195" s="7">
        <f t="shared" si="7"/>
        <v>0.78999999999999992</v>
      </c>
    </row>
    <row r="196" spans="1:8" ht="18" customHeight="1" x14ac:dyDescent="0.25">
      <c r="A196" s="1" t="s">
        <v>5081</v>
      </c>
      <c r="B196" s="1" t="s">
        <v>4519</v>
      </c>
      <c r="C196" s="1" t="s">
        <v>5047</v>
      </c>
      <c r="D196" s="6">
        <v>333.23</v>
      </c>
      <c r="E196" s="6">
        <v>263.25170000000003</v>
      </c>
      <c r="F196" s="1" t="s">
        <v>5048</v>
      </c>
      <c r="G196" s="6">
        <f t="shared" si="6"/>
        <v>69.97829999999999</v>
      </c>
      <c r="H196" s="7">
        <f t="shared" si="7"/>
        <v>0.79</v>
      </c>
    </row>
    <row r="197" spans="1:8" ht="18" customHeight="1" x14ac:dyDescent="0.25">
      <c r="A197" s="1" t="s">
        <v>5125</v>
      </c>
      <c r="B197" s="1" t="s">
        <v>4568</v>
      </c>
      <c r="C197" s="1" t="s">
        <v>5047</v>
      </c>
      <c r="D197" s="6">
        <v>332.98</v>
      </c>
      <c r="E197" s="6">
        <v>293.0224</v>
      </c>
      <c r="F197" s="1" t="s">
        <v>5048</v>
      </c>
      <c r="G197" s="6">
        <f t="shared" si="6"/>
        <v>39.957600000000014</v>
      </c>
      <c r="H197" s="7">
        <f t="shared" si="7"/>
        <v>0.88</v>
      </c>
    </row>
    <row r="198" spans="1:8" ht="18" customHeight="1" x14ac:dyDescent="0.25">
      <c r="A198" s="1" t="s">
        <v>5085</v>
      </c>
      <c r="B198" s="1" t="s">
        <v>4523</v>
      </c>
      <c r="C198" s="1" t="s">
        <v>5047</v>
      </c>
      <c r="D198" s="6">
        <v>332.14</v>
      </c>
      <c r="E198" s="6">
        <v>242.4622</v>
      </c>
      <c r="F198" s="1" t="s">
        <v>5048</v>
      </c>
      <c r="G198" s="6">
        <f t="shared" si="6"/>
        <v>89.677799999999991</v>
      </c>
      <c r="H198" s="7">
        <f t="shared" si="7"/>
        <v>0.73</v>
      </c>
    </row>
    <row r="199" spans="1:8" ht="18" customHeight="1" x14ac:dyDescent="0.25">
      <c r="A199" s="1" t="s">
        <v>5246</v>
      </c>
      <c r="B199" s="1" t="s">
        <v>4709</v>
      </c>
      <c r="C199" s="1" t="s">
        <v>5047</v>
      </c>
      <c r="D199" s="6">
        <v>331.61</v>
      </c>
      <c r="E199" s="6">
        <v>295.13290000000001</v>
      </c>
      <c r="F199" s="1" t="s">
        <v>5048</v>
      </c>
      <c r="G199" s="6">
        <f t="shared" si="6"/>
        <v>36.477100000000007</v>
      </c>
      <c r="H199" s="7">
        <f t="shared" si="7"/>
        <v>0.89</v>
      </c>
    </row>
    <row r="200" spans="1:8" ht="18" customHeight="1" x14ac:dyDescent="0.25">
      <c r="A200" s="1" t="s">
        <v>5127</v>
      </c>
      <c r="B200" s="1" t="s">
        <v>4570</v>
      </c>
      <c r="C200" s="1" t="s">
        <v>5047</v>
      </c>
      <c r="D200" s="6">
        <v>330.42</v>
      </c>
      <c r="E200" s="6">
        <v>251.11920000000001</v>
      </c>
      <c r="F200" s="1" t="s">
        <v>5048</v>
      </c>
      <c r="G200" s="6">
        <f t="shared" si="6"/>
        <v>79.30080000000001</v>
      </c>
      <c r="H200" s="7">
        <f t="shared" si="7"/>
        <v>0.76</v>
      </c>
    </row>
    <row r="201" spans="1:8" ht="18" customHeight="1" x14ac:dyDescent="0.25">
      <c r="A201" s="1" t="s">
        <v>5264</v>
      </c>
      <c r="B201" s="1" t="s">
        <v>4732</v>
      </c>
      <c r="C201" s="1" t="s">
        <v>5047</v>
      </c>
      <c r="D201" s="6">
        <v>329.68</v>
      </c>
      <c r="E201" s="6">
        <v>250.55680000000001</v>
      </c>
      <c r="F201" s="1" t="s">
        <v>5048</v>
      </c>
      <c r="G201" s="6">
        <f t="shared" si="6"/>
        <v>79.123199999999997</v>
      </c>
      <c r="H201" s="7">
        <f t="shared" si="7"/>
        <v>0.76</v>
      </c>
    </row>
    <row r="202" spans="1:8" ht="18" customHeight="1" x14ac:dyDescent="0.25">
      <c r="A202" s="1" t="s">
        <v>5278</v>
      </c>
      <c r="B202" s="1" t="s">
        <v>4750</v>
      </c>
      <c r="C202" s="1" t="s">
        <v>5047</v>
      </c>
      <c r="D202" s="6">
        <v>327.36</v>
      </c>
      <c r="E202" s="6">
        <v>284.8032</v>
      </c>
      <c r="F202" s="1" t="s">
        <v>5048</v>
      </c>
      <c r="G202" s="6">
        <f t="shared" si="6"/>
        <v>42.55680000000001</v>
      </c>
      <c r="H202" s="7">
        <f t="shared" si="7"/>
        <v>0.87</v>
      </c>
    </row>
    <row r="203" spans="1:8" ht="18" customHeight="1" x14ac:dyDescent="0.25">
      <c r="A203" s="1" t="s">
        <v>5249</v>
      </c>
      <c r="B203" s="1" t="s">
        <v>4714</v>
      </c>
      <c r="C203" s="1" t="s">
        <v>5047</v>
      </c>
      <c r="D203" s="6">
        <v>327.12</v>
      </c>
      <c r="E203" s="6">
        <v>242.06880000000001</v>
      </c>
      <c r="F203" s="1" t="s">
        <v>5048</v>
      </c>
      <c r="G203" s="6">
        <f t="shared" si="6"/>
        <v>85.051199999999994</v>
      </c>
      <c r="H203" s="7">
        <f t="shared" si="7"/>
        <v>0.74</v>
      </c>
    </row>
    <row r="204" spans="1:8" ht="18" customHeight="1" x14ac:dyDescent="0.25">
      <c r="A204" s="1" t="s">
        <v>5099</v>
      </c>
      <c r="B204" s="1" t="s">
        <v>4540</v>
      </c>
      <c r="C204" s="1" t="s">
        <v>5047</v>
      </c>
      <c r="D204" s="6">
        <v>325.73</v>
      </c>
      <c r="E204" s="6">
        <v>247.5548</v>
      </c>
      <c r="F204" s="1" t="s">
        <v>5048</v>
      </c>
      <c r="G204" s="6">
        <f t="shared" si="6"/>
        <v>78.175200000000018</v>
      </c>
      <c r="H204" s="7">
        <f t="shared" si="7"/>
        <v>0.76</v>
      </c>
    </row>
    <row r="205" spans="1:8" ht="18" customHeight="1" x14ac:dyDescent="0.25">
      <c r="A205" s="1" t="s">
        <v>5080</v>
      </c>
      <c r="B205" s="1" t="s">
        <v>4518</v>
      </c>
      <c r="C205" s="1" t="s">
        <v>5047</v>
      </c>
      <c r="D205" s="6">
        <v>322.3</v>
      </c>
      <c r="E205" s="6">
        <v>238.50200000000001</v>
      </c>
      <c r="F205" s="1" t="s">
        <v>5048</v>
      </c>
      <c r="G205" s="6">
        <f t="shared" si="6"/>
        <v>83.798000000000002</v>
      </c>
      <c r="H205" s="7">
        <f t="shared" si="7"/>
        <v>0.74</v>
      </c>
    </row>
    <row r="206" spans="1:8" ht="18" customHeight="1" x14ac:dyDescent="0.25">
      <c r="A206" s="1" t="s">
        <v>5238</v>
      </c>
      <c r="B206" s="1" t="s">
        <v>4701</v>
      </c>
      <c r="C206" s="1" t="s">
        <v>5047</v>
      </c>
      <c r="D206" s="6">
        <v>321.63</v>
      </c>
      <c r="E206" s="6">
        <v>257.30399999999997</v>
      </c>
      <c r="F206" s="1" t="s">
        <v>5048</v>
      </c>
      <c r="G206" s="6">
        <f t="shared" si="6"/>
        <v>64.326000000000022</v>
      </c>
      <c r="H206" s="7">
        <f t="shared" si="7"/>
        <v>0.79999999999999993</v>
      </c>
    </row>
    <row r="207" spans="1:8" ht="18" customHeight="1" x14ac:dyDescent="0.25">
      <c r="A207" s="1" t="s">
        <v>5467</v>
      </c>
      <c r="B207" s="1" t="s">
        <v>4959</v>
      </c>
      <c r="C207" s="1" t="s">
        <v>5047</v>
      </c>
      <c r="D207" s="6">
        <v>321.56</v>
      </c>
      <c r="E207" s="6">
        <v>266.89479999999998</v>
      </c>
      <c r="F207" s="1" t="s">
        <v>5048</v>
      </c>
      <c r="G207" s="6">
        <f t="shared" si="6"/>
        <v>54.665200000000027</v>
      </c>
      <c r="H207" s="7">
        <f t="shared" si="7"/>
        <v>0.83</v>
      </c>
    </row>
    <row r="208" spans="1:8" ht="18" customHeight="1" x14ac:dyDescent="0.25">
      <c r="A208" s="1" t="s">
        <v>5086</v>
      </c>
      <c r="B208" s="1" t="s">
        <v>4524</v>
      </c>
      <c r="C208" s="1" t="s">
        <v>5047</v>
      </c>
      <c r="D208" s="6">
        <v>321.48</v>
      </c>
      <c r="E208" s="6">
        <v>273.25799999999998</v>
      </c>
      <c r="F208" s="1" t="s">
        <v>5048</v>
      </c>
      <c r="G208" s="6">
        <f t="shared" si="6"/>
        <v>48.222000000000037</v>
      </c>
      <c r="H208" s="7">
        <f t="shared" si="7"/>
        <v>0.84999999999999987</v>
      </c>
    </row>
    <row r="209" spans="1:8" ht="18" customHeight="1" x14ac:dyDescent="0.25">
      <c r="A209" s="1" t="s">
        <v>5337</v>
      </c>
      <c r="B209" s="1" t="s">
        <v>4816</v>
      </c>
      <c r="C209" s="1" t="s">
        <v>5047</v>
      </c>
      <c r="D209" s="6">
        <v>318.52999999999997</v>
      </c>
      <c r="E209" s="6">
        <v>286.67700000000002</v>
      </c>
      <c r="F209" s="1" t="s">
        <v>5048</v>
      </c>
      <c r="G209" s="6">
        <f t="shared" si="6"/>
        <v>31.852999999999952</v>
      </c>
      <c r="H209" s="7">
        <f t="shared" si="7"/>
        <v>0.90000000000000013</v>
      </c>
    </row>
    <row r="210" spans="1:8" ht="18" customHeight="1" x14ac:dyDescent="0.25">
      <c r="A210" s="1" t="s">
        <v>5535</v>
      </c>
      <c r="B210" s="1" t="s">
        <v>5028</v>
      </c>
      <c r="C210" s="1" t="s">
        <v>5047</v>
      </c>
      <c r="D210" s="6">
        <v>318.33</v>
      </c>
      <c r="E210" s="6">
        <v>251.48070000000001</v>
      </c>
      <c r="F210" s="1" t="s">
        <v>5048</v>
      </c>
      <c r="G210" s="6">
        <f t="shared" si="6"/>
        <v>66.849299999999971</v>
      </c>
      <c r="H210" s="7">
        <f t="shared" si="7"/>
        <v>0.79</v>
      </c>
    </row>
    <row r="211" spans="1:8" ht="18" customHeight="1" x14ac:dyDescent="0.25">
      <c r="A211" s="1" t="s">
        <v>5412</v>
      </c>
      <c r="B211" s="1" t="s">
        <v>4898</v>
      </c>
      <c r="C211" s="1" t="s">
        <v>5047</v>
      </c>
      <c r="D211" s="6">
        <v>317.77</v>
      </c>
      <c r="E211" s="6">
        <v>260.57139999999998</v>
      </c>
      <c r="F211" s="1" t="s">
        <v>5048</v>
      </c>
      <c r="G211" s="6">
        <f t="shared" si="6"/>
        <v>57.198599999999999</v>
      </c>
      <c r="H211" s="7">
        <f t="shared" si="7"/>
        <v>0.82</v>
      </c>
    </row>
    <row r="212" spans="1:8" ht="18" customHeight="1" x14ac:dyDescent="0.25">
      <c r="A212" s="1" t="s">
        <v>5296</v>
      </c>
      <c r="B212" s="1" t="s">
        <v>4771</v>
      </c>
      <c r="C212" s="1" t="s">
        <v>5047</v>
      </c>
      <c r="D212" s="6">
        <v>315.05</v>
      </c>
      <c r="E212" s="6">
        <v>255.19049999999999</v>
      </c>
      <c r="F212" s="1" t="s">
        <v>5048</v>
      </c>
      <c r="G212" s="6">
        <f t="shared" si="6"/>
        <v>59.859500000000025</v>
      </c>
      <c r="H212" s="7">
        <f t="shared" si="7"/>
        <v>0.80999999999999994</v>
      </c>
    </row>
    <row r="213" spans="1:8" ht="18" customHeight="1" x14ac:dyDescent="0.25">
      <c r="A213" s="1" t="s">
        <v>5247</v>
      </c>
      <c r="B213" s="1" t="s">
        <v>4712</v>
      </c>
      <c r="C213" s="1" t="s">
        <v>5047</v>
      </c>
      <c r="D213" s="6">
        <v>314.98</v>
      </c>
      <c r="E213" s="6">
        <v>236.23500000000001</v>
      </c>
      <c r="F213" s="1" t="s">
        <v>5048</v>
      </c>
      <c r="G213" s="6">
        <f t="shared" si="6"/>
        <v>78.745000000000005</v>
      </c>
      <c r="H213" s="7">
        <f t="shared" si="7"/>
        <v>0.75</v>
      </c>
    </row>
    <row r="214" spans="1:8" ht="18" customHeight="1" x14ac:dyDescent="0.25">
      <c r="A214" s="1" t="s">
        <v>5446</v>
      </c>
      <c r="B214" s="1" t="s">
        <v>4934</v>
      </c>
      <c r="C214" s="1" t="s">
        <v>5047</v>
      </c>
      <c r="D214" s="6">
        <v>313.98</v>
      </c>
      <c r="E214" s="6">
        <v>257.46359999999999</v>
      </c>
      <c r="F214" s="1" t="s">
        <v>5048</v>
      </c>
      <c r="G214" s="6">
        <f t="shared" si="6"/>
        <v>56.516400000000033</v>
      </c>
      <c r="H214" s="7">
        <f t="shared" si="7"/>
        <v>0.82</v>
      </c>
    </row>
    <row r="215" spans="1:8" ht="18" customHeight="1" x14ac:dyDescent="0.25">
      <c r="A215" s="1" t="s">
        <v>5136</v>
      </c>
      <c r="B215" s="1" t="s">
        <v>4581</v>
      </c>
      <c r="C215" s="1" t="s">
        <v>5047</v>
      </c>
      <c r="D215" s="6">
        <v>313.73</v>
      </c>
      <c r="E215" s="6">
        <v>263.53320000000002</v>
      </c>
      <c r="F215" s="1" t="s">
        <v>5048</v>
      </c>
      <c r="G215" s="6">
        <f t="shared" si="6"/>
        <v>50.196799999999996</v>
      </c>
      <c r="H215" s="7">
        <f t="shared" si="7"/>
        <v>0.84</v>
      </c>
    </row>
    <row r="216" spans="1:8" ht="18" customHeight="1" x14ac:dyDescent="0.25">
      <c r="A216" s="1" t="s">
        <v>5167</v>
      </c>
      <c r="B216" s="1" t="s">
        <v>4622</v>
      </c>
      <c r="C216" s="1" t="s">
        <v>5047</v>
      </c>
      <c r="D216" s="6">
        <v>313.56</v>
      </c>
      <c r="E216" s="6">
        <v>244.57679999999999</v>
      </c>
      <c r="F216" s="1" t="s">
        <v>5048</v>
      </c>
      <c r="G216" s="6">
        <f t="shared" si="6"/>
        <v>68.983200000000011</v>
      </c>
      <c r="H216" s="7">
        <f t="shared" si="7"/>
        <v>0.77999999999999992</v>
      </c>
    </row>
    <row r="217" spans="1:8" ht="18" customHeight="1" x14ac:dyDescent="0.25">
      <c r="A217" s="1" t="s">
        <v>5059</v>
      </c>
      <c r="B217" s="1" t="s">
        <v>4495</v>
      </c>
      <c r="C217" s="1" t="s">
        <v>5047</v>
      </c>
      <c r="D217" s="6">
        <v>313.20999999999998</v>
      </c>
      <c r="E217" s="6">
        <v>263.09640000000002</v>
      </c>
      <c r="F217" s="1" t="s">
        <v>5048</v>
      </c>
      <c r="G217" s="6">
        <f t="shared" si="6"/>
        <v>50.113599999999963</v>
      </c>
      <c r="H217" s="7">
        <f t="shared" si="7"/>
        <v>0.84000000000000008</v>
      </c>
    </row>
    <row r="218" spans="1:8" ht="18" customHeight="1" x14ac:dyDescent="0.25">
      <c r="A218" s="1" t="s">
        <v>5105</v>
      </c>
      <c r="B218" s="1" t="s">
        <v>4546</v>
      </c>
      <c r="C218" s="1" t="s">
        <v>5047</v>
      </c>
      <c r="D218" s="6">
        <v>311.92</v>
      </c>
      <c r="E218" s="6">
        <v>249.536</v>
      </c>
      <c r="F218" s="1" t="s">
        <v>5048</v>
      </c>
      <c r="G218" s="6">
        <f t="shared" si="6"/>
        <v>62.384000000000015</v>
      </c>
      <c r="H218" s="7">
        <f t="shared" si="7"/>
        <v>0.79999999999999993</v>
      </c>
    </row>
    <row r="219" spans="1:8" ht="18" customHeight="1" x14ac:dyDescent="0.25">
      <c r="A219" s="1" t="s">
        <v>5068</v>
      </c>
      <c r="B219" s="1" t="s">
        <v>4506</v>
      </c>
      <c r="C219" s="1" t="s">
        <v>5047</v>
      </c>
      <c r="D219" s="6">
        <v>311.63</v>
      </c>
      <c r="E219" s="6">
        <v>271.11810000000003</v>
      </c>
      <c r="F219" s="1" t="s">
        <v>5048</v>
      </c>
      <c r="G219" s="6">
        <f t="shared" si="6"/>
        <v>40.511899999999969</v>
      </c>
      <c r="H219" s="7">
        <f t="shared" si="7"/>
        <v>0.87000000000000011</v>
      </c>
    </row>
    <row r="220" spans="1:8" ht="18" customHeight="1" x14ac:dyDescent="0.25">
      <c r="A220" s="1" t="s">
        <v>5088</v>
      </c>
      <c r="B220" s="1" t="s">
        <v>4526</v>
      </c>
      <c r="C220" s="1" t="s">
        <v>5047</v>
      </c>
      <c r="D220" s="6">
        <v>308.77999999999997</v>
      </c>
      <c r="E220" s="6">
        <v>256.28739999999999</v>
      </c>
      <c r="F220" s="1" t="s">
        <v>5048</v>
      </c>
      <c r="G220" s="6">
        <f t="shared" si="6"/>
        <v>52.492599999999982</v>
      </c>
      <c r="H220" s="7">
        <f t="shared" si="7"/>
        <v>0.83000000000000007</v>
      </c>
    </row>
    <row r="221" spans="1:8" ht="18" customHeight="1" x14ac:dyDescent="0.25">
      <c r="A221" s="1" t="s">
        <v>5265</v>
      </c>
      <c r="B221" s="1" t="s">
        <v>4733</v>
      </c>
      <c r="C221" s="1" t="s">
        <v>5047</v>
      </c>
      <c r="D221" s="6">
        <v>306.89999999999998</v>
      </c>
      <c r="E221" s="6">
        <v>224.03700000000001</v>
      </c>
      <c r="F221" s="1" t="s">
        <v>5048</v>
      </c>
      <c r="G221" s="6">
        <f t="shared" si="6"/>
        <v>82.862999999999971</v>
      </c>
      <c r="H221" s="7">
        <f t="shared" si="7"/>
        <v>0.73000000000000009</v>
      </c>
    </row>
    <row r="222" spans="1:8" ht="18" customHeight="1" x14ac:dyDescent="0.25">
      <c r="A222" s="1" t="s">
        <v>5131</v>
      </c>
      <c r="B222" s="1" t="s">
        <v>4574</v>
      </c>
      <c r="C222" s="1" t="s">
        <v>5047</v>
      </c>
      <c r="D222" s="6">
        <v>305.95999999999998</v>
      </c>
      <c r="E222" s="6">
        <v>235.58920000000001</v>
      </c>
      <c r="F222" s="1" t="s">
        <v>5048</v>
      </c>
      <c r="G222" s="6">
        <f t="shared" si="6"/>
        <v>70.370799999999974</v>
      </c>
      <c r="H222" s="7">
        <f t="shared" si="7"/>
        <v>0.77</v>
      </c>
    </row>
    <row r="223" spans="1:8" ht="18" customHeight="1" x14ac:dyDescent="0.25">
      <c r="A223" s="1" t="s">
        <v>5153</v>
      </c>
      <c r="B223" s="1" t="s">
        <v>4601</v>
      </c>
      <c r="C223" s="1" t="s">
        <v>5047</v>
      </c>
      <c r="D223" s="6">
        <v>305.12</v>
      </c>
      <c r="E223" s="6">
        <v>247.1472</v>
      </c>
      <c r="F223" s="1" t="s">
        <v>5048</v>
      </c>
      <c r="G223" s="6">
        <f t="shared" si="6"/>
        <v>57.972800000000007</v>
      </c>
      <c r="H223" s="7">
        <f t="shared" si="7"/>
        <v>0.80999999999999994</v>
      </c>
    </row>
    <row r="224" spans="1:8" ht="18" customHeight="1" x14ac:dyDescent="0.25">
      <c r="A224" s="1" t="s">
        <v>5063</v>
      </c>
      <c r="B224" s="1" t="s">
        <v>4499</v>
      </c>
      <c r="C224" s="1" t="s">
        <v>5047</v>
      </c>
      <c r="D224" s="6">
        <v>304.94</v>
      </c>
      <c r="E224" s="6">
        <v>240.90260000000001</v>
      </c>
      <c r="F224" s="1" t="s">
        <v>5048</v>
      </c>
      <c r="G224" s="6">
        <f t="shared" si="6"/>
        <v>64.037399999999991</v>
      </c>
      <c r="H224" s="7">
        <f t="shared" si="7"/>
        <v>0.79</v>
      </c>
    </row>
    <row r="225" spans="1:8" ht="18" customHeight="1" x14ac:dyDescent="0.25">
      <c r="A225" s="1" t="s">
        <v>5419</v>
      </c>
      <c r="B225" s="1" t="s">
        <v>4906</v>
      </c>
      <c r="C225" s="1" t="s">
        <v>5047</v>
      </c>
      <c r="D225" s="6">
        <v>304.44</v>
      </c>
      <c r="E225" s="6">
        <v>216.1524</v>
      </c>
      <c r="F225" s="1" t="s">
        <v>5048</v>
      </c>
      <c r="G225" s="6">
        <f t="shared" si="6"/>
        <v>88.287599999999998</v>
      </c>
      <c r="H225" s="7">
        <f t="shared" si="7"/>
        <v>0.71</v>
      </c>
    </row>
    <row r="226" spans="1:8" ht="18" customHeight="1" x14ac:dyDescent="0.25">
      <c r="A226" s="1" t="s">
        <v>5241</v>
      </c>
      <c r="B226" s="1" t="s">
        <v>4704</v>
      </c>
      <c r="C226" s="1" t="s">
        <v>5047</v>
      </c>
      <c r="D226" s="6">
        <v>304.01</v>
      </c>
      <c r="E226" s="6">
        <v>224.9674</v>
      </c>
      <c r="F226" s="1" t="s">
        <v>5048</v>
      </c>
      <c r="G226" s="6">
        <f t="shared" si="6"/>
        <v>79.042599999999993</v>
      </c>
      <c r="H226" s="7">
        <f t="shared" si="7"/>
        <v>0.74</v>
      </c>
    </row>
    <row r="227" spans="1:8" ht="18" customHeight="1" x14ac:dyDescent="0.25">
      <c r="A227" s="1" t="s">
        <v>5527</v>
      </c>
      <c r="B227" s="1" t="s">
        <v>5020</v>
      </c>
      <c r="C227" s="1" t="s">
        <v>5047</v>
      </c>
      <c r="D227" s="6">
        <v>303.98</v>
      </c>
      <c r="E227" s="6">
        <v>246.22380000000001</v>
      </c>
      <c r="F227" s="1" t="s">
        <v>5048</v>
      </c>
      <c r="G227" s="6">
        <f t="shared" si="6"/>
        <v>57.756200000000007</v>
      </c>
      <c r="H227" s="7">
        <f t="shared" si="7"/>
        <v>0.80999999999999994</v>
      </c>
    </row>
    <row r="228" spans="1:8" ht="18" customHeight="1" x14ac:dyDescent="0.25">
      <c r="A228" s="1" t="s">
        <v>5508</v>
      </c>
      <c r="B228" s="1" t="s">
        <v>5001</v>
      </c>
      <c r="C228" s="1" t="s">
        <v>5047</v>
      </c>
      <c r="D228" s="6">
        <v>302</v>
      </c>
      <c r="E228" s="6">
        <v>256.7</v>
      </c>
      <c r="F228" s="1" t="s">
        <v>5048</v>
      </c>
      <c r="G228" s="6">
        <f t="shared" si="6"/>
        <v>45.300000000000011</v>
      </c>
      <c r="H228" s="7">
        <f t="shared" si="7"/>
        <v>0.85</v>
      </c>
    </row>
    <row r="229" spans="1:8" ht="18" customHeight="1" x14ac:dyDescent="0.25">
      <c r="A229" s="1" t="s">
        <v>5480</v>
      </c>
      <c r="B229" s="1" t="s">
        <v>4972</v>
      </c>
      <c r="C229" s="1" t="s">
        <v>5047</v>
      </c>
      <c r="D229" s="6">
        <v>301.79000000000002</v>
      </c>
      <c r="E229" s="6">
        <v>223.3246</v>
      </c>
      <c r="F229" s="1" t="s">
        <v>5048</v>
      </c>
      <c r="G229" s="6">
        <f t="shared" si="6"/>
        <v>78.465400000000017</v>
      </c>
      <c r="H229" s="7">
        <f t="shared" si="7"/>
        <v>0.74</v>
      </c>
    </row>
    <row r="230" spans="1:8" ht="18" customHeight="1" x14ac:dyDescent="0.25">
      <c r="A230" s="1" t="s">
        <v>5471</v>
      </c>
      <c r="B230" s="1" t="s">
        <v>4963</v>
      </c>
      <c r="C230" s="1" t="s">
        <v>5047</v>
      </c>
      <c r="D230" s="6">
        <v>301.05</v>
      </c>
      <c r="E230" s="6">
        <v>243.85050000000001</v>
      </c>
      <c r="F230" s="1" t="s">
        <v>5048</v>
      </c>
      <c r="G230" s="6">
        <f t="shared" si="6"/>
        <v>57.1995</v>
      </c>
      <c r="H230" s="7">
        <f t="shared" si="7"/>
        <v>0.81</v>
      </c>
    </row>
    <row r="231" spans="1:8" ht="18" customHeight="1" x14ac:dyDescent="0.25">
      <c r="A231" s="1" t="s">
        <v>5468</v>
      </c>
      <c r="B231" s="1" t="s">
        <v>4960</v>
      </c>
      <c r="C231" s="1" t="s">
        <v>5047</v>
      </c>
      <c r="D231" s="6">
        <v>299.76</v>
      </c>
      <c r="E231" s="6">
        <v>248.80080000000001</v>
      </c>
      <c r="F231" s="1" t="s">
        <v>5048</v>
      </c>
      <c r="G231" s="6">
        <f t="shared" si="6"/>
        <v>50.959199999999981</v>
      </c>
      <c r="H231" s="7">
        <f t="shared" si="7"/>
        <v>0.83000000000000007</v>
      </c>
    </row>
    <row r="232" spans="1:8" ht="18" customHeight="1" x14ac:dyDescent="0.25">
      <c r="A232" s="1" t="s">
        <v>5353</v>
      </c>
      <c r="B232" s="1" t="s">
        <v>4836</v>
      </c>
      <c r="C232" s="1" t="s">
        <v>5047</v>
      </c>
      <c r="D232" s="6">
        <v>299.38</v>
      </c>
      <c r="E232" s="6">
        <v>254.47300000000001</v>
      </c>
      <c r="F232" s="1" t="s">
        <v>5048</v>
      </c>
      <c r="G232" s="6">
        <f t="shared" si="6"/>
        <v>44.906999999999982</v>
      </c>
      <c r="H232" s="7">
        <f t="shared" si="7"/>
        <v>0.85000000000000009</v>
      </c>
    </row>
    <row r="233" spans="1:8" ht="18" customHeight="1" x14ac:dyDescent="0.25">
      <c r="A233" s="1" t="s">
        <v>5093</v>
      </c>
      <c r="B233" s="1" t="s">
        <v>4533</v>
      </c>
      <c r="C233" s="1" t="s">
        <v>5047</v>
      </c>
      <c r="D233" s="6">
        <v>299.19</v>
      </c>
      <c r="E233" s="6">
        <v>230.37629999999999</v>
      </c>
      <c r="F233" s="1" t="s">
        <v>5048</v>
      </c>
      <c r="G233" s="6">
        <f t="shared" si="6"/>
        <v>68.813700000000011</v>
      </c>
      <c r="H233" s="7">
        <f t="shared" si="7"/>
        <v>0.76999999999999991</v>
      </c>
    </row>
    <row r="234" spans="1:8" ht="18" customHeight="1" x14ac:dyDescent="0.25">
      <c r="A234" s="1" t="s">
        <v>5316</v>
      </c>
      <c r="B234" s="1" t="s">
        <v>4793</v>
      </c>
      <c r="C234" s="1" t="s">
        <v>5047</v>
      </c>
      <c r="D234" s="6">
        <v>298.81</v>
      </c>
      <c r="E234" s="6">
        <v>256.97660000000002</v>
      </c>
      <c r="F234" s="1" t="s">
        <v>5048</v>
      </c>
      <c r="G234" s="6">
        <f t="shared" si="6"/>
        <v>41.833399999999983</v>
      </c>
      <c r="H234" s="7">
        <f t="shared" si="7"/>
        <v>0.8600000000000001</v>
      </c>
    </row>
    <row r="235" spans="1:8" ht="18" customHeight="1" x14ac:dyDescent="0.25">
      <c r="A235" s="1" t="s">
        <v>5271</v>
      </c>
      <c r="B235" s="1" t="s">
        <v>4742</v>
      </c>
      <c r="C235" s="1" t="s">
        <v>5047</v>
      </c>
      <c r="D235" s="6">
        <v>298.52</v>
      </c>
      <c r="E235" s="6">
        <v>253.74199999999999</v>
      </c>
      <c r="F235" s="1" t="s">
        <v>5048</v>
      </c>
      <c r="G235" s="6">
        <f t="shared" si="6"/>
        <v>44.777999999999992</v>
      </c>
      <c r="H235" s="7">
        <f t="shared" si="7"/>
        <v>0.85</v>
      </c>
    </row>
    <row r="236" spans="1:8" ht="18" customHeight="1" x14ac:dyDescent="0.25">
      <c r="A236" s="1" t="s">
        <v>5521</v>
      </c>
      <c r="B236" s="1" t="s">
        <v>5014</v>
      </c>
      <c r="C236" s="1" t="s">
        <v>5047</v>
      </c>
      <c r="D236" s="6">
        <v>298.26</v>
      </c>
      <c r="E236" s="6">
        <v>208.78200000000001</v>
      </c>
      <c r="F236" s="1" t="s">
        <v>5048</v>
      </c>
      <c r="G236" s="6">
        <f t="shared" si="6"/>
        <v>89.47799999999998</v>
      </c>
      <c r="H236" s="7">
        <f t="shared" si="7"/>
        <v>0.70000000000000007</v>
      </c>
    </row>
    <row r="237" spans="1:8" ht="18" customHeight="1" x14ac:dyDescent="0.25">
      <c r="A237" s="1" t="s">
        <v>5514</v>
      </c>
      <c r="B237" s="1" t="s">
        <v>5007</v>
      </c>
      <c r="C237" s="1" t="s">
        <v>5047</v>
      </c>
      <c r="D237" s="6">
        <v>297.77</v>
      </c>
      <c r="E237" s="6">
        <v>244.17140000000001</v>
      </c>
      <c r="F237" s="1" t="s">
        <v>5048</v>
      </c>
      <c r="G237" s="6">
        <f t="shared" si="6"/>
        <v>53.598599999999976</v>
      </c>
      <c r="H237" s="7">
        <f t="shared" si="7"/>
        <v>0.82000000000000006</v>
      </c>
    </row>
    <row r="238" spans="1:8" ht="18" customHeight="1" x14ac:dyDescent="0.25">
      <c r="A238" s="1" t="s">
        <v>5423</v>
      </c>
      <c r="B238" s="1" t="s">
        <v>4910</v>
      </c>
      <c r="C238" s="1" t="s">
        <v>5047</v>
      </c>
      <c r="D238" s="6">
        <v>297.69</v>
      </c>
      <c r="E238" s="6">
        <v>217.31370000000001</v>
      </c>
      <c r="F238" s="1" t="s">
        <v>5048</v>
      </c>
      <c r="G238" s="6">
        <f t="shared" si="6"/>
        <v>80.376299999999986</v>
      </c>
      <c r="H238" s="7">
        <f t="shared" si="7"/>
        <v>0.73000000000000009</v>
      </c>
    </row>
    <row r="239" spans="1:8" ht="18" customHeight="1" x14ac:dyDescent="0.25">
      <c r="A239" s="1" t="s">
        <v>5310</v>
      </c>
      <c r="B239" s="1" t="s">
        <v>4787</v>
      </c>
      <c r="C239" s="1" t="s">
        <v>5047</v>
      </c>
      <c r="D239" s="6">
        <v>293.10000000000002</v>
      </c>
      <c r="E239" s="6">
        <v>231.54900000000001</v>
      </c>
      <c r="F239" s="1" t="s">
        <v>5048</v>
      </c>
      <c r="G239" s="6">
        <f t="shared" si="6"/>
        <v>61.551000000000016</v>
      </c>
      <c r="H239" s="7">
        <f t="shared" si="7"/>
        <v>0.78999999999999992</v>
      </c>
    </row>
    <row r="240" spans="1:8" ht="18" customHeight="1" x14ac:dyDescent="0.25">
      <c r="A240" s="1" t="s">
        <v>5121</v>
      </c>
      <c r="B240" s="1" t="s">
        <v>4562</v>
      </c>
      <c r="C240" s="1" t="s">
        <v>5047</v>
      </c>
      <c r="D240" s="6">
        <v>290.81</v>
      </c>
      <c r="E240" s="6">
        <v>212.29130000000001</v>
      </c>
      <c r="F240" s="1" t="s">
        <v>5048</v>
      </c>
      <c r="G240" s="6">
        <f t="shared" si="6"/>
        <v>78.518699999999995</v>
      </c>
      <c r="H240" s="7">
        <f t="shared" si="7"/>
        <v>0.73</v>
      </c>
    </row>
    <row r="241" spans="1:8" ht="18" customHeight="1" x14ac:dyDescent="0.25">
      <c r="A241" s="1" t="s">
        <v>5209</v>
      </c>
      <c r="B241" s="1" t="s">
        <v>4669</v>
      </c>
      <c r="C241" s="1" t="s">
        <v>5047</v>
      </c>
      <c r="D241" s="6">
        <v>289.74</v>
      </c>
      <c r="E241" s="6">
        <v>246.279</v>
      </c>
      <c r="F241" s="1" t="s">
        <v>5048</v>
      </c>
      <c r="G241" s="6">
        <f t="shared" si="6"/>
        <v>43.461000000000013</v>
      </c>
      <c r="H241" s="7">
        <f t="shared" si="7"/>
        <v>0.85</v>
      </c>
    </row>
    <row r="242" spans="1:8" ht="18" customHeight="1" x14ac:dyDescent="0.25">
      <c r="A242" s="1" t="s">
        <v>5159</v>
      </c>
      <c r="B242" s="1" t="s">
        <v>4607</v>
      </c>
      <c r="C242" s="1" t="s">
        <v>5047</v>
      </c>
      <c r="D242" s="6">
        <v>288.77999999999997</v>
      </c>
      <c r="E242" s="6">
        <v>216.58500000000001</v>
      </c>
      <c r="F242" s="1" t="s">
        <v>5048</v>
      </c>
      <c r="G242" s="6">
        <f t="shared" si="6"/>
        <v>72.194999999999965</v>
      </c>
      <c r="H242" s="7">
        <f t="shared" si="7"/>
        <v>0.75000000000000011</v>
      </c>
    </row>
    <row r="243" spans="1:8" ht="18" customHeight="1" x14ac:dyDescent="0.25">
      <c r="A243" s="1" t="s">
        <v>5437</v>
      </c>
      <c r="B243" s="1" t="s">
        <v>4924</v>
      </c>
      <c r="C243" s="1" t="s">
        <v>5047</v>
      </c>
      <c r="D243" s="6">
        <v>287.5</v>
      </c>
      <c r="E243" s="6">
        <v>253</v>
      </c>
      <c r="F243" s="1" t="s">
        <v>5048</v>
      </c>
      <c r="G243" s="6">
        <f t="shared" si="6"/>
        <v>34.5</v>
      </c>
      <c r="H243" s="7">
        <f t="shared" si="7"/>
        <v>0.88</v>
      </c>
    </row>
    <row r="244" spans="1:8" ht="18" customHeight="1" x14ac:dyDescent="0.25">
      <c r="A244" s="1" t="s">
        <v>5449</v>
      </c>
      <c r="B244" s="1" t="s">
        <v>4937</v>
      </c>
      <c r="C244" s="1" t="s">
        <v>5047</v>
      </c>
      <c r="D244" s="6">
        <v>287.37</v>
      </c>
      <c r="E244" s="6">
        <v>227.0223</v>
      </c>
      <c r="F244" s="1" t="s">
        <v>5048</v>
      </c>
      <c r="G244" s="6">
        <f t="shared" si="6"/>
        <v>60.347700000000003</v>
      </c>
      <c r="H244" s="7">
        <f t="shared" si="7"/>
        <v>0.79</v>
      </c>
    </row>
    <row r="245" spans="1:8" ht="18" customHeight="1" x14ac:dyDescent="0.25">
      <c r="A245" s="1" t="s">
        <v>5254</v>
      </c>
      <c r="B245" s="1" t="s">
        <v>4719</v>
      </c>
      <c r="C245" s="1" t="s">
        <v>5047</v>
      </c>
      <c r="D245" s="6">
        <v>286.76</v>
      </c>
      <c r="E245" s="6">
        <v>215.07</v>
      </c>
      <c r="F245" s="1" t="s">
        <v>5048</v>
      </c>
      <c r="G245" s="6">
        <f t="shared" si="6"/>
        <v>71.69</v>
      </c>
      <c r="H245" s="7">
        <f t="shared" si="7"/>
        <v>0.75</v>
      </c>
    </row>
    <row r="246" spans="1:8" ht="18" customHeight="1" x14ac:dyDescent="0.25">
      <c r="A246" s="1" t="s">
        <v>5174</v>
      </c>
      <c r="B246" s="1" t="s">
        <v>4629</v>
      </c>
      <c r="C246" s="1" t="s">
        <v>5047</v>
      </c>
      <c r="D246" s="6">
        <v>286.74</v>
      </c>
      <c r="E246" s="6">
        <v>203.58539999999999</v>
      </c>
      <c r="F246" s="1" t="s">
        <v>5048</v>
      </c>
      <c r="G246" s="6">
        <f t="shared" si="6"/>
        <v>83.154600000000016</v>
      </c>
      <c r="H246" s="7">
        <f t="shared" si="7"/>
        <v>0.71</v>
      </c>
    </row>
    <row r="247" spans="1:8" ht="18" customHeight="1" x14ac:dyDescent="0.25">
      <c r="A247" s="1" t="s">
        <v>5198</v>
      </c>
      <c r="B247" s="1" t="s">
        <v>4656</v>
      </c>
      <c r="C247" s="1" t="s">
        <v>5047</v>
      </c>
      <c r="D247" s="6">
        <v>286.08</v>
      </c>
      <c r="E247" s="6">
        <v>208.83840000000001</v>
      </c>
      <c r="F247" s="1" t="s">
        <v>5048</v>
      </c>
      <c r="G247" s="6">
        <f t="shared" si="6"/>
        <v>77.241599999999977</v>
      </c>
      <c r="H247" s="7">
        <f t="shared" si="7"/>
        <v>0.73000000000000009</v>
      </c>
    </row>
    <row r="248" spans="1:8" ht="18" customHeight="1" x14ac:dyDescent="0.25">
      <c r="A248" s="1" t="s">
        <v>5261</v>
      </c>
      <c r="B248" s="1" t="s">
        <v>4728</v>
      </c>
      <c r="C248" s="1" t="s">
        <v>5047</v>
      </c>
      <c r="D248" s="6">
        <v>284.2</v>
      </c>
      <c r="E248" s="6">
        <v>255.78</v>
      </c>
      <c r="F248" s="1" t="s">
        <v>5048</v>
      </c>
      <c r="G248" s="6">
        <f t="shared" si="6"/>
        <v>28.419999999999987</v>
      </c>
      <c r="H248" s="7">
        <f t="shared" si="7"/>
        <v>0.9</v>
      </c>
    </row>
    <row r="249" spans="1:8" ht="18" customHeight="1" x14ac:dyDescent="0.25">
      <c r="A249" s="1" t="s">
        <v>5484</v>
      </c>
      <c r="B249" s="1" t="s">
        <v>4977</v>
      </c>
      <c r="C249" s="1" t="s">
        <v>5047</v>
      </c>
      <c r="D249" s="6">
        <v>282.16000000000003</v>
      </c>
      <c r="E249" s="6">
        <v>248.30080000000001</v>
      </c>
      <c r="F249" s="1" t="s">
        <v>5048</v>
      </c>
      <c r="G249" s="6">
        <f t="shared" si="6"/>
        <v>33.859200000000016</v>
      </c>
      <c r="H249" s="7">
        <f t="shared" si="7"/>
        <v>0.88</v>
      </c>
    </row>
    <row r="250" spans="1:8" ht="18" customHeight="1" x14ac:dyDescent="0.25">
      <c r="A250" s="1" t="s">
        <v>5453</v>
      </c>
      <c r="B250" s="1" t="s">
        <v>4941</v>
      </c>
      <c r="C250" s="1" t="s">
        <v>5047</v>
      </c>
      <c r="D250" s="6">
        <v>281.73</v>
      </c>
      <c r="E250" s="6">
        <v>202.84559999999999</v>
      </c>
      <c r="F250" s="1" t="s">
        <v>5048</v>
      </c>
      <c r="G250" s="6">
        <f t="shared" si="6"/>
        <v>78.884400000000028</v>
      </c>
      <c r="H250" s="7">
        <f t="shared" si="7"/>
        <v>0.72</v>
      </c>
    </row>
    <row r="251" spans="1:8" ht="18" customHeight="1" x14ac:dyDescent="0.25">
      <c r="A251" s="1" t="s">
        <v>5072</v>
      </c>
      <c r="B251" s="1" t="s">
        <v>4510</v>
      </c>
      <c r="C251" s="1" t="s">
        <v>5047</v>
      </c>
      <c r="D251" s="6">
        <v>281.69</v>
      </c>
      <c r="E251" s="6">
        <v>205.6337</v>
      </c>
      <c r="F251" s="1" t="s">
        <v>5048</v>
      </c>
      <c r="G251" s="6">
        <f t="shared" si="6"/>
        <v>76.056299999999993</v>
      </c>
      <c r="H251" s="7">
        <f t="shared" si="7"/>
        <v>0.73</v>
      </c>
    </row>
    <row r="252" spans="1:8" ht="18" customHeight="1" x14ac:dyDescent="0.25">
      <c r="A252" s="1" t="s">
        <v>5084</v>
      </c>
      <c r="B252" s="1" t="s">
        <v>4522</v>
      </c>
      <c r="C252" s="1" t="s">
        <v>5047</v>
      </c>
      <c r="D252" s="6">
        <v>281.61</v>
      </c>
      <c r="E252" s="6">
        <v>236.55240000000001</v>
      </c>
      <c r="F252" s="1" t="s">
        <v>5048</v>
      </c>
      <c r="G252" s="6">
        <f t="shared" si="6"/>
        <v>45.057600000000008</v>
      </c>
      <c r="H252" s="7">
        <f t="shared" si="7"/>
        <v>0.84</v>
      </c>
    </row>
    <row r="253" spans="1:8" ht="18" customHeight="1" x14ac:dyDescent="0.25">
      <c r="A253" s="1" t="s">
        <v>5248</v>
      </c>
      <c r="B253" s="1" t="s">
        <v>4713</v>
      </c>
      <c r="C253" s="1" t="s">
        <v>5047</v>
      </c>
      <c r="D253" s="6">
        <v>281.08999999999997</v>
      </c>
      <c r="E253" s="6">
        <v>233.3047</v>
      </c>
      <c r="F253" s="1" t="s">
        <v>5048</v>
      </c>
      <c r="G253" s="6">
        <f t="shared" si="6"/>
        <v>47.785299999999978</v>
      </c>
      <c r="H253" s="7">
        <f t="shared" si="7"/>
        <v>0.83000000000000007</v>
      </c>
    </row>
    <row r="254" spans="1:8" ht="18" customHeight="1" x14ac:dyDescent="0.25">
      <c r="A254" s="1" t="s">
        <v>5184</v>
      </c>
      <c r="B254" s="1" t="s">
        <v>4640</v>
      </c>
      <c r="C254" s="1" t="s">
        <v>5047</v>
      </c>
      <c r="D254" s="6">
        <v>276.64</v>
      </c>
      <c r="E254" s="6">
        <v>215.7792</v>
      </c>
      <c r="F254" s="1" t="s">
        <v>5048</v>
      </c>
      <c r="G254" s="6">
        <f t="shared" si="6"/>
        <v>60.860799999999983</v>
      </c>
      <c r="H254" s="7">
        <f t="shared" si="7"/>
        <v>0.78</v>
      </c>
    </row>
    <row r="255" spans="1:8" ht="18" customHeight="1" x14ac:dyDescent="0.25">
      <c r="A255" s="1" t="s">
        <v>5424</v>
      </c>
      <c r="B255" s="1" t="s">
        <v>4911</v>
      </c>
      <c r="C255" s="1" t="s">
        <v>5047</v>
      </c>
      <c r="D255" s="6">
        <v>274.72000000000003</v>
      </c>
      <c r="E255" s="6">
        <v>219.77600000000001</v>
      </c>
      <c r="F255" s="1" t="s">
        <v>5048</v>
      </c>
      <c r="G255" s="6">
        <f t="shared" si="6"/>
        <v>54.944000000000017</v>
      </c>
      <c r="H255" s="7">
        <f t="shared" si="7"/>
        <v>0.79999999999999993</v>
      </c>
    </row>
    <row r="256" spans="1:8" ht="18" customHeight="1" x14ac:dyDescent="0.25">
      <c r="A256" s="1" t="s">
        <v>5304</v>
      </c>
      <c r="B256" s="1" t="s">
        <v>4781</v>
      </c>
      <c r="C256" s="1" t="s">
        <v>5047</v>
      </c>
      <c r="D256" s="6">
        <v>274.70999999999998</v>
      </c>
      <c r="E256" s="6">
        <v>195.04409999999999</v>
      </c>
      <c r="F256" s="1" t="s">
        <v>5048</v>
      </c>
      <c r="G256" s="6">
        <f t="shared" si="6"/>
        <v>79.665899999999993</v>
      </c>
      <c r="H256" s="7">
        <f t="shared" si="7"/>
        <v>0.71</v>
      </c>
    </row>
    <row r="257" spans="1:8" ht="18" customHeight="1" x14ac:dyDescent="0.25">
      <c r="A257" s="1" t="s">
        <v>5530</v>
      </c>
      <c r="B257" s="1" t="s">
        <v>5023</v>
      </c>
      <c r="C257" s="1" t="s">
        <v>5047</v>
      </c>
      <c r="D257" s="6">
        <v>274.61</v>
      </c>
      <c r="E257" s="6">
        <v>230.67240000000001</v>
      </c>
      <c r="F257" s="1" t="s">
        <v>5048</v>
      </c>
      <c r="G257" s="6">
        <f t="shared" si="6"/>
        <v>43.937600000000003</v>
      </c>
      <c r="H257" s="7">
        <f t="shared" si="7"/>
        <v>0.84</v>
      </c>
    </row>
    <row r="258" spans="1:8" ht="18" customHeight="1" x14ac:dyDescent="0.25">
      <c r="A258" s="1" t="s">
        <v>5054</v>
      </c>
      <c r="B258" s="1" t="s">
        <v>4488</v>
      </c>
      <c r="C258" s="1" t="s">
        <v>5047</v>
      </c>
      <c r="D258" s="6">
        <v>274.35000000000002</v>
      </c>
      <c r="E258" s="6">
        <v>244.17150000000001</v>
      </c>
      <c r="F258" s="1" t="s">
        <v>5048</v>
      </c>
      <c r="G258" s="6">
        <f t="shared" ref="G258:G321" si="8">D258-E258</f>
        <v>30.178500000000014</v>
      </c>
      <c r="H258" s="7">
        <f t="shared" ref="H258:H321" si="9">IFERROR(E258/D258,0)</f>
        <v>0.89</v>
      </c>
    </row>
    <row r="259" spans="1:8" ht="18" customHeight="1" x14ac:dyDescent="0.25">
      <c r="A259" s="1" t="s">
        <v>5434</v>
      </c>
      <c r="B259" s="1" t="s">
        <v>4921</v>
      </c>
      <c r="C259" s="1" t="s">
        <v>5047</v>
      </c>
      <c r="D259" s="6">
        <v>273.55</v>
      </c>
      <c r="E259" s="6">
        <v>218.84</v>
      </c>
      <c r="F259" s="1" t="s">
        <v>5048</v>
      </c>
      <c r="G259" s="6">
        <f t="shared" si="8"/>
        <v>54.710000000000008</v>
      </c>
      <c r="H259" s="7">
        <f t="shared" si="9"/>
        <v>0.79999999999999993</v>
      </c>
    </row>
    <row r="260" spans="1:8" ht="18" customHeight="1" x14ac:dyDescent="0.25">
      <c r="A260" s="1" t="s">
        <v>5256</v>
      </c>
      <c r="B260" s="1" t="s">
        <v>4721</v>
      </c>
      <c r="C260" s="1" t="s">
        <v>5047</v>
      </c>
      <c r="D260" s="6">
        <v>273.08</v>
      </c>
      <c r="E260" s="6">
        <v>204.81</v>
      </c>
      <c r="F260" s="1" t="s">
        <v>5048</v>
      </c>
      <c r="G260" s="6">
        <f t="shared" si="8"/>
        <v>68.269999999999982</v>
      </c>
      <c r="H260" s="7">
        <f t="shared" si="9"/>
        <v>0.75</v>
      </c>
    </row>
    <row r="261" spans="1:8" ht="18" customHeight="1" x14ac:dyDescent="0.25">
      <c r="A261" s="1" t="s">
        <v>5528</v>
      </c>
      <c r="B261" s="1" t="s">
        <v>5021</v>
      </c>
      <c r="C261" s="1" t="s">
        <v>5047</v>
      </c>
      <c r="D261" s="6">
        <v>273.06</v>
      </c>
      <c r="E261" s="6">
        <v>212.98679999999999</v>
      </c>
      <c r="F261" s="1" t="s">
        <v>5048</v>
      </c>
      <c r="G261" s="6">
        <f t="shared" si="8"/>
        <v>60.073200000000014</v>
      </c>
      <c r="H261" s="7">
        <f t="shared" si="9"/>
        <v>0.77999999999999992</v>
      </c>
    </row>
    <row r="262" spans="1:8" ht="18" customHeight="1" x14ac:dyDescent="0.25">
      <c r="A262" s="1" t="s">
        <v>5542</v>
      </c>
      <c r="B262" s="1" t="s">
        <v>5035</v>
      </c>
      <c r="C262" s="1" t="s">
        <v>5047</v>
      </c>
      <c r="D262" s="6">
        <v>272.33</v>
      </c>
      <c r="E262" s="6">
        <v>245.09700000000001</v>
      </c>
      <c r="F262" s="1" t="s">
        <v>5048</v>
      </c>
      <c r="G262" s="6">
        <f t="shared" si="8"/>
        <v>27.232999999999976</v>
      </c>
      <c r="H262" s="7">
        <f t="shared" si="9"/>
        <v>0.90000000000000013</v>
      </c>
    </row>
    <row r="263" spans="1:8" ht="18" customHeight="1" x14ac:dyDescent="0.25">
      <c r="A263" s="1" t="s">
        <v>5540</v>
      </c>
      <c r="B263" s="1" t="s">
        <v>5033</v>
      </c>
      <c r="C263" s="1" t="s">
        <v>5047</v>
      </c>
      <c r="D263" s="6">
        <v>271.89</v>
      </c>
      <c r="E263" s="6">
        <v>228.38759999999999</v>
      </c>
      <c r="F263" s="1" t="s">
        <v>5048</v>
      </c>
      <c r="G263" s="6">
        <f t="shared" si="8"/>
        <v>43.502399999999994</v>
      </c>
      <c r="H263" s="7">
        <f t="shared" si="9"/>
        <v>0.84</v>
      </c>
    </row>
    <row r="264" spans="1:8" ht="18" customHeight="1" x14ac:dyDescent="0.25">
      <c r="A264" s="1" t="s">
        <v>5083</v>
      </c>
      <c r="B264" s="1" t="s">
        <v>4521</v>
      </c>
      <c r="C264" s="1" t="s">
        <v>5047</v>
      </c>
      <c r="D264" s="6">
        <v>270.82</v>
      </c>
      <c r="E264" s="6">
        <v>194.99039999999999</v>
      </c>
      <c r="F264" s="1" t="s">
        <v>5048</v>
      </c>
      <c r="G264" s="6">
        <f t="shared" si="8"/>
        <v>75.829599999999999</v>
      </c>
      <c r="H264" s="7">
        <f t="shared" si="9"/>
        <v>0.72</v>
      </c>
    </row>
    <row r="265" spans="1:8" ht="18" customHeight="1" x14ac:dyDescent="0.25">
      <c r="A265" s="1" t="s">
        <v>5479</v>
      </c>
      <c r="B265" s="1" t="s">
        <v>4971</v>
      </c>
      <c r="C265" s="1" t="s">
        <v>5047</v>
      </c>
      <c r="D265" s="6">
        <v>269.87</v>
      </c>
      <c r="E265" s="6">
        <v>191.60769999999999</v>
      </c>
      <c r="F265" s="1" t="s">
        <v>5048</v>
      </c>
      <c r="G265" s="6">
        <f t="shared" si="8"/>
        <v>78.26230000000001</v>
      </c>
      <c r="H265" s="7">
        <f t="shared" si="9"/>
        <v>0.71</v>
      </c>
    </row>
    <row r="266" spans="1:8" ht="18" customHeight="1" x14ac:dyDescent="0.25">
      <c r="A266" s="1" t="s">
        <v>5457</v>
      </c>
      <c r="B266" s="1" t="s">
        <v>4947</v>
      </c>
      <c r="C266" s="1" t="s">
        <v>5047</v>
      </c>
      <c r="D266" s="6">
        <v>269.31</v>
      </c>
      <c r="E266" s="6">
        <v>191.21010000000001</v>
      </c>
      <c r="F266" s="1" t="s">
        <v>5048</v>
      </c>
      <c r="G266" s="6">
        <f t="shared" si="8"/>
        <v>78.099899999999991</v>
      </c>
      <c r="H266" s="7">
        <f t="shared" si="9"/>
        <v>0.71000000000000008</v>
      </c>
    </row>
    <row r="267" spans="1:8" ht="18" customHeight="1" x14ac:dyDescent="0.25">
      <c r="A267" s="1" t="s">
        <v>5277</v>
      </c>
      <c r="B267" s="1" t="s">
        <v>4749</v>
      </c>
      <c r="C267" s="1" t="s">
        <v>5047</v>
      </c>
      <c r="D267" s="6">
        <v>267.85000000000002</v>
      </c>
      <c r="E267" s="6">
        <v>233.02950000000001</v>
      </c>
      <c r="F267" s="1" t="s">
        <v>5048</v>
      </c>
      <c r="G267" s="6">
        <f t="shared" si="8"/>
        <v>34.82050000000001</v>
      </c>
      <c r="H267" s="7">
        <f t="shared" si="9"/>
        <v>0.87</v>
      </c>
    </row>
    <row r="268" spans="1:8" ht="18" customHeight="1" x14ac:dyDescent="0.25">
      <c r="A268" s="1" t="s">
        <v>5060</v>
      </c>
      <c r="B268" s="1" t="s">
        <v>4496</v>
      </c>
      <c r="C268" s="1" t="s">
        <v>5047</v>
      </c>
      <c r="D268" s="6">
        <v>267.22000000000003</v>
      </c>
      <c r="E268" s="6">
        <v>229.8092</v>
      </c>
      <c r="F268" s="1" t="s">
        <v>5048</v>
      </c>
      <c r="G268" s="6">
        <f t="shared" si="8"/>
        <v>37.410800000000023</v>
      </c>
      <c r="H268" s="7">
        <f t="shared" si="9"/>
        <v>0.85999999999999988</v>
      </c>
    </row>
    <row r="269" spans="1:8" ht="18" customHeight="1" x14ac:dyDescent="0.25">
      <c r="A269" s="1" t="s">
        <v>5299</v>
      </c>
      <c r="B269" s="1" t="s">
        <v>4776</v>
      </c>
      <c r="C269" s="1" t="s">
        <v>5047</v>
      </c>
      <c r="D269" s="6">
        <v>267</v>
      </c>
      <c r="E269" s="6">
        <v>208.26</v>
      </c>
      <c r="F269" s="1" t="s">
        <v>5048</v>
      </c>
      <c r="G269" s="6">
        <f t="shared" si="8"/>
        <v>58.740000000000009</v>
      </c>
      <c r="H269" s="7">
        <f t="shared" si="9"/>
        <v>0.77999999999999992</v>
      </c>
    </row>
    <row r="270" spans="1:8" ht="18" customHeight="1" x14ac:dyDescent="0.25">
      <c r="A270" s="1" t="s">
        <v>5242</v>
      </c>
      <c r="B270" s="1" t="s">
        <v>4705</v>
      </c>
      <c r="C270" s="1" t="s">
        <v>5047</v>
      </c>
      <c r="D270" s="6">
        <v>265.76</v>
      </c>
      <c r="E270" s="6">
        <v>215.26560000000001</v>
      </c>
      <c r="F270" s="1" t="s">
        <v>5048</v>
      </c>
      <c r="G270" s="6">
        <f t="shared" si="8"/>
        <v>50.494399999999985</v>
      </c>
      <c r="H270" s="7">
        <f t="shared" si="9"/>
        <v>0.81</v>
      </c>
    </row>
    <row r="271" spans="1:8" ht="18" customHeight="1" x14ac:dyDescent="0.25">
      <c r="A271" s="1" t="s">
        <v>5222</v>
      </c>
      <c r="B271" s="1" t="s">
        <v>4683</v>
      </c>
      <c r="C271" s="1" t="s">
        <v>5047</v>
      </c>
      <c r="D271" s="6">
        <v>263.32</v>
      </c>
      <c r="E271" s="6">
        <v>218.5556</v>
      </c>
      <c r="F271" s="1" t="s">
        <v>5048</v>
      </c>
      <c r="G271" s="6">
        <f t="shared" si="8"/>
        <v>44.764399999999995</v>
      </c>
      <c r="H271" s="7">
        <f t="shared" si="9"/>
        <v>0.83</v>
      </c>
    </row>
    <row r="272" spans="1:8" ht="18" customHeight="1" x14ac:dyDescent="0.25">
      <c r="A272" s="1" t="s">
        <v>5109</v>
      </c>
      <c r="B272" s="1" t="s">
        <v>4550</v>
      </c>
      <c r="C272" s="1" t="s">
        <v>5047</v>
      </c>
      <c r="D272" s="6">
        <v>262.35000000000002</v>
      </c>
      <c r="E272" s="6">
        <v>215.12700000000001</v>
      </c>
      <c r="F272" s="1" t="s">
        <v>5048</v>
      </c>
      <c r="G272" s="6">
        <f t="shared" si="8"/>
        <v>47.223000000000013</v>
      </c>
      <c r="H272" s="7">
        <f t="shared" si="9"/>
        <v>0.82</v>
      </c>
    </row>
    <row r="273" spans="1:8" ht="18" customHeight="1" x14ac:dyDescent="0.25">
      <c r="A273" s="1" t="s">
        <v>5454</v>
      </c>
      <c r="B273" s="1" t="s">
        <v>4943</v>
      </c>
      <c r="C273" s="1" t="s">
        <v>5047</v>
      </c>
      <c r="D273" s="6">
        <v>258.99</v>
      </c>
      <c r="E273" s="6">
        <v>183.88290000000001</v>
      </c>
      <c r="F273" s="1" t="s">
        <v>5048</v>
      </c>
      <c r="G273" s="6">
        <f t="shared" si="8"/>
        <v>75.107100000000003</v>
      </c>
      <c r="H273" s="7">
        <f t="shared" si="9"/>
        <v>0.71</v>
      </c>
    </row>
    <row r="274" spans="1:8" ht="18" customHeight="1" x14ac:dyDescent="0.25">
      <c r="A274" s="1" t="s">
        <v>5546</v>
      </c>
      <c r="B274" s="1" t="s">
        <v>5039</v>
      </c>
      <c r="C274" s="1" t="s">
        <v>5047</v>
      </c>
      <c r="D274" s="6">
        <v>258.33</v>
      </c>
      <c r="E274" s="6">
        <v>216.99719999999999</v>
      </c>
      <c r="F274" s="1" t="s">
        <v>5048</v>
      </c>
      <c r="G274" s="6">
        <f t="shared" si="8"/>
        <v>41.332799999999992</v>
      </c>
      <c r="H274" s="7">
        <f t="shared" si="9"/>
        <v>0.84</v>
      </c>
    </row>
    <row r="275" spans="1:8" ht="18" customHeight="1" x14ac:dyDescent="0.25">
      <c r="A275" s="1" t="s">
        <v>5157</v>
      </c>
      <c r="B275" s="1" t="s">
        <v>4605</v>
      </c>
      <c r="C275" s="1" t="s">
        <v>5047</v>
      </c>
      <c r="D275" s="6">
        <v>258.12</v>
      </c>
      <c r="E275" s="6">
        <v>209.0772</v>
      </c>
      <c r="F275" s="1" t="s">
        <v>5048</v>
      </c>
      <c r="G275" s="6">
        <f t="shared" si="8"/>
        <v>49.0428</v>
      </c>
      <c r="H275" s="7">
        <f t="shared" si="9"/>
        <v>0.81</v>
      </c>
    </row>
    <row r="276" spans="1:8" ht="18" customHeight="1" x14ac:dyDescent="0.25">
      <c r="A276" s="1" t="s">
        <v>5252</v>
      </c>
      <c r="B276" s="1" t="s">
        <v>4717</v>
      </c>
      <c r="C276" s="1" t="s">
        <v>5047</v>
      </c>
      <c r="D276" s="6">
        <v>258</v>
      </c>
      <c r="E276" s="6">
        <v>221.88</v>
      </c>
      <c r="F276" s="1" t="s">
        <v>5048</v>
      </c>
      <c r="G276" s="6">
        <f t="shared" si="8"/>
        <v>36.120000000000005</v>
      </c>
      <c r="H276" s="7">
        <f t="shared" si="9"/>
        <v>0.86</v>
      </c>
    </row>
    <row r="277" spans="1:8" ht="18" customHeight="1" x14ac:dyDescent="0.25">
      <c r="A277" s="1" t="s">
        <v>5123</v>
      </c>
      <c r="B277" s="1" t="s">
        <v>4566</v>
      </c>
      <c r="C277" s="1" t="s">
        <v>5047</v>
      </c>
      <c r="D277" s="6">
        <v>255.45</v>
      </c>
      <c r="E277" s="6">
        <v>222.2415</v>
      </c>
      <c r="F277" s="1" t="s">
        <v>5048</v>
      </c>
      <c r="G277" s="6">
        <f t="shared" si="8"/>
        <v>33.208499999999987</v>
      </c>
      <c r="H277" s="7">
        <f t="shared" si="9"/>
        <v>0.87</v>
      </c>
    </row>
    <row r="278" spans="1:8" ht="18" customHeight="1" x14ac:dyDescent="0.25">
      <c r="A278" s="1" t="s">
        <v>5428</v>
      </c>
      <c r="B278" s="1" t="s">
        <v>4915</v>
      </c>
      <c r="C278" s="1" t="s">
        <v>5047</v>
      </c>
      <c r="D278" s="6">
        <v>255.3</v>
      </c>
      <c r="E278" s="6">
        <v>217.005</v>
      </c>
      <c r="F278" s="1" t="s">
        <v>5048</v>
      </c>
      <c r="G278" s="6">
        <f t="shared" si="8"/>
        <v>38.295000000000016</v>
      </c>
      <c r="H278" s="7">
        <f t="shared" si="9"/>
        <v>0.85</v>
      </c>
    </row>
    <row r="279" spans="1:8" ht="18" customHeight="1" x14ac:dyDescent="0.25">
      <c r="A279" s="1" t="s">
        <v>5352</v>
      </c>
      <c r="B279" s="1" t="s">
        <v>4835</v>
      </c>
      <c r="C279" s="1" t="s">
        <v>5047</v>
      </c>
      <c r="D279" s="6">
        <v>254.71</v>
      </c>
      <c r="E279" s="6">
        <v>221.5977</v>
      </c>
      <c r="F279" s="1" t="s">
        <v>5048</v>
      </c>
      <c r="G279" s="6">
        <f t="shared" si="8"/>
        <v>33.112300000000005</v>
      </c>
      <c r="H279" s="7">
        <f t="shared" si="9"/>
        <v>0.87</v>
      </c>
    </row>
    <row r="280" spans="1:8" ht="18" customHeight="1" x14ac:dyDescent="0.25">
      <c r="A280" s="1" t="s">
        <v>5112</v>
      </c>
      <c r="B280" s="1" t="s">
        <v>4553</v>
      </c>
      <c r="C280" s="1" t="s">
        <v>5047</v>
      </c>
      <c r="D280" s="6">
        <v>253.39</v>
      </c>
      <c r="E280" s="6">
        <v>184.97470000000001</v>
      </c>
      <c r="F280" s="1" t="s">
        <v>5048</v>
      </c>
      <c r="G280" s="6">
        <f t="shared" si="8"/>
        <v>68.415299999999974</v>
      </c>
      <c r="H280" s="7">
        <f t="shared" si="9"/>
        <v>0.73000000000000009</v>
      </c>
    </row>
    <row r="281" spans="1:8" ht="18" customHeight="1" x14ac:dyDescent="0.25">
      <c r="A281" s="1" t="s">
        <v>5433</v>
      </c>
      <c r="B281" s="1" t="s">
        <v>4920</v>
      </c>
      <c r="C281" s="1" t="s">
        <v>5047</v>
      </c>
      <c r="D281" s="6">
        <v>253.12</v>
      </c>
      <c r="E281" s="6">
        <v>220.21440000000001</v>
      </c>
      <c r="F281" s="1" t="s">
        <v>5048</v>
      </c>
      <c r="G281" s="6">
        <f t="shared" si="8"/>
        <v>32.905599999999993</v>
      </c>
      <c r="H281" s="7">
        <f t="shared" si="9"/>
        <v>0.87</v>
      </c>
    </row>
    <row r="282" spans="1:8" ht="18" customHeight="1" x14ac:dyDescent="0.25">
      <c r="A282" s="1" t="s">
        <v>5108</v>
      </c>
      <c r="B282" s="1" t="s">
        <v>4549</v>
      </c>
      <c r="C282" s="1" t="s">
        <v>5047</v>
      </c>
      <c r="D282" s="6">
        <v>252.88</v>
      </c>
      <c r="E282" s="6">
        <v>204.83279999999999</v>
      </c>
      <c r="F282" s="1" t="s">
        <v>5048</v>
      </c>
      <c r="G282" s="6">
        <f t="shared" si="8"/>
        <v>48.047200000000004</v>
      </c>
      <c r="H282" s="7">
        <f t="shared" si="9"/>
        <v>0.80999999999999994</v>
      </c>
    </row>
    <row r="283" spans="1:8" ht="18" customHeight="1" x14ac:dyDescent="0.25">
      <c r="A283" s="1" t="s">
        <v>5210</v>
      </c>
      <c r="B283" s="1" t="s">
        <v>4670</v>
      </c>
      <c r="C283" s="1" t="s">
        <v>5047</v>
      </c>
      <c r="D283" s="6">
        <v>252.69</v>
      </c>
      <c r="E283" s="6">
        <v>186.9906</v>
      </c>
      <c r="F283" s="1" t="s">
        <v>5048</v>
      </c>
      <c r="G283" s="6">
        <f t="shared" si="8"/>
        <v>65.699399999999997</v>
      </c>
      <c r="H283" s="7">
        <f t="shared" si="9"/>
        <v>0.74</v>
      </c>
    </row>
    <row r="284" spans="1:8" ht="18" customHeight="1" x14ac:dyDescent="0.25">
      <c r="A284" s="1" t="s">
        <v>5489</v>
      </c>
      <c r="B284" s="1" t="s">
        <v>4982</v>
      </c>
      <c r="C284" s="1" t="s">
        <v>5047</v>
      </c>
      <c r="D284" s="6">
        <v>250.93</v>
      </c>
      <c r="E284" s="6">
        <v>223.32769999999999</v>
      </c>
      <c r="F284" s="1" t="s">
        <v>5048</v>
      </c>
      <c r="G284" s="6">
        <f t="shared" si="8"/>
        <v>27.602300000000014</v>
      </c>
      <c r="H284" s="7">
        <f t="shared" si="9"/>
        <v>0.8899999999999999</v>
      </c>
    </row>
    <row r="285" spans="1:8" ht="18" customHeight="1" x14ac:dyDescent="0.25">
      <c r="A285" s="1" t="s">
        <v>5341</v>
      </c>
      <c r="B285" s="1" t="s">
        <v>4822</v>
      </c>
      <c r="C285" s="1" t="s">
        <v>5047</v>
      </c>
      <c r="D285" s="6">
        <v>250.82</v>
      </c>
      <c r="E285" s="6">
        <v>208.1806</v>
      </c>
      <c r="F285" s="1" t="s">
        <v>5048</v>
      </c>
      <c r="G285" s="6">
        <f t="shared" si="8"/>
        <v>42.639399999999995</v>
      </c>
      <c r="H285" s="7">
        <f t="shared" si="9"/>
        <v>0.83000000000000007</v>
      </c>
    </row>
    <row r="286" spans="1:8" ht="18" customHeight="1" x14ac:dyDescent="0.25">
      <c r="A286" s="1" t="s">
        <v>5324</v>
      </c>
      <c r="B286" s="1" t="s">
        <v>4801</v>
      </c>
      <c r="C286" s="1" t="s">
        <v>5047</v>
      </c>
      <c r="D286" s="6">
        <v>250.64</v>
      </c>
      <c r="E286" s="6">
        <v>177.95439999999999</v>
      </c>
      <c r="F286" s="1" t="s">
        <v>5048</v>
      </c>
      <c r="G286" s="6">
        <f t="shared" si="8"/>
        <v>72.685599999999994</v>
      </c>
      <c r="H286" s="7">
        <f t="shared" si="9"/>
        <v>0.71</v>
      </c>
    </row>
    <row r="287" spans="1:8" ht="18" customHeight="1" x14ac:dyDescent="0.25">
      <c r="A287" s="1" t="s">
        <v>5354</v>
      </c>
      <c r="B287" s="1" t="s">
        <v>4837</v>
      </c>
      <c r="C287" s="1" t="s">
        <v>5047</v>
      </c>
      <c r="D287" s="6">
        <v>247.74</v>
      </c>
      <c r="E287" s="6">
        <v>205.6242</v>
      </c>
      <c r="F287" s="1" t="s">
        <v>5048</v>
      </c>
      <c r="G287" s="6">
        <f t="shared" si="8"/>
        <v>42.115800000000007</v>
      </c>
      <c r="H287" s="7">
        <f t="shared" si="9"/>
        <v>0.83</v>
      </c>
    </row>
    <row r="288" spans="1:8" ht="18" customHeight="1" x14ac:dyDescent="0.25">
      <c r="A288" s="1" t="s">
        <v>5122</v>
      </c>
      <c r="B288" s="1" t="s">
        <v>4564</v>
      </c>
      <c r="C288" s="1" t="s">
        <v>5047</v>
      </c>
      <c r="D288" s="6">
        <v>245.88</v>
      </c>
      <c r="E288" s="6">
        <v>194.24520000000001</v>
      </c>
      <c r="F288" s="1" t="s">
        <v>5048</v>
      </c>
      <c r="G288" s="6">
        <f t="shared" si="8"/>
        <v>51.634799999999984</v>
      </c>
      <c r="H288" s="7">
        <f t="shared" si="9"/>
        <v>0.79</v>
      </c>
    </row>
    <row r="289" spans="1:8" ht="18" customHeight="1" x14ac:dyDescent="0.25">
      <c r="A289" s="1" t="s">
        <v>5492</v>
      </c>
      <c r="B289" s="1" t="s">
        <v>4985</v>
      </c>
      <c r="C289" s="1" t="s">
        <v>5047</v>
      </c>
      <c r="D289" s="6">
        <v>244.96</v>
      </c>
      <c r="E289" s="6">
        <v>215.56479999999999</v>
      </c>
      <c r="F289" s="1" t="s">
        <v>5048</v>
      </c>
      <c r="G289" s="6">
        <f t="shared" si="8"/>
        <v>29.395200000000017</v>
      </c>
      <c r="H289" s="7">
        <f t="shared" si="9"/>
        <v>0.87999999999999989</v>
      </c>
    </row>
    <row r="290" spans="1:8" ht="18" customHeight="1" x14ac:dyDescent="0.25">
      <c r="A290" s="1" t="s">
        <v>5079</v>
      </c>
      <c r="B290" s="1" t="s">
        <v>4517</v>
      </c>
      <c r="C290" s="1" t="s">
        <v>5047</v>
      </c>
      <c r="D290" s="6">
        <v>243.9</v>
      </c>
      <c r="E290" s="6">
        <v>217.071</v>
      </c>
      <c r="F290" s="1" t="s">
        <v>5048</v>
      </c>
      <c r="G290" s="6">
        <f t="shared" si="8"/>
        <v>26.829000000000008</v>
      </c>
      <c r="H290" s="7">
        <f t="shared" si="9"/>
        <v>0.89</v>
      </c>
    </row>
    <row r="291" spans="1:8" ht="18" customHeight="1" x14ac:dyDescent="0.25">
      <c r="A291" s="1" t="s">
        <v>5476</v>
      </c>
      <c r="B291" s="1" t="s">
        <v>4968</v>
      </c>
      <c r="C291" s="1" t="s">
        <v>5047</v>
      </c>
      <c r="D291" s="6">
        <v>243.67</v>
      </c>
      <c r="E291" s="6">
        <v>185.1892</v>
      </c>
      <c r="F291" s="1" t="s">
        <v>5048</v>
      </c>
      <c r="G291" s="6">
        <f t="shared" si="8"/>
        <v>58.480799999999988</v>
      </c>
      <c r="H291" s="7">
        <f t="shared" si="9"/>
        <v>0.76</v>
      </c>
    </row>
    <row r="292" spans="1:8" ht="18" customHeight="1" x14ac:dyDescent="0.25">
      <c r="A292" s="1" t="s">
        <v>5221</v>
      </c>
      <c r="B292" s="1" t="s">
        <v>4682</v>
      </c>
      <c r="C292" s="1" t="s">
        <v>5047</v>
      </c>
      <c r="D292" s="6">
        <v>243.56</v>
      </c>
      <c r="E292" s="6">
        <v>194.84800000000001</v>
      </c>
      <c r="F292" s="1" t="s">
        <v>5048</v>
      </c>
      <c r="G292" s="6">
        <f t="shared" si="8"/>
        <v>48.711999999999989</v>
      </c>
      <c r="H292" s="7">
        <f t="shared" si="9"/>
        <v>0.8</v>
      </c>
    </row>
    <row r="293" spans="1:8" ht="18" customHeight="1" x14ac:dyDescent="0.25">
      <c r="A293" s="1" t="s">
        <v>5377</v>
      </c>
      <c r="B293" s="1" t="s">
        <v>4860</v>
      </c>
      <c r="C293" s="1" t="s">
        <v>5047</v>
      </c>
      <c r="D293" s="6">
        <v>242.61</v>
      </c>
      <c r="E293" s="6">
        <v>208.6446</v>
      </c>
      <c r="F293" s="1" t="s">
        <v>5048</v>
      </c>
      <c r="G293" s="6">
        <f t="shared" si="8"/>
        <v>33.965400000000017</v>
      </c>
      <c r="H293" s="7">
        <f t="shared" si="9"/>
        <v>0.86</v>
      </c>
    </row>
    <row r="294" spans="1:8" ht="18" customHeight="1" x14ac:dyDescent="0.25">
      <c r="A294" s="1" t="s">
        <v>5161</v>
      </c>
      <c r="B294" s="1" t="s">
        <v>4609</v>
      </c>
      <c r="C294" s="1" t="s">
        <v>5047</v>
      </c>
      <c r="D294" s="6">
        <v>241.98</v>
      </c>
      <c r="E294" s="6">
        <v>176.6454</v>
      </c>
      <c r="F294" s="1" t="s">
        <v>5048</v>
      </c>
      <c r="G294" s="6">
        <f t="shared" si="8"/>
        <v>65.334599999999995</v>
      </c>
      <c r="H294" s="7">
        <f t="shared" si="9"/>
        <v>0.73</v>
      </c>
    </row>
    <row r="295" spans="1:8" ht="18" customHeight="1" x14ac:dyDescent="0.25">
      <c r="A295" s="1" t="s">
        <v>5503</v>
      </c>
      <c r="B295" s="1" t="s">
        <v>4996</v>
      </c>
      <c r="C295" s="1" t="s">
        <v>5047</v>
      </c>
      <c r="D295" s="6">
        <v>241.48</v>
      </c>
      <c r="E295" s="6">
        <v>188.3544</v>
      </c>
      <c r="F295" s="1" t="s">
        <v>5048</v>
      </c>
      <c r="G295" s="6">
        <f t="shared" si="8"/>
        <v>53.125599999999991</v>
      </c>
      <c r="H295" s="7">
        <f t="shared" si="9"/>
        <v>0.78</v>
      </c>
    </row>
    <row r="296" spans="1:8" ht="18" customHeight="1" x14ac:dyDescent="0.25">
      <c r="A296" s="1" t="s">
        <v>5403</v>
      </c>
      <c r="B296" s="1" t="s">
        <v>4889</v>
      </c>
      <c r="C296" s="1" t="s">
        <v>5047</v>
      </c>
      <c r="D296" s="6">
        <v>239.94</v>
      </c>
      <c r="E296" s="6">
        <v>182.3544</v>
      </c>
      <c r="F296" s="1" t="s">
        <v>5048</v>
      </c>
      <c r="G296" s="6">
        <f t="shared" si="8"/>
        <v>57.585599999999999</v>
      </c>
      <c r="H296" s="7">
        <f t="shared" si="9"/>
        <v>0.76</v>
      </c>
    </row>
    <row r="297" spans="1:8" ht="18" customHeight="1" x14ac:dyDescent="0.25">
      <c r="A297" s="1" t="s">
        <v>5071</v>
      </c>
      <c r="B297" s="1" t="s">
        <v>4509</v>
      </c>
      <c r="C297" s="1" t="s">
        <v>5047</v>
      </c>
      <c r="D297" s="6">
        <v>239.88</v>
      </c>
      <c r="E297" s="6">
        <v>196.70160000000001</v>
      </c>
      <c r="F297" s="1" t="s">
        <v>5048</v>
      </c>
      <c r="G297" s="6">
        <f t="shared" si="8"/>
        <v>43.178399999999982</v>
      </c>
      <c r="H297" s="7">
        <f t="shared" si="9"/>
        <v>0.82000000000000006</v>
      </c>
    </row>
    <row r="298" spans="1:8" ht="18" customHeight="1" x14ac:dyDescent="0.25">
      <c r="A298" s="1" t="s">
        <v>5330</v>
      </c>
      <c r="B298" s="1" t="s">
        <v>4807</v>
      </c>
      <c r="C298" s="1" t="s">
        <v>5047</v>
      </c>
      <c r="D298" s="6">
        <v>237.74</v>
      </c>
      <c r="E298" s="6">
        <v>202.07900000000001</v>
      </c>
      <c r="F298" s="1" t="s">
        <v>5048</v>
      </c>
      <c r="G298" s="6">
        <f t="shared" si="8"/>
        <v>35.661000000000001</v>
      </c>
      <c r="H298" s="7">
        <f t="shared" si="9"/>
        <v>0.85</v>
      </c>
    </row>
    <row r="299" spans="1:8" ht="18" customHeight="1" x14ac:dyDescent="0.25">
      <c r="A299" s="1" t="s">
        <v>5197</v>
      </c>
      <c r="B299" s="1" t="s">
        <v>4655</v>
      </c>
      <c r="C299" s="1" t="s">
        <v>5047</v>
      </c>
      <c r="D299" s="6">
        <v>237.59</v>
      </c>
      <c r="E299" s="6">
        <v>213.83099999999999</v>
      </c>
      <c r="F299" s="1" t="s">
        <v>5048</v>
      </c>
      <c r="G299" s="6">
        <f t="shared" si="8"/>
        <v>23.759000000000015</v>
      </c>
      <c r="H299" s="7">
        <f t="shared" si="9"/>
        <v>0.89999999999999991</v>
      </c>
    </row>
    <row r="300" spans="1:8" ht="18" customHeight="1" x14ac:dyDescent="0.25">
      <c r="A300" s="1" t="s">
        <v>5391</v>
      </c>
      <c r="B300" s="1" t="s">
        <v>4876</v>
      </c>
      <c r="C300" s="1" t="s">
        <v>5047</v>
      </c>
      <c r="D300" s="6">
        <v>236.8</v>
      </c>
      <c r="E300" s="6">
        <v>175.232</v>
      </c>
      <c r="F300" s="1" t="s">
        <v>5048</v>
      </c>
      <c r="G300" s="6">
        <f t="shared" si="8"/>
        <v>61.568000000000012</v>
      </c>
      <c r="H300" s="7">
        <f t="shared" si="9"/>
        <v>0.74</v>
      </c>
    </row>
    <row r="301" spans="1:8" ht="18" customHeight="1" x14ac:dyDescent="0.25">
      <c r="A301" s="1" t="s">
        <v>5156</v>
      </c>
      <c r="B301" s="1" t="s">
        <v>4604</v>
      </c>
      <c r="C301" s="1" t="s">
        <v>5047</v>
      </c>
      <c r="D301" s="6">
        <v>236.07</v>
      </c>
      <c r="E301" s="6">
        <v>184.13460000000001</v>
      </c>
      <c r="F301" s="1" t="s">
        <v>5048</v>
      </c>
      <c r="G301" s="6">
        <f t="shared" si="8"/>
        <v>51.935399999999987</v>
      </c>
      <c r="H301" s="7">
        <f t="shared" si="9"/>
        <v>0.78</v>
      </c>
    </row>
    <row r="302" spans="1:8" ht="18" customHeight="1" x14ac:dyDescent="0.25">
      <c r="A302" s="1" t="s">
        <v>5460</v>
      </c>
      <c r="B302" s="1" t="s">
        <v>4951</v>
      </c>
      <c r="C302" s="1" t="s">
        <v>5047</v>
      </c>
      <c r="D302" s="6">
        <v>235.09</v>
      </c>
      <c r="E302" s="6">
        <v>183.37020000000001</v>
      </c>
      <c r="F302" s="1" t="s">
        <v>5048</v>
      </c>
      <c r="G302" s="6">
        <f t="shared" si="8"/>
        <v>51.719799999999992</v>
      </c>
      <c r="H302" s="7">
        <f t="shared" si="9"/>
        <v>0.78</v>
      </c>
    </row>
    <row r="303" spans="1:8" ht="18" customHeight="1" x14ac:dyDescent="0.25">
      <c r="A303" s="1" t="s">
        <v>5536</v>
      </c>
      <c r="B303" s="1" t="s">
        <v>5029</v>
      </c>
      <c r="C303" s="1" t="s">
        <v>5047</v>
      </c>
      <c r="D303" s="6">
        <v>233.79</v>
      </c>
      <c r="E303" s="6">
        <v>173.00460000000001</v>
      </c>
      <c r="F303" s="1" t="s">
        <v>5048</v>
      </c>
      <c r="G303" s="6">
        <f t="shared" si="8"/>
        <v>60.785399999999981</v>
      </c>
      <c r="H303" s="7">
        <f t="shared" si="9"/>
        <v>0.7400000000000001</v>
      </c>
    </row>
    <row r="304" spans="1:8" ht="18" customHeight="1" x14ac:dyDescent="0.25">
      <c r="A304" s="1" t="s">
        <v>5190</v>
      </c>
      <c r="B304" s="1" t="s">
        <v>4646</v>
      </c>
      <c r="C304" s="1" t="s">
        <v>5047</v>
      </c>
      <c r="D304" s="6">
        <v>233.7</v>
      </c>
      <c r="E304" s="6">
        <v>182.286</v>
      </c>
      <c r="F304" s="1" t="s">
        <v>5048</v>
      </c>
      <c r="G304" s="6">
        <f t="shared" si="8"/>
        <v>51.413999999999987</v>
      </c>
      <c r="H304" s="7">
        <f t="shared" si="9"/>
        <v>0.78</v>
      </c>
    </row>
    <row r="305" spans="1:8" ht="18" customHeight="1" x14ac:dyDescent="0.25">
      <c r="A305" s="1" t="s">
        <v>5314</v>
      </c>
      <c r="B305" s="1" t="s">
        <v>4791</v>
      </c>
      <c r="C305" s="1" t="s">
        <v>5047</v>
      </c>
      <c r="D305" s="6">
        <v>233.23</v>
      </c>
      <c r="E305" s="6">
        <v>165.5933</v>
      </c>
      <c r="F305" s="1" t="s">
        <v>5048</v>
      </c>
      <c r="G305" s="6">
        <f t="shared" si="8"/>
        <v>67.63669999999999</v>
      </c>
      <c r="H305" s="7">
        <f t="shared" si="9"/>
        <v>0.71000000000000008</v>
      </c>
    </row>
    <row r="306" spans="1:8" ht="18" customHeight="1" x14ac:dyDescent="0.25">
      <c r="A306" s="1" t="s">
        <v>5393</v>
      </c>
      <c r="B306" s="1" t="s">
        <v>4878</v>
      </c>
      <c r="C306" s="1" t="s">
        <v>5047</v>
      </c>
      <c r="D306" s="6">
        <v>232.62</v>
      </c>
      <c r="E306" s="6">
        <v>193.0746</v>
      </c>
      <c r="F306" s="1" t="s">
        <v>5048</v>
      </c>
      <c r="G306" s="6">
        <f t="shared" si="8"/>
        <v>39.545400000000001</v>
      </c>
      <c r="H306" s="7">
        <f t="shared" si="9"/>
        <v>0.83</v>
      </c>
    </row>
    <row r="307" spans="1:8" ht="18" customHeight="1" x14ac:dyDescent="0.25">
      <c r="A307" s="1" t="s">
        <v>5258</v>
      </c>
      <c r="B307" s="1" t="s">
        <v>4723</v>
      </c>
      <c r="C307" s="1" t="s">
        <v>5047</v>
      </c>
      <c r="D307" s="6">
        <v>230.93</v>
      </c>
      <c r="E307" s="6">
        <v>168.5789</v>
      </c>
      <c r="F307" s="1" t="s">
        <v>5048</v>
      </c>
      <c r="G307" s="6">
        <f t="shared" si="8"/>
        <v>62.351100000000002</v>
      </c>
      <c r="H307" s="7">
        <f t="shared" si="9"/>
        <v>0.73</v>
      </c>
    </row>
    <row r="308" spans="1:8" ht="18" customHeight="1" x14ac:dyDescent="0.25">
      <c r="A308" s="1" t="s">
        <v>5154</v>
      </c>
      <c r="B308" s="1" t="s">
        <v>4602</v>
      </c>
      <c r="C308" s="1" t="s">
        <v>5047</v>
      </c>
      <c r="D308" s="6">
        <v>230.89</v>
      </c>
      <c r="E308" s="6">
        <v>177.78530000000001</v>
      </c>
      <c r="F308" s="1" t="s">
        <v>5048</v>
      </c>
      <c r="G308" s="6">
        <f t="shared" si="8"/>
        <v>53.10469999999998</v>
      </c>
      <c r="H308" s="7">
        <f t="shared" si="9"/>
        <v>0.77000000000000013</v>
      </c>
    </row>
    <row r="309" spans="1:8" ht="18" customHeight="1" x14ac:dyDescent="0.25">
      <c r="A309" s="1" t="s">
        <v>5075</v>
      </c>
      <c r="B309" s="1" t="s">
        <v>4513</v>
      </c>
      <c r="C309" s="1" t="s">
        <v>5047</v>
      </c>
      <c r="D309" s="6">
        <v>230.15</v>
      </c>
      <c r="E309" s="6">
        <v>179.517</v>
      </c>
      <c r="F309" s="1" t="s">
        <v>5048</v>
      </c>
      <c r="G309" s="6">
        <f t="shared" si="8"/>
        <v>50.63300000000001</v>
      </c>
      <c r="H309" s="7">
        <f t="shared" si="9"/>
        <v>0.77999999999999992</v>
      </c>
    </row>
    <row r="310" spans="1:8" ht="18" customHeight="1" x14ac:dyDescent="0.25">
      <c r="A310" s="1" t="s">
        <v>5431</v>
      </c>
      <c r="B310" s="1" t="s">
        <v>4918</v>
      </c>
      <c r="C310" s="1" t="s">
        <v>5047</v>
      </c>
      <c r="D310" s="6">
        <v>229.31</v>
      </c>
      <c r="E310" s="6">
        <v>199.49969999999999</v>
      </c>
      <c r="F310" s="1" t="s">
        <v>5048</v>
      </c>
      <c r="G310" s="6">
        <f t="shared" si="8"/>
        <v>29.810300000000012</v>
      </c>
      <c r="H310" s="7">
        <f t="shared" si="9"/>
        <v>0.87</v>
      </c>
    </row>
    <row r="311" spans="1:8" ht="18" customHeight="1" x14ac:dyDescent="0.25">
      <c r="A311" s="1" t="s">
        <v>5534</v>
      </c>
      <c r="B311" s="1" t="s">
        <v>5027</v>
      </c>
      <c r="C311" s="1" t="s">
        <v>5047</v>
      </c>
      <c r="D311" s="6">
        <v>227.59</v>
      </c>
      <c r="E311" s="6">
        <v>163.8648</v>
      </c>
      <c r="F311" s="1" t="s">
        <v>5048</v>
      </c>
      <c r="G311" s="6">
        <f t="shared" si="8"/>
        <v>63.725200000000001</v>
      </c>
      <c r="H311" s="7">
        <f t="shared" si="9"/>
        <v>0.72</v>
      </c>
    </row>
    <row r="312" spans="1:8" ht="18" customHeight="1" x14ac:dyDescent="0.25">
      <c r="A312" s="1" t="s">
        <v>5098</v>
      </c>
      <c r="B312" s="1" t="s">
        <v>4539</v>
      </c>
      <c r="C312" s="1" t="s">
        <v>5047</v>
      </c>
      <c r="D312" s="6">
        <v>227.34</v>
      </c>
      <c r="E312" s="6">
        <v>161.41139999999999</v>
      </c>
      <c r="F312" s="1" t="s">
        <v>5048</v>
      </c>
      <c r="G312" s="6">
        <f t="shared" si="8"/>
        <v>65.928600000000017</v>
      </c>
      <c r="H312" s="7">
        <f t="shared" si="9"/>
        <v>0.71</v>
      </c>
    </row>
    <row r="313" spans="1:8" ht="18" customHeight="1" x14ac:dyDescent="0.25">
      <c r="A313" s="1" t="s">
        <v>5306</v>
      </c>
      <c r="B313" s="1" t="s">
        <v>4783</v>
      </c>
      <c r="C313" s="1" t="s">
        <v>5047</v>
      </c>
      <c r="D313" s="6">
        <v>227.14</v>
      </c>
      <c r="E313" s="6">
        <v>163.54079999999999</v>
      </c>
      <c r="F313" s="1" t="s">
        <v>5048</v>
      </c>
      <c r="G313" s="6">
        <f t="shared" si="8"/>
        <v>63.599199999999996</v>
      </c>
      <c r="H313" s="7">
        <f t="shared" si="9"/>
        <v>0.72</v>
      </c>
    </row>
    <row r="314" spans="1:8" ht="18" customHeight="1" x14ac:dyDescent="0.25">
      <c r="A314" s="1" t="s">
        <v>5420</v>
      </c>
      <c r="B314" s="1" t="s">
        <v>4907</v>
      </c>
      <c r="C314" s="1" t="s">
        <v>5047</v>
      </c>
      <c r="D314" s="6">
        <v>227.05</v>
      </c>
      <c r="E314" s="6">
        <v>183.91050000000001</v>
      </c>
      <c r="F314" s="1" t="s">
        <v>5048</v>
      </c>
      <c r="G314" s="6">
        <f t="shared" si="8"/>
        <v>43.139499999999998</v>
      </c>
      <c r="H314" s="7">
        <f t="shared" si="9"/>
        <v>0.81</v>
      </c>
    </row>
    <row r="315" spans="1:8" ht="18" customHeight="1" x14ac:dyDescent="0.25">
      <c r="A315" s="1" t="s">
        <v>5205</v>
      </c>
      <c r="B315" s="1" t="s">
        <v>4664</v>
      </c>
      <c r="C315" s="1" t="s">
        <v>5047</v>
      </c>
      <c r="D315" s="6">
        <v>226.68</v>
      </c>
      <c r="E315" s="6">
        <v>174.5436</v>
      </c>
      <c r="F315" s="1" t="s">
        <v>5048</v>
      </c>
      <c r="G315" s="6">
        <f t="shared" si="8"/>
        <v>52.136400000000009</v>
      </c>
      <c r="H315" s="7">
        <f t="shared" si="9"/>
        <v>0.77</v>
      </c>
    </row>
    <row r="316" spans="1:8" ht="18" customHeight="1" x14ac:dyDescent="0.25">
      <c r="A316" s="1" t="s">
        <v>5507</v>
      </c>
      <c r="B316" s="1" t="s">
        <v>5000</v>
      </c>
      <c r="C316" s="1" t="s">
        <v>5047</v>
      </c>
      <c r="D316" s="6">
        <v>226.6</v>
      </c>
      <c r="E316" s="6">
        <v>158.62</v>
      </c>
      <c r="F316" s="1" t="s">
        <v>5048</v>
      </c>
      <c r="G316" s="6">
        <f t="shared" si="8"/>
        <v>67.97999999999999</v>
      </c>
      <c r="H316" s="7">
        <f t="shared" si="9"/>
        <v>0.70000000000000007</v>
      </c>
    </row>
    <row r="317" spans="1:8" ht="18" customHeight="1" x14ac:dyDescent="0.25">
      <c r="A317" s="1" t="s">
        <v>5459</v>
      </c>
      <c r="B317" s="1" t="s">
        <v>4950</v>
      </c>
      <c r="C317" s="1" t="s">
        <v>5047</v>
      </c>
      <c r="D317" s="6">
        <v>226.23</v>
      </c>
      <c r="E317" s="6">
        <v>180.98400000000001</v>
      </c>
      <c r="F317" s="1" t="s">
        <v>5048</v>
      </c>
      <c r="G317" s="6">
        <f t="shared" si="8"/>
        <v>45.245999999999981</v>
      </c>
      <c r="H317" s="7">
        <f t="shared" si="9"/>
        <v>0.8</v>
      </c>
    </row>
    <row r="318" spans="1:8" ht="18" customHeight="1" x14ac:dyDescent="0.25">
      <c r="A318" s="1" t="s">
        <v>5370</v>
      </c>
      <c r="B318" s="1" t="s">
        <v>4853</v>
      </c>
      <c r="C318" s="1" t="s">
        <v>5047</v>
      </c>
      <c r="D318" s="6">
        <v>225.63</v>
      </c>
      <c r="E318" s="6">
        <v>198.55439999999999</v>
      </c>
      <c r="F318" s="1" t="s">
        <v>5048</v>
      </c>
      <c r="G318" s="6">
        <f t="shared" si="8"/>
        <v>27.075600000000009</v>
      </c>
      <c r="H318" s="7">
        <f t="shared" si="9"/>
        <v>0.88</v>
      </c>
    </row>
    <row r="319" spans="1:8" ht="18" customHeight="1" x14ac:dyDescent="0.25">
      <c r="A319" s="1" t="s">
        <v>5307</v>
      </c>
      <c r="B319" s="1" t="s">
        <v>4784</v>
      </c>
      <c r="C319" s="1" t="s">
        <v>5047</v>
      </c>
      <c r="D319" s="6">
        <v>225</v>
      </c>
      <c r="E319" s="6">
        <v>189</v>
      </c>
      <c r="F319" s="1" t="s">
        <v>5048</v>
      </c>
      <c r="G319" s="6">
        <f t="shared" si="8"/>
        <v>36</v>
      </c>
      <c r="H319" s="7">
        <f t="shared" si="9"/>
        <v>0.84</v>
      </c>
    </row>
    <row r="320" spans="1:8" ht="18" customHeight="1" x14ac:dyDescent="0.25">
      <c r="A320" s="1" t="s">
        <v>5173</v>
      </c>
      <c r="B320" s="1" t="s">
        <v>4628</v>
      </c>
      <c r="C320" s="1" t="s">
        <v>5047</v>
      </c>
      <c r="D320" s="6">
        <v>224.62</v>
      </c>
      <c r="E320" s="6">
        <v>166.21879999999999</v>
      </c>
      <c r="F320" s="1" t="s">
        <v>5048</v>
      </c>
      <c r="G320" s="6">
        <f t="shared" si="8"/>
        <v>58.401200000000017</v>
      </c>
      <c r="H320" s="7">
        <f t="shared" si="9"/>
        <v>0.73999999999999988</v>
      </c>
    </row>
    <row r="321" spans="1:8" ht="18" customHeight="1" x14ac:dyDescent="0.25">
      <c r="A321" s="1" t="s">
        <v>5279</v>
      </c>
      <c r="B321" s="1" t="s">
        <v>4751</v>
      </c>
      <c r="C321" s="1" t="s">
        <v>5047</v>
      </c>
      <c r="D321" s="6">
        <v>223.32</v>
      </c>
      <c r="E321" s="6">
        <v>187.58879999999999</v>
      </c>
      <c r="F321" s="1" t="s">
        <v>5048</v>
      </c>
      <c r="G321" s="6">
        <f t="shared" si="8"/>
        <v>35.731200000000001</v>
      </c>
      <c r="H321" s="7">
        <f t="shared" si="9"/>
        <v>0.84</v>
      </c>
    </row>
    <row r="322" spans="1:8" ht="18" customHeight="1" x14ac:dyDescent="0.25">
      <c r="A322" s="1" t="s">
        <v>5358</v>
      </c>
      <c r="B322" s="1" t="s">
        <v>4841</v>
      </c>
      <c r="C322" s="1" t="s">
        <v>5047</v>
      </c>
      <c r="D322" s="6">
        <v>222.92</v>
      </c>
      <c r="E322" s="6">
        <v>189.482</v>
      </c>
      <c r="F322" s="1" t="s">
        <v>5048</v>
      </c>
      <c r="G322" s="6">
        <f t="shared" ref="G322:G385" si="10">D322-E322</f>
        <v>33.437999999999988</v>
      </c>
      <c r="H322" s="7">
        <f t="shared" ref="H322:H385" si="11">IFERROR(E322/D322,0)</f>
        <v>0.85000000000000009</v>
      </c>
    </row>
    <row r="323" spans="1:8" ht="18" customHeight="1" x14ac:dyDescent="0.25">
      <c r="A323" s="1" t="s">
        <v>5066</v>
      </c>
      <c r="B323" s="1" t="s">
        <v>4504</v>
      </c>
      <c r="C323" s="1" t="s">
        <v>5047</v>
      </c>
      <c r="D323" s="6">
        <v>222.27</v>
      </c>
      <c r="E323" s="6">
        <v>155.589</v>
      </c>
      <c r="F323" s="1" t="s">
        <v>5048</v>
      </c>
      <c r="G323" s="6">
        <f t="shared" si="10"/>
        <v>66.681000000000012</v>
      </c>
      <c r="H323" s="7">
        <f t="shared" si="11"/>
        <v>0.7</v>
      </c>
    </row>
    <row r="324" spans="1:8" ht="18" customHeight="1" x14ac:dyDescent="0.25">
      <c r="A324" s="1" t="s">
        <v>5208</v>
      </c>
      <c r="B324" s="1" t="s">
        <v>4668</v>
      </c>
      <c r="C324" s="1" t="s">
        <v>5047</v>
      </c>
      <c r="D324" s="6">
        <v>222.12</v>
      </c>
      <c r="E324" s="6">
        <v>197.68680000000001</v>
      </c>
      <c r="F324" s="1" t="s">
        <v>5048</v>
      </c>
      <c r="G324" s="6">
        <f t="shared" si="10"/>
        <v>24.433199999999999</v>
      </c>
      <c r="H324" s="7">
        <f t="shared" si="11"/>
        <v>0.89</v>
      </c>
    </row>
    <row r="325" spans="1:8" ht="18" customHeight="1" x14ac:dyDescent="0.25">
      <c r="A325" s="1" t="s">
        <v>5339</v>
      </c>
      <c r="B325" s="1" t="s">
        <v>4820</v>
      </c>
      <c r="C325" s="1" t="s">
        <v>5047</v>
      </c>
      <c r="D325" s="6">
        <v>221.8</v>
      </c>
      <c r="E325" s="6">
        <v>166.35</v>
      </c>
      <c r="F325" s="1" t="s">
        <v>5048</v>
      </c>
      <c r="G325" s="6">
        <f t="shared" si="10"/>
        <v>55.450000000000017</v>
      </c>
      <c r="H325" s="7">
        <f t="shared" si="11"/>
        <v>0.74999999999999989</v>
      </c>
    </row>
    <row r="326" spans="1:8" ht="18" customHeight="1" x14ac:dyDescent="0.25">
      <c r="A326" s="1" t="s">
        <v>5215</v>
      </c>
      <c r="B326" s="1" t="s">
        <v>4676</v>
      </c>
      <c r="C326" s="1" t="s">
        <v>5047</v>
      </c>
      <c r="D326" s="6">
        <v>221.27</v>
      </c>
      <c r="E326" s="6">
        <v>181.44139999999999</v>
      </c>
      <c r="F326" s="1" t="s">
        <v>5048</v>
      </c>
      <c r="G326" s="6">
        <f t="shared" si="10"/>
        <v>39.828600000000023</v>
      </c>
      <c r="H326" s="7">
        <f t="shared" si="11"/>
        <v>0.82</v>
      </c>
    </row>
    <row r="327" spans="1:8" ht="18" customHeight="1" x14ac:dyDescent="0.25">
      <c r="A327" s="1" t="s">
        <v>5395</v>
      </c>
      <c r="B327" s="1" t="s">
        <v>4880</v>
      </c>
      <c r="C327" s="1" t="s">
        <v>5047</v>
      </c>
      <c r="D327" s="6">
        <v>220.48</v>
      </c>
      <c r="E327" s="6">
        <v>196.22720000000001</v>
      </c>
      <c r="F327" s="1" t="s">
        <v>5048</v>
      </c>
      <c r="G327" s="6">
        <f t="shared" si="10"/>
        <v>24.252799999999979</v>
      </c>
      <c r="H327" s="7">
        <f t="shared" si="11"/>
        <v>0.89000000000000012</v>
      </c>
    </row>
    <row r="328" spans="1:8" ht="18" customHeight="1" x14ac:dyDescent="0.25">
      <c r="A328" s="1" t="s">
        <v>5523</v>
      </c>
      <c r="B328" s="1" t="s">
        <v>5016</v>
      </c>
      <c r="C328" s="1" t="s">
        <v>5047</v>
      </c>
      <c r="D328" s="6">
        <v>219.63</v>
      </c>
      <c r="E328" s="6">
        <v>171.31139999999999</v>
      </c>
      <c r="F328" s="1" t="s">
        <v>5048</v>
      </c>
      <c r="G328" s="6">
        <f t="shared" si="10"/>
        <v>48.318600000000004</v>
      </c>
      <c r="H328" s="7">
        <f t="shared" si="11"/>
        <v>0.78</v>
      </c>
    </row>
    <row r="329" spans="1:8" ht="18" customHeight="1" x14ac:dyDescent="0.25">
      <c r="A329" s="1" t="s">
        <v>5300</v>
      </c>
      <c r="B329" s="1" t="s">
        <v>4777</v>
      </c>
      <c r="C329" s="1" t="s">
        <v>5047</v>
      </c>
      <c r="D329" s="6">
        <v>219.32</v>
      </c>
      <c r="E329" s="6">
        <v>162.29679999999999</v>
      </c>
      <c r="F329" s="1" t="s">
        <v>5048</v>
      </c>
      <c r="G329" s="6">
        <f t="shared" si="10"/>
        <v>57.023200000000003</v>
      </c>
      <c r="H329" s="7">
        <f t="shared" si="11"/>
        <v>0.74</v>
      </c>
    </row>
    <row r="330" spans="1:8" ht="18" customHeight="1" x14ac:dyDescent="0.25">
      <c r="A330" s="1" t="s">
        <v>5365</v>
      </c>
      <c r="B330" s="1" t="s">
        <v>4848</v>
      </c>
      <c r="C330" s="1" t="s">
        <v>5047</v>
      </c>
      <c r="D330" s="6">
        <v>219.06</v>
      </c>
      <c r="E330" s="6">
        <v>170.86680000000001</v>
      </c>
      <c r="F330" s="1" t="s">
        <v>5048</v>
      </c>
      <c r="G330" s="6">
        <f t="shared" si="10"/>
        <v>48.19319999999999</v>
      </c>
      <c r="H330" s="7">
        <f t="shared" si="11"/>
        <v>0.78</v>
      </c>
    </row>
    <row r="331" spans="1:8" ht="18" customHeight="1" x14ac:dyDescent="0.25">
      <c r="A331" s="1" t="s">
        <v>5362</v>
      </c>
      <c r="B331" s="1" t="s">
        <v>4845</v>
      </c>
      <c r="C331" s="1" t="s">
        <v>5047</v>
      </c>
      <c r="D331" s="6">
        <v>213.09</v>
      </c>
      <c r="E331" s="6">
        <v>172.60290000000001</v>
      </c>
      <c r="F331" s="1" t="s">
        <v>5048</v>
      </c>
      <c r="G331" s="6">
        <f t="shared" si="10"/>
        <v>40.487099999999998</v>
      </c>
      <c r="H331" s="7">
        <f t="shared" si="11"/>
        <v>0.81</v>
      </c>
    </row>
    <row r="332" spans="1:8" ht="18" customHeight="1" x14ac:dyDescent="0.25">
      <c r="A332" s="1" t="s">
        <v>5451</v>
      </c>
      <c r="B332" s="1" t="s">
        <v>4939</v>
      </c>
      <c r="C332" s="1" t="s">
        <v>5047</v>
      </c>
      <c r="D332" s="6">
        <v>212.89</v>
      </c>
      <c r="E332" s="6">
        <v>155.40969999999999</v>
      </c>
      <c r="F332" s="1" t="s">
        <v>5048</v>
      </c>
      <c r="G332" s="6">
        <f t="shared" si="10"/>
        <v>57.4803</v>
      </c>
      <c r="H332" s="7">
        <f t="shared" si="11"/>
        <v>0.73</v>
      </c>
    </row>
    <row r="333" spans="1:8" ht="18" customHeight="1" x14ac:dyDescent="0.25">
      <c r="A333" s="1" t="s">
        <v>5251</v>
      </c>
      <c r="B333" s="1" t="s">
        <v>4716</v>
      </c>
      <c r="C333" s="1" t="s">
        <v>5047</v>
      </c>
      <c r="D333" s="6">
        <v>210.03</v>
      </c>
      <c r="E333" s="6">
        <v>176.42519999999999</v>
      </c>
      <c r="F333" s="1" t="s">
        <v>5048</v>
      </c>
      <c r="G333" s="6">
        <f t="shared" si="10"/>
        <v>33.604800000000012</v>
      </c>
      <c r="H333" s="7">
        <f t="shared" si="11"/>
        <v>0.84</v>
      </c>
    </row>
    <row r="334" spans="1:8" ht="18" customHeight="1" x14ac:dyDescent="0.25">
      <c r="A334" s="1" t="s">
        <v>5275</v>
      </c>
      <c r="B334" s="1" t="s">
        <v>4746</v>
      </c>
      <c r="C334" s="1" t="s">
        <v>5047</v>
      </c>
      <c r="D334" s="6">
        <v>209.22</v>
      </c>
      <c r="E334" s="6">
        <v>159.00720000000001</v>
      </c>
      <c r="F334" s="1" t="s">
        <v>5048</v>
      </c>
      <c r="G334" s="6">
        <f t="shared" si="10"/>
        <v>50.212799999999987</v>
      </c>
      <c r="H334" s="7">
        <f t="shared" si="11"/>
        <v>0.76</v>
      </c>
    </row>
    <row r="335" spans="1:8" ht="18" customHeight="1" x14ac:dyDescent="0.25">
      <c r="A335" s="1" t="s">
        <v>5289</v>
      </c>
      <c r="B335" s="1" t="s">
        <v>4764</v>
      </c>
      <c r="C335" s="1" t="s">
        <v>5047</v>
      </c>
      <c r="D335" s="6">
        <v>208.51</v>
      </c>
      <c r="E335" s="6">
        <v>177.23349999999999</v>
      </c>
      <c r="F335" s="1" t="s">
        <v>5048</v>
      </c>
      <c r="G335" s="6">
        <f t="shared" si="10"/>
        <v>31.276499999999999</v>
      </c>
      <c r="H335" s="7">
        <f t="shared" si="11"/>
        <v>0.85</v>
      </c>
    </row>
    <row r="336" spans="1:8" ht="18" customHeight="1" x14ac:dyDescent="0.25">
      <c r="A336" s="1" t="s">
        <v>5398</v>
      </c>
      <c r="B336" s="1" t="s">
        <v>4884</v>
      </c>
      <c r="C336" s="1" t="s">
        <v>5047</v>
      </c>
      <c r="D336" s="6">
        <v>208.44</v>
      </c>
      <c r="E336" s="6">
        <v>177.17400000000001</v>
      </c>
      <c r="F336" s="1" t="s">
        <v>5048</v>
      </c>
      <c r="G336" s="6">
        <f t="shared" si="10"/>
        <v>31.265999999999991</v>
      </c>
      <c r="H336" s="7">
        <f t="shared" si="11"/>
        <v>0.85000000000000009</v>
      </c>
    </row>
    <row r="337" spans="1:8" ht="18" customHeight="1" x14ac:dyDescent="0.25">
      <c r="A337" s="1" t="s">
        <v>5163</v>
      </c>
      <c r="B337" s="1" t="s">
        <v>4611</v>
      </c>
      <c r="C337" s="1" t="s">
        <v>5047</v>
      </c>
      <c r="D337" s="6">
        <v>206.8</v>
      </c>
      <c r="E337" s="6">
        <v>173.71199999999999</v>
      </c>
      <c r="F337" s="1" t="s">
        <v>5048</v>
      </c>
      <c r="G337" s="6">
        <f t="shared" si="10"/>
        <v>33.088000000000022</v>
      </c>
      <c r="H337" s="7">
        <f t="shared" si="11"/>
        <v>0.83999999999999986</v>
      </c>
    </row>
    <row r="338" spans="1:8" ht="18" customHeight="1" x14ac:dyDescent="0.25">
      <c r="A338" s="1" t="s">
        <v>5100</v>
      </c>
      <c r="B338" s="1" t="s">
        <v>4541</v>
      </c>
      <c r="C338" s="1" t="s">
        <v>5047</v>
      </c>
      <c r="D338" s="6">
        <v>205.12</v>
      </c>
      <c r="E338" s="6">
        <v>182.55680000000001</v>
      </c>
      <c r="F338" s="1" t="s">
        <v>5048</v>
      </c>
      <c r="G338" s="6">
        <f t="shared" si="10"/>
        <v>22.563199999999995</v>
      </c>
      <c r="H338" s="7">
        <f t="shared" si="11"/>
        <v>0.89</v>
      </c>
    </row>
    <row r="339" spans="1:8" ht="18" customHeight="1" x14ac:dyDescent="0.25">
      <c r="A339" s="1" t="s">
        <v>5329</v>
      </c>
      <c r="B339" s="1" t="s">
        <v>4806</v>
      </c>
      <c r="C339" s="1" t="s">
        <v>5047</v>
      </c>
      <c r="D339" s="6">
        <v>204.76</v>
      </c>
      <c r="E339" s="6">
        <v>182.2364</v>
      </c>
      <c r="F339" s="1" t="s">
        <v>5048</v>
      </c>
      <c r="G339" s="6">
        <f t="shared" si="10"/>
        <v>22.523599999999988</v>
      </c>
      <c r="H339" s="7">
        <f t="shared" si="11"/>
        <v>0.89</v>
      </c>
    </row>
    <row r="340" spans="1:8" ht="18" customHeight="1" x14ac:dyDescent="0.25">
      <c r="A340" s="1" t="s">
        <v>5415</v>
      </c>
      <c r="B340" s="1" t="s">
        <v>4901</v>
      </c>
      <c r="C340" s="1" t="s">
        <v>5047</v>
      </c>
      <c r="D340" s="6">
        <v>204.42</v>
      </c>
      <c r="E340" s="6">
        <v>175.80119999999999</v>
      </c>
      <c r="F340" s="1" t="s">
        <v>5048</v>
      </c>
      <c r="G340" s="6">
        <f t="shared" si="10"/>
        <v>28.618799999999993</v>
      </c>
      <c r="H340" s="7">
        <f t="shared" si="11"/>
        <v>0.86</v>
      </c>
    </row>
    <row r="341" spans="1:8" ht="18" customHeight="1" x14ac:dyDescent="0.25">
      <c r="A341" s="1" t="s">
        <v>5218</v>
      </c>
      <c r="B341" s="1" t="s">
        <v>4679</v>
      </c>
      <c r="C341" s="1" t="s">
        <v>5047</v>
      </c>
      <c r="D341" s="6">
        <v>202.32</v>
      </c>
      <c r="E341" s="6">
        <v>176.01840000000001</v>
      </c>
      <c r="F341" s="1" t="s">
        <v>5048</v>
      </c>
      <c r="G341" s="6">
        <f t="shared" si="10"/>
        <v>26.301599999999979</v>
      </c>
      <c r="H341" s="7">
        <f t="shared" si="11"/>
        <v>0.87000000000000011</v>
      </c>
    </row>
    <row r="342" spans="1:8" ht="18" customHeight="1" x14ac:dyDescent="0.25">
      <c r="A342" s="1" t="s">
        <v>5473</v>
      </c>
      <c r="B342" s="1" t="s">
        <v>4965</v>
      </c>
      <c r="C342" s="1" t="s">
        <v>5047</v>
      </c>
      <c r="D342" s="6">
        <v>201.84</v>
      </c>
      <c r="E342" s="6">
        <v>141.28800000000001</v>
      </c>
      <c r="F342" s="1" t="s">
        <v>5048</v>
      </c>
      <c r="G342" s="6">
        <f t="shared" si="10"/>
        <v>60.551999999999992</v>
      </c>
      <c r="H342" s="7">
        <f t="shared" si="11"/>
        <v>0.70000000000000007</v>
      </c>
    </row>
    <row r="343" spans="1:8" ht="18" customHeight="1" x14ac:dyDescent="0.25">
      <c r="A343" s="1" t="s">
        <v>5372</v>
      </c>
      <c r="B343" s="1" t="s">
        <v>4855</v>
      </c>
      <c r="C343" s="1" t="s">
        <v>5047</v>
      </c>
      <c r="D343" s="6">
        <v>200.49</v>
      </c>
      <c r="E343" s="6">
        <v>144.3528</v>
      </c>
      <c r="F343" s="1" t="s">
        <v>5048</v>
      </c>
      <c r="G343" s="6">
        <f t="shared" si="10"/>
        <v>56.137200000000007</v>
      </c>
      <c r="H343" s="7">
        <f t="shared" si="11"/>
        <v>0.72</v>
      </c>
    </row>
    <row r="344" spans="1:8" ht="18" customHeight="1" x14ac:dyDescent="0.25">
      <c r="A344" s="1" t="s">
        <v>5200</v>
      </c>
      <c r="B344" s="1" t="s">
        <v>4659</v>
      </c>
      <c r="C344" s="1" t="s">
        <v>5047</v>
      </c>
      <c r="D344" s="6">
        <v>199.95</v>
      </c>
      <c r="E344" s="6">
        <v>155.96100000000001</v>
      </c>
      <c r="F344" s="1" t="s">
        <v>5048</v>
      </c>
      <c r="G344" s="6">
        <f t="shared" si="10"/>
        <v>43.988999999999976</v>
      </c>
      <c r="H344" s="7">
        <f t="shared" si="11"/>
        <v>0.78000000000000014</v>
      </c>
    </row>
    <row r="345" spans="1:8" ht="18" customHeight="1" x14ac:dyDescent="0.25">
      <c r="A345" s="1" t="s">
        <v>5195</v>
      </c>
      <c r="B345" s="1" t="s">
        <v>4653</v>
      </c>
      <c r="C345" s="1" t="s">
        <v>5047</v>
      </c>
      <c r="D345" s="6">
        <v>198.77</v>
      </c>
      <c r="E345" s="6">
        <v>149.07749999999999</v>
      </c>
      <c r="F345" s="1" t="s">
        <v>5048</v>
      </c>
      <c r="G345" s="6">
        <f t="shared" si="10"/>
        <v>49.692500000000024</v>
      </c>
      <c r="H345" s="7">
        <f t="shared" si="11"/>
        <v>0.74999999999999989</v>
      </c>
    </row>
    <row r="346" spans="1:8" ht="18" customHeight="1" x14ac:dyDescent="0.25">
      <c r="A346" s="1" t="s">
        <v>5486</v>
      </c>
      <c r="B346" s="1" t="s">
        <v>4979</v>
      </c>
      <c r="C346" s="1" t="s">
        <v>5047</v>
      </c>
      <c r="D346" s="6">
        <v>198.7</v>
      </c>
      <c r="E346" s="6">
        <v>164.92099999999999</v>
      </c>
      <c r="F346" s="1" t="s">
        <v>5048</v>
      </c>
      <c r="G346" s="6">
        <f t="shared" si="10"/>
        <v>33.778999999999996</v>
      </c>
      <c r="H346" s="7">
        <f t="shared" si="11"/>
        <v>0.83</v>
      </c>
    </row>
    <row r="347" spans="1:8" ht="18" customHeight="1" x14ac:dyDescent="0.25">
      <c r="A347" s="1" t="s">
        <v>5282</v>
      </c>
      <c r="B347" s="1" t="s">
        <v>4755</v>
      </c>
      <c r="C347" s="1" t="s">
        <v>5047</v>
      </c>
      <c r="D347" s="6">
        <v>197.4</v>
      </c>
      <c r="E347" s="6">
        <v>144.102</v>
      </c>
      <c r="F347" s="1" t="s">
        <v>5048</v>
      </c>
      <c r="G347" s="6">
        <f t="shared" si="10"/>
        <v>53.298000000000002</v>
      </c>
      <c r="H347" s="7">
        <f t="shared" si="11"/>
        <v>0.73</v>
      </c>
    </row>
    <row r="348" spans="1:8" ht="18" customHeight="1" x14ac:dyDescent="0.25">
      <c r="A348" s="1" t="s">
        <v>5106</v>
      </c>
      <c r="B348" s="1" t="s">
        <v>4547</v>
      </c>
      <c r="C348" s="1" t="s">
        <v>5047</v>
      </c>
      <c r="D348" s="6">
        <v>197.05</v>
      </c>
      <c r="E348" s="6">
        <v>153.69900000000001</v>
      </c>
      <c r="F348" s="1" t="s">
        <v>5048</v>
      </c>
      <c r="G348" s="6">
        <f t="shared" si="10"/>
        <v>43.350999999999999</v>
      </c>
      <c r="H348" s="7">
        <f t="shared" si="11"/>
        <v>0.78</v>
      </c>
    </row>
    <row r="349" spans="1:8" ht="18" customHeight="1" x14ac:dyDescent="0.25">
      <c r="A349" s="1" t="s">
        <v>5394</v>
      </c>
      <c r="B349" s="1" t="s">
        <v>4879</v>
      </c>
      <c r="C349" s="1" t="s">
        <v>5047</v>
      </c>
      <c r="D349" s="6">
        <v>196.27</v>
      </c>
      <c r="E349" s="6">
        <v>149.1652</v>
      </c>
      <c r="F349" s="1" t="s">
        <v>5048</v>
      </c>
      <c r="G349" s="6">
        <f t="shared" si="10"/>
        <v>47.104800000000012</v>
      </c>
      <c r="H349" s="7">
        <f t="shared" si="11"/>
        <v>0.76</v>
      </c>
    </row>
    <row r="350" spans="1:8" ht="18" customHeight="1" x14ac:dyDescent="0.25">
      <c r="A350" s="1" t="s">
        <v>5090</v>
      </c>
      <c r="B350" s="1" t="s">
        <v>4528</v>
      </c>
      <c r="C350" s="1" t="s">
        <v>5047</v>
      </c>
      <c r="D350" s="6">
        <v>196.19</v>
      </c>
      <c r="E350" s="6">
        <v>147.14250000000001</v>
      </c>
      <c r="F350" s="1" t="s">
        <v>5048</v>
      </c>
      <c r="G350" s="6">
        <f t="shared" si="10"/>
        <v>49.047499999999985</v>
      </c>
      <c r="H350" s="7">
        <f t="shared" si="11"/>
        <v>0.75000000000000011</v>
      </c>
    </row>
    <row r="351" spans="1:8" ht="18" customHeight="1" x14ac:dyDescent="0.25">
      <c r="A351" s="1" t="s">
        <v>5477</v>
      </c>
      <c r="B351" s="1" t="s">
        <v>4969</v>
      </c>
      <c r="C351" s="1" t="s">
        <v>5047</v>
      </c>
      <c r="D351" s="6">
        <v>195.4</v>
      </c>
      <c r="E351" s="6">
        <v>169.99799999999999</v>
      </c>
      <c r="F351" s="1" t="s">
        <v>5048</v>
      </c>
      <c r="G351" s="6">
        <f t="shared" si="10"/>
        <v>25.402000000000015</v>
      </c>
      <c r="H351" s="7">
        <f t="shared" si="11"/>
        <v>0.86999999999999988</v>
      </c>
    </row>
    <row r="352" spans="1:8" ht="18" customHeight="1" x14ac:dyDescent="0.25">
      <c r="A352" s="1" t="s">
        <v>5397</v>
      </c>
      <c r="B352" s="1" t="s">
        <v>4883</v>
      </c>
      <c r="C352" s="1" t="s">
        <v>5047</v>
      </c>
      <c r="D352" s="6">
        <v>191.91</v>
      </c>
      <c r="E352" s="6">
        <v>157.36619999999999</v>
      </c>
      <c r="F352" s="1" t="s">
        <v>5048</v>
      </c>
      <c r="G352" s="6">
        <f t="shared" si="10"/>
        <v>34.543800000000005</v>
      </c>
      <c r="H352" s="7">
        <f t="shared" si="11"/>
        <v>0.82</v>
      </c>
    </row>
    <row r="353" spans="1:8" ht="18" customHeight="1" x14ac:dyDescent="0.25">
      <c r="A353" s="1" t="s">
        <v>5168</v>
      </c>
      <c r="B353" s="1" t="s">
        <v>4623</v>
      </c>
      <c r="C353" s="1" t="s">
        <v>5047</v>
      </c>
      <c r="D353" s="6">
        <v>191.71</v>
      </c>
      <c r="E353" s="6">
        <v>166.7877</v>
      </c>
      <c r="F353" s="1" t="s">
        <v>5048</v>
      </c>
      <c r="G353" s="6">
        <f t="shared" si="10"/>
        <v>24.922300000000007</v>
      </c>
      <c r="H353" s="7">
        <f t="shared" si="11"/>
        <v>0.87</v>
      </c>
    </row>
    <row r="354" spans="1:8" ht="18" customHeight="1" x14ac:dyDescent="0.25">
      <c r="A354" s="1" t="s">
        <v>5140</v>
      </c>
      <c r="B354" s="1" t="s">
        <v>4586</v>
      </c>
      <c r="C354" s="1" t="s">
        <v>5047</v>
      </c>
      <c r="D354" s="6">
        <v>190.08</v>
      </c>
      <c r="E354" s="6">
        <v>140.6592</v>
      </c>
      <c r="F354" s="1" t="s">
        <v>5048</v>
      </c>
      <c r="G354" s="6">
        <f t="shared" si="10"/>
        <v>49.420800000000014</v>
      </c>
      <c r="H354" s="7">
        <f t="shared" si="11"/>
        <v>0.74</v>
      </c>
    </row>
    <row r="355" spans="1:8" ht="18" customHeight="1" x14ac:dyDescent="0.25">
      <c r="A355" s="1" t="s">
        <v>5499</v>
      </c>
      <c r="B355" s="1" t="s">
        <v>4992</v>
      </c>
      <c r="C355" s="1" t="s">
        <v>5047</v>
      </c>
      <c r="D355" s="6">
        <v>189.8</v>
      </c>
      <c r="E355" s="6">
        <v>168.922</v>
      </c>
      <c r="F355" s="1" t="s">
        <v>5048</v>
      </c>
      <c r="G355" s="6">
        <f t="shared" si="10"/>
        <v>20.878000000000014</v>
      </c>
      <c r="H355" s="7">
        <f t="shared" si="11"/>
        <v>0.8899999999999999</v>
      </c>
    </row>
    <row r="356" spans="1:8" ht="18" customHeight="1" x14ac:dyDescent="0.25">
      <c r="A356" s="1" t="s">
        <v>5356</v>
      </c>
      <c r="B356" s="1" t="s">
        <v>4839</v>
      </c>
      <c r="C356" s="1" t="s">
        <v>5047</v>
      </c>
      <c r="D356" s="6">
        <v>189.07</v>
      </c>
      <c r="E356" s="6">
        <v>168.2723</v>
      </c>
      <c r="F356" s="1" t="s">
        <v>5048</v>
      </c>
      <c r="G356" s="6">
        <f t="shared" si="10"/>
        <v>20.797699999999992</v>
      </c>
      <c r="H356" s="7">
        <f t="shared" si="11"/>
        <v>0.89</v>
      </c>
    </row>
    <row r="357" spans="1:8" ht="18" customHeight="1" x14ac:dyDescent="0.25">
      <c r="A357" s="1" t="s">
        <v>5518</v>
      </c>
      <c r="B357" s="1" t="s">
        <v>5011</v>
      </c>
      <c r="C357" s="1" t="s">
        <v>5047</v>
      </c>
      <c r="D357" s="6">
        <v>183.94</v>
      </c>
      <c r="E357" s="6">
        <v>137.95500000000001</v>
      </c>
      <c r="F357" s="1" t="s">
        <v>5048</v>
      </c>
      <c r="G357" s="6">
        <f t="shared" si="10"/>
        <v>45.984999999999985</v>
      </c>
      <c r="H357" s="7">
        <f t="shared" si="11"/>
        <v>0.75000000000000011</v>
      </c>
    </row>
    <row r="358" spans="1:8" ht="18" customHeight="1" x14ac:dyDescent="0.25">
      <c r="A358" s="1" t="s">
        <v>5276</v>
      </c>
      <c r="B358" s="1" t="s">
        <v>4747</v>
      </c>
      <c r="C358" s="1" t="s">
        <v>5047</v>
      </c>
      <c r="D358" s="6">
        <v>181.06</v>
      </c>
      <c r="E358" s="6">
        <v>143.03739999999999</v>
      </c>
      <c r="F358" s="1" t="s">
        <v>5048</v>
      </c>
      <c r="G358" s="6">
        <f t="shared" si="10"/>
        <v>38.022600000000011</v>
      </c>
      <c r="H358" s="7">
        <f t="shared" si="11"/>
        <v>0.78999999999999992</v>
      </c>
    </row>
    <row r="359" spans="1:8" ht="18" customHeight="1" x14ac:dyDescent="0.25">
      <c r="A359" s="1" t="s">
        <v>5253</v>
      </c>
      <c r="B359" s="1" t="s">
        <v>4718</v>
      </c>
      <c r="C359" s="1" t="s">
        <v>5047</v>
      </c>
      <c r="D359" s="6">
        <v>180.85</v>
      </c>
      <c r="E359" s="6">
        <v>142.8715</v>
      </c>
      <c r="F359" s="1" t="s">
        <v>5048</v>
      </c>
      <c r="G359" s="6">
        <f t="shared" si="10"/>
        <v>37.978499999999997</v>
      </c>
      <c r="H359" s="7">
        <f t="shared" si="11"/>
        <v>0.79</v>
      </c>
    </row>
    <row r="360" spans="1:8" ht="18" customHeight="1" x14ac:dyDescent="0.25">
      <c r="A360" s="1" t="s">
        <v>5074</v>
      </c>
      <c r="B360" s="1" t="s">
        <v>4512</v>
      </c>
      <c r="C360" s="1" t="s">
        <v>5047</v>
      </c>
      <c r="D360" s="6">
        <v>179.84</v>
      </c>
      <c r="E360" s="6">
        <v>156.46080000000001</v>
      </c>
      <c r="F360" s="1" t="s">
        <v>5048</v>
      </c>
      <c r="G360" s="6">
        <f t="shared" si="10"/>
        <v>23.379199999999997</v>
      </c>
      <c r="H360" s="7">
        <f t="shared" si="11"/>
        <v>0.87</v>
      </c>
    </row>
    <row r="361" spans="1:8" ht="18" customHeight="1" x14ac:dyDescent="0.25">
      <c r="A361" s="1" t="s">
        <v>5287</v>
      </c>
      <c r="B361" s="1" t="s">
        <v>4762</v>
      </c>
      <c r="C361" s="1" t="s">
        <v>5047</v>
      </c>
      <c r="D361" s="6">
        <v>179.7</v>
      </c>
      <c r="E361" s="6">
        <v>129.38399999999999</v>
      </c>
      <c r="F361" s="1" t="s">
        <v>5048</v>
      </c>
      <c r="G361" s="6">
        <f t="shared" si="10"/>
        <v>50.316000000000003</v>
      </c>
      <c r="H361" s="7">
        <f t="shared" si="11"/>
        <v>0.72</v>
      </c>
    </row>
    <row r="362" spans="1:8" ht="18" customHeight="1" x14ac:dyDescent="0.25">
      <c r="A362" s="1" t="s">
        <v>5384</v>
      </c>
      <c r="B362" s="1" t="s">
        <v>4868</v>
      </c>
      <c r="C362" s="1" t="s">
        <v>5047</v>
      </c>
      <c r="D362" s="6">
        <v>179.42</v>
      </c>
      <c r="E362" s="6">
        <v>157.8896</v>
      </c>
      <c r="F362" s="1" t="s">
        <v>5048</v>
      </c>
      <c r="G362" s="6">
        <f t="shared" si="10"/>
        <v>21.530399999999986</v>
      </c>
      <c r="H362" s="7">
        <f t="shared" si="11"/>
        <v>0.88000000000000012</v>
      </c>
    </row>
    <row r="363" spans="1:8" ht="18" customHeight="1" x14ac:dyDescent="0.25">
      <c r="A363" s="1" t="s">
        <v>5416</v>
      </c>
      <c r="B363" s="1" t="s">
        <v>4903</v>
      </c>
      <c r="C363" s="1" t="s">
        <v>5047</v>
      </c>
      <c r="D363" s="6">
        <v>177.92</v>
      </c>
      <c r="E363" s="6">
        <v>151.232</v>
      </c>
      <c r="F363" s="1" t="s">
        <v>5048</v>
      </c>
      <c r="G363" s="6">
        <f t="shared" si="10"/>
        <v>26.687999999999988</v>
      </c>
      <c r="H363" s="7">
        <f t="shared" si="11"/>
        <v>0.85000000000000009</v>
      </c>
    </row>
    <row r="364" spans="1:8" ht="18" customHeight="1" x14ac:dyDescent="0.25">
      <c r="A364" s="1" t="s">
        <v>5164</v>
      </c>
      <c r="B364" s="1" t="s">
        <v>4613</v>
      </c>
      <c r="C364" s="1" t="s">
        <v>5047</v>
      </c>
      <c r="D364" s="6">
        <v>177.89</v>
      </c>
      <c r="E364" s="6">
        <v>136.9753</v>
      </c>
      <c r="F364" s="1" t="s">
        <v>5048</v>
      </c>
      <c r="G364" s="6">
        <f t="shared" si="10"/>
        <v>40.914699999999982</v>
      </c>
      <c r="H364" s="7">
        <f t="shared" si="11"/>
        <v>0.77000000000000013</v>
      </c>
    </row>
    <row r="365" spans="1:8" ht="18" customHeight="1" x14ac:dyDescent="0.25">
      <c r="A365" s="1" t="s">
        <v>5411</v>
      </c>
      <c r="B365" s="1" t="s">
        <v>4897</v>
      </c>
      <c r="C365" s="1" t="s">
        <v>5047</v>
      </c>
      <c r="D365" s="6">
        <v>177.42</v>
      </c>
      <c r="E365" s="6">
        <v>157.90379999999999</v>
      </c>
      <c r="F365" s="1" t="s">
        <v>5048</v>
      </c>
      <c r="G365" s="6">
        <f t="shared" si="10"/>
        <v>19.516199999999998</v>
      </c>
      <c r="H365" s="7">
        <f t="shared" si="11"/>
        <v>0.89</v>
      </c>
    </row>
    <row r="366" spans="1:8" ht="18" customHeight="1" x14ac:dyDescent="0.25">
      <c r="A366" s="1" t="s">
        <v>5515</v>
      </c>
      <c r="B366" s="1" t="s">
        <v>5008</v>
      </c>
      <c r="C366" s="1" t="s">
        <v>5047</v>
      </c>
      <c r="D366" s="6">
        <v>176.78</v>
      </c>
      <c r="E366" s="6">
        <v>153.79859999999999</v>
      </c>
      <c r="F366" s="1" t="s">
        <v>5048</v>
      </c>
      <c r="G366" s="6">
        <f t="shared" si="10"/>
        <v>22.981400000000008</v>
      </c>
      <c r="H366" s="7">
        <f t="shared" si="11"/>
        <v>0.87</v>
      </c>
    </row>
    <row r="367" spans="1:8" ht="18" customHeight="1" x14ac:dyDescent="0.25">
      <c r="A367" s="1" t="s">
        <v>5490</v>
      </c>
      <c r="B367" s="1" t="s">
        <v>4983</v>
      </c>
      <c r="C367" s="1" t="s">
        <v>5047</v>
      </c>
      <c r="D367" s="6">
        <v>176.26</v>
      </c>
      <c r="E367" s="6">
        <v>141.00800000000001</v>
      </c>
      <c r="F367" s="1" t="s">
        <v>5048</v>
      </c>
      <c r="G367" s="6">
        <f t="shared" si="10"/>
        <v>35.251999999999981</v>
      </c>
      <c r="H367" s="7">
        <f t="shared" si="11"/>
        <v>0.8</v>
      </c>
    </row>
    <row r="368" spans="1:8" ht="18" customHeight="1" x14ac:dyDescent="0.25">
      <c r="A368" s="1" t="s">
        <v>5544</v>
      </c>
      <c r="B368" s="1" t="s">
        <v>5037</v>
      </c>
      <c r="C368" s="1" t="s">
        <v>5047</v>
      </c>
      <c r="D368" s="6">
        <v>175.72</v>
      </c>
      <c r="E368" s="6">
        <v>158.148</v>
      </c>
      <c r="F368" s="1" t="s">
        <v>5048</v>
      </c>
      <c r="G368" s="6">
        <f t="shared" si="10"/>
        <v>17.572000000000003</v>
      </c>
      <c r="H368" s="7">
        <f t="shared" si="11"/>
        <v>0.9</v>
      </c>
    </row>
    <row r="369" spans="1:8" ht="18" customHeight="1" x14ac:dyDescent="0.25">
      <c r="A369" s="1" t="s">
        <v>5107</v>
      </c>
      <c r="B369" s="1" t="s">
        <v>4548</v>
      </c>
      <c r="C369" s="1" t="s">
        <v>5047</v>
      </c>
      <c r="D369" s="6">
        <v>174.83</v>
      </c>
      <c r="E369" s="6">
        <v>141.6123</v>
      </c>
      <c r="F369" s="1" t="s">
        <v>5048</v>
      </c>
      <c r="G369" s="6">
        <f t="shared" si="10"/>
        <v>33.217700000000008</v>
      </c>
      <c r="H369" s="7">
        <f t="shared" si="11"/>
        <v>0.80999999999999994</v>
      </c>
    </row>
    <row r="370" spans="1:8" ht="18" customHeight="1" x14ac:dyDescent="0.25">
      <c r="A370" s="1" t="s">
        <v>5235</v>
      </c>
      <c r="B370" s="1" t="s">
        <v>4698</v>
      </c>
      <c r="C370" s="1" t="s">
        <v>5047</v>
      </c>
      <c r="D370" s="6">
        <v>173.52</v>
      </c>
      <c r="E370" s="6">
        <v>138.816</v>
      </c>
      <c r="F370" s="1" t="s">
        <v>5048</v>
      </c>
      <c r="G370" s="6">
        <f t="shared" si="10"/>
        <v>34.704000000000008</v>
      </c>
      <c r="H370" s="7">
        <f t="shared" si="11"/>
        <v>0.79999999999999993</v>
      </c>
    </row>
    <row r="371" spans="1:8" ht="18" customHeight="1" x14ac:dyDescent="0.25">
      <c r="A371" s="1" t="s">
        <v>5260</v>
      </c>
      <c r="B371" s="1" t="s">
        <v>4727</v>
      </c>
      <c r="C371" s="1" t="s">
        <v>5047</v>
      </c>
      <c r="D371" s="6">
        <v>170.58</v>
      </c>
      <c r="E371" s="6">
        <v>144.99299999999999</v>
      </c>
      <c r="F371" s="1" t="s">
        <v>5048</v>
      </c>
      <c r="G371" s="6">
        <f t="shared" si="10"/>
        <v>25.587000000000018</v>
      </c>
      <c r="H371" s="7">
        <f t="shared" si="11"/>
        <v>0.84999999999999987</v>
      </c>
    </row>
    <row r="372" spans="1:8" ht="18" customHeight="1" x14ac:dyDescent="0.25">
      <c r="A372" s="1" t="s">
        <v>5442</v>
      </c>
      <c r="B372" s="1" t="s">
        <v>4930</v>
      </c>
      <c r="C372" s="1" t="s">
        <v>5047</v>
      </c>
      <c r="D372" s="6">
        <v>170.45</v>
      </c>
      <c r="E372" s="6">
        <v>146.58699999999999</v>
      </c>
      <c r="F372" s="1" t="s">
        <v>5048</v>
      </c>
      <c r="G372" s="6">
        <f t="shared" si="10"/>
        <v>23.863</v>
      </c>
      <c r="H372" s="7">
        <f t="shared" si="11"/>
        <v>0.86</v>
      </c>
    </row>
    <row r="373" spans="1:8" ht="18" customHeight="1" x14ac:dyDescent="0.25">
      <c r="A373" s="1" t="s">
        <v>5202</v>
      </c>
      <c r="B373" s="1" t="s">
        <v>4661</v>
      </c>
      <c r="C373" s="1" t="s">
        <v>5047</v>
      </c>
      <c r="D373" s="6">
        <v>170.02</v>
      </c>
      <c r="E373" s="6">
        <v>130.91540000000001</v>
      </c>
      <c r="F373" s="1" t="s">
        <v>5048</v>
      </c>
      <c r="G373" s="6">
        <f t="shared" si="10"/>
        <v>39.104600000000005</v>
      </c>
      <c r="H373" s="7">
        <f t="shared" si="11"/>
        <v>0.77</v>
      </c>
    </row>
    <row r="374" spans="1:8" ht="18" customHeight="1" x14ac:dyDescent="0.25">
      <c r="A374" s="1" t="s">
        <v>5104</v>
      </c>
      <c r="B374" s="1" t="s">
        <v>4545</v>
      </c>
      <c r="C374" s="1" t="s">
        <v>5047</v>
      </c>
      <c r="D374" s="6">
        <v>169.98</v>
      </c>
      <c r="E374" s="6">
        <v>129.1848</v>
      </c>
      <c r="F374" s="1" t="s">
        <v>5048</v>
      </c>
      <c r="G374" s="6">
        <f t="shared" si="10"/>
        <v>40.795199999999994</v>
      </c>
      <c r="H374" s="7">
        <f t="shared" si="11"/>
        <v>0.76</v>
      </c>
    </row>
    <row r="375" spans="1:8" ht="18" customHeight="1" x14ac:dyDescent="0.25">
      <c r="A375" s="1" t="s">
        <v>5407</v>
      </c>
      <c r="B375" s="1" t="s">
        <v>4893</v>
      </c>
      <c r="C375" s="1" t="s">
        <v>5047</v>
      </c>
      <c r="D375" s="6">
        <v>169.93</v>
      </c>
      <c r="E375" s="6">
        <v>144.44049999999999</v>
      </c>
      <c r="F375" s="1" t="s">
        <v>5048</v>
      </c>
      <c r="G375" s="6">
        <f t="shared" si="10"/>
        <v>25.489500000000021</v>
      </c>
      <c r="H375" s="7">
        <f t="shared" si="11"/>
        <v>0.84999999999999987</v>
      </c>
    </row>
    <row r="376" spans="1:8" ht="18" customHeight="1" x14ac:dyDescent="0.25">
      <c r="A376" s="1" t="s">
        <v>5113</v>
      </c>
      <c r="B376" s="1" t="s">
        <v>4554</v>
      </c>
      <c r="C376" s="1" t="s">
        <v>5047</v>
      </c>
      <c r="D376" s="6">
        <v>167.28</v>
      </c>
      <c r="E376" s="6">
        <v>122.1144</v>
      </c>
      <c r="F376" s="1" t="s">
        <v>5048</v>
      </c>
      <c r="G376" s="6">
        <f t="shared" si="10"/>
        <v>45.165599999999998</v>
      </c>
      <c r="H376" s="7">
        <f t="shared" si="11"/>
        <v>0.73</v>
      </c>
    </row>
    <row r="377" spans="1:8" ht="18" customHeight="1" x14ac:dyDescent="0.25">
      <c r="A377" s="1" t="s">
        <v>5305</v>
      </c>
      <c r="B377" s="1" t="s">
        <v>4782</v>
      </c>
      <c r="C377" s="1" t="s">
        <v>5047</v>
      </c>
      <c r="D377" s="6">
        <v>165.86</v>
      </c>
      <c r="E377" s="6">
        <v>140.98099999999999</v>
      </c>
      <c r="F377" s="1" t="s">
        <v>5048</v>
      </c>
      <c r="G377" s="6">
        <f t="shared" si="10"/>
        <v>24.879000000000019</v>
      </c>
      <c r="H377" s="7">
        <f t="shared" si="11"/>
        <v>0.84999999999999987</v>
      </c>
    </row>
    <row r="378" spans="1:8" ht="18" customHeight="1" x14ac:dyDescent="0.25">
      <c r="A378" s="1" t="s">
        <v>5162</v>
      </c>
      <c r="B378" s="1" t="s">
        <v>4610</v>
      </c>
      <c r="C378" s="1" t="s">
        <v>5047</v>
      </c>
      <c r="D378" s="6">
        <v>165.56</v>
      </c>
      <c r="E378" s="6">
        <v>145.69280000000001</v>
      </c>
      <c r="F378" s="1" t="s">
        <v>5048</v>
      </c>
      <c r="G378" s="6">
        <f t="shared" si="10"/>
        <v>19.867199999999997</v>
      </c>
      <c r="H378" s="7">
        <f t="shared" si="11"/>
        <v>0.88</v>
      </c>
    </row>
    <row r="379" spans="1:8" ht="18" customHeight="1" x14ac:dyDescent="0.25">
      <c r="A379" s="1" t="s">
        <v>5524</v>
      </c>
      <c r="B379" s="1" t="s">
        <v>5017</v>
      </c>
      <c r="C379" s="1" t="s">
        <v>5047</v>
      </c>
      <c r="D379" s="6">
        <v>163.16999999999999</v>
      </c>
      <c r="E379" s="6">
        <v>122.3775</v>
      </c>
      <c r="F379" s="1" t="s">
        <v>5048</v>
      </c>
      <c r="G379" s="6">
        <f t="shared" si="10"/>
        <v>40.79249999999999</v>
      </c>
      <c r="H379" s="7">
        <f t="shared" si="11"/>
        <v>0.75</v>
      </c>
    </row>
    <row r="380" spans="1:8" ht="18" customHeight="1" x14ac:dyDescent="0.25">
      <c r="A380" s="1" t="s">
        <v>5334</v>
      </c>
      <c r="B380" s="1" t="s">
        <v>4812</v>
      </c>
      <c r="C380" s="1" t="s">
        <v>5047</v>
      </c>
      <c r="D380" s="6">
        <v>162.76</v>
      </c>
      <c r="E380" s="6">
        <v>136.7184</v>
      </c>
      <c r="F380" s="1" t="s">
        <v>5048</v>
      </c>
      <c r="G380" s="6">
        <f t="shared" si="10"/>
        <v>26.041599999999988</v>
      </c>
      <c r="H380" s="7">
        <f t="shared" si="11"/>
        <v>0.84000000000000008</v>
      </c>
    </row>
    <row r="381" spans="1:8" ht="18" customHeight="1" x14ac:dyDescent="0.25">
      <c r="A381" s="1" t="s">
        <v>5331</v>
      </c>
      <c r="B381" s="1" t="s">
        <v>4808</v>
      </c>
      <c r="C381" s="1" t="s">
        <v>5047</v>
      </c>
      <c r="D381" s="6">
        <v>162.6</v>
      </c>
      <c r="E381" s="6">
        <v>138.21</v>
      </c>
      <c r="F381" s="1" t="s">
        <v>5048</v>
      </c>
      <c r="G381" s="6">
        <f t="shared" si="10"/>
        <v>24.389999999999986</v>
      </c>
      <c r="H381" s="7">
        <f t="shared" si="11"/>
        <v>0.85000000000000009</v>
      </c>
    </row>
    <row r="382" spans="1:8" ht="18" customHeight="1" x14ac:dyDescent="0.25">
      <c r="A382" s="1" t="s">
        <v>5055</v>
      </c>
      <c r="B382" s="1" t="s">
        <v>4490</v>
      </c>
      <c r="C382" s="1" t="s">
        <v>5047</v>
      </c>
      <c r="D382" s="6">
        <v>161.85</v>
      </c>
      <c r="E382" s="6">
        <v>142.428</v>
      </c>
      <c r="F382" s="1" t="s">
        <v>5048</v>
      </c>
      <c r="G382" s="6">
        <f t="shared" si="10"/>
        <v>19.421999999999997</v>
      </c>
      <c r="H382" s="7">
        <f t="shared" si="11"/>
        <v>0.88</v>
      </c>
    </row>
    <row r="383" spans="1:8" ht="18" customHeight="1" x14ac:dyDescent="0.25">
      <c r="A383" s="1" t="s">
        <v>5050</v>
      </c>
      <c r="B383" s="1" t="s">
        <v>4484</v>
      </c>
      <c r="C383" s="1" t="s">
        <v>5047</v>
      </c>
      <c r="D383" s="6">
        <v>156.68</v>
      </c>
      <c r="E383" s="6">
        <v>131.6112</v>
      </c>
      <c r="F383" s="1" t="s">
        <v>5048</v>
      </c>
      <c r="G383" s="6">
        <f t="shared" si="10"/>
        <v>25.06880000000001</v>
      </c>
      <c r="H383" s="7">
        <f t="shared" si="11"/>
        <v>0.84</v>
      </c>
    </row>
    <row r="384" spans="1:8" ht="18" customHeight="1" x14ac:dyDescent="0.25">
      <c r="A384" s="1" t="s">
        <v>5213</v>
      </c>
      <c r="B384" s="1" t="s">
        <v>4673</v>
      </c>
      <c r="C384" s="1" t="s">
        <v>5047</v>
      </c>
      <c r="D384" s="6">
        <v>155.44999999999999</v>
      </c>
      <c r="E384" s="6">
        <v>132.13249999999999</v>
      </c>
      <c r="F384" s="1" t="s">
        <v>5048</v>
      </c>
      <c r="G384" s="6">
        <f t="shared" si="10"/>
        <v>23.317499999999995</v>
      </c>
      <c r="H384" s="7">
        <f t="shared" si="11"/>
        <v>0.85</v>
      </c>
    </row>
    <row r="385" spans="1:8" ht="18" customHeight="1" x14ac:dyDescent="0.25">
      <c r="A385" s="1" t="s">
        <v>5290</v>
      </c>
      <c r="B385" s="1" t="s">
        <v>4765</v>
      </c>
      <c r="C385" s="1" t="s">
        <v>5047</v>
      </c>
      <c r="D385" s="6">
        <v>155.06</v>
      </c>
      <c r="E385" s="6">
        <v>131.80099999999999</v>
      </c>
      <c r="F385" s="1" t="s">
        <v>5048</v>
      </c>
      <c r="G385" s="6">
        <f t="shared" si="10"/>
        <v>23.259000000000015</v>
      </c>
      <c r="H385" s="7">
        <f t="shared" si="11"/>
        <v>0.84999999999999987</v>
      </c>
    </row>
    <row r="386" spans="1:8" ht="18" customHeight="1" x14ac:dyDescent="0.25">
      <c r="A386" s="1" t="s">
        <v>5062</v>
      </c>
      <c r="B386" s="1" t="s">
        <v>4498</v>
      </c>
      <c r="C386" s="1" t="s">
        <v>5047</v>
      </c>
      <c r="D386" s="6">
        <v>155.05000000000001</v>
      </c>
      <c r="E386" s="6">
        <v>119.38849999999999</v>
      </c>
      <c r="F386" s="1" t="s">
        <v>5048</v>
      </c>
      <c r="G386" s="6">
        <f t="shared" ref="G386:G449" si="12">D386-E386</f>
        <v>35.661500000000018</v>
      </c>
      <c r="H386" s="7">
        <f t="shared" ref="H386:H449" si="13">IFERROR(E386/D386,0)</f>
        <v>0.76999999999999991</v>
      </c>
    </row>
    <row r="387" spans="1:8" ht="18" customHeight="1" x14ac:dyDescent="0.25">
      <c r="A387" s="1" t="s">
        <v>5441</v>
      </c>
      <c r="B387" s="1" t="s">
        <v>4929</v>
      </c>
      <c r="C387" s="1" t="s">
        <v>5047</v>
      </c>
      <c r="D387" s="6">
        <v>154.46</v>
      </c>
      <c r="E387" s="6">
        <v>112.75579999999999</v>
      </c>
      <c r="F387" s="1" t="s">
        <v>5048</v>
      </c>
      <c r="G387" s="6">
        <f t="shared" si="12"/>
        <v>41.704200000000014</v>
      </c>
      <c r="H387" s="7">
        <f t="shared" si="13"/>
        <v>0.72999999999999987</v>
      </c>
    </row>
    <row r="388" spans="1:8" ht="18" customHeight="1" x14ac:dyDescent="0.25">
      <c r="A388" s="1" t="s">
        <v>5077</v>
      </c>
      <c r="B388" s="1" t="s">
        <v>4515</v>
      </c>
      <c r="C388" s="1" t="s">
        <v>5047</v>
      </c>
      <c r="D388" s="6">
        <v>154.33000000000001</v>
      </c>
      <c r="E388" s="6">
        <v>108.03100000000001</v>
      </c>
      <c r="F388" s="1" t="s">
        <v>5048</v>
      </c>
      <c r="G388" s="6">
        <f t="shared" si="12"/>
        <v>46.299000000000007</v>
      </c>
      <c r="H388" s="7">
        <f t="shared" si="13"/>
        <v>0.7</v>
      </c>
    </row>
    <row r="389" spans="1:8" ht="18" customHeight="1" x14ac:dyDescent="0.25">
      <c r="A389" s="1" t="s">
        <v>5315</v>
      </c>
      <c r="B389" s="1" t="s">
        <v>4792</v>
      </c>
      <c r="C389" s="1" t="s">
        <v>5047</v>
      </c>
      <c r="D389" s="6">
        <v>150.99</v>
      </c>
      <c r="E389" s="6">
        <v>105.693</v>
      </c>
      <c r="F389" s="1" t="s">
        <v>5048</v>
      </c>
      <c r="G389" s="6">
        <f t="shared" si="12"/>
        <v>45.297000000000011</v>
      </c>
      <c r="H389" s="7">
        <f t="shared" si="13"/>
        <v>0.7</v>
      </c>
    </row>
    <row r="390" spans="1:8" ht="18" customHeight="1" x14ac:dyDescent="0.25">
      <c r="A390" s="1" t="s">
        <v>5450</v>
      </c>
      <c r="B390" s="1" t="s">
        <v>4938</v>
      </c>
      <c r="C390" s="1" t="s">
        <v>5047</v>
      </c>
      <c r="D390" s="6">
        <v>150.82</v>
      </c>
      <c r="E390" s="6">
        <v>119.1478</v>
      </c>
      <c r="F390" s="1" t="s">
        <v>5048</v>
      </c>
      <c r="G390" s="6">
        <f t="shared" si="12"/>
        <v>31.672199999999989</v>
      </c>
      <c r="H390" s="7">
        <f t="shared" si="13"/>
        <v>0.79</v>
      </c>
    </row>
    <row r="391" spans="1:8" ht="18" customHeight="1" x14ac:dyDescent="0.25">
      <c r="A391" s="1" t="s">
        <v>5482</v>
      </c>
      <c r="B391" s="1" t="s">
        <v>4974</v>
      </c>
      <c r="C391" s="1" t="s">
        <v>5047</v>
      </c>
      <c r="D391" s="6">
        <v>150.51</v>
      </c>
      <c r="E391" s="6">
        <v>115.8927</v>
      </c>
      <c r="F391" s="1" t="s">
        <v>5048</v>
      </c>
      <c r="G391" s="6">
        <f t="shared" si="12"/>
        <v>34.617299999999986</v>
      </c>
      <c r="H391" s="7">
        <f t="shared" si="13"/>
        <v>0.77000000000000013</v>
      </c>
    </row>
    <row r="392" spans="1:8" ht="18" customHeight="1" x14ac:dyDescent="0.25">
      <c r="A392" s="1" t="s">
        <v>5283</v>
      </c>
      <c r="B392" s="1" t="s">
        <v>4756</v>
      </c>
      <c r="C392" s="1" t="s">
        <v>5047</v>
      </c>
      <c r="D392" s="6">
        <v>150.13999999999999</v>
      </c>
      <c r="E392" s="6">
        <v>108.10080000000001</v>
      </c>
      <c r="F392" s="1" t="s">
        <v>5048</v>
      </c>
      <c r="G392" s="6">
        <f t="shared" si="12"/>
        <v>42.03919999999998</v>
      </c>
      <c r="H392" s="7">
        <f t="shared" si="13"/>
        <v>0.72000000000000008</v>
      </c>
    </row>
    <row r="393" spans="1:8" ht="18" customHeight="1" x14ac:dyDescent="0.25">
      <c r="A393" s="1" t="s">
        <v>5061</v>
      </c>
      <c r="B393" s="1" t="s">
        <v>4497</v>
      </c>
      <c r="C393" s="1" t="s">
        <v>5047</v>
      </c>
      <c r="D393" s="6">
        <v>147.72</v>
      </c>
      <c r="E393" s="6">
        <v>129.99359999999999</v>
      </c>
      <c r="F393" s="1" t="s">
        <v>5048</v>
      </c>
      <c r="G393" s="6">
        <f t="shared" si="12"/>
        <v>17.726400000000012</v>
      </c>
      <c r="H393" s="7">
        <f t="shared" si="13"/>
        <v>0.87999999999999989</v>
      </c>
    </row>
    <row r="394" spans="1:8" ht="18" customHeight="1" x14ac:dyDescent="0.25">
      <c r="A394" s="1" t="s">
        <v>5517</v>
      </c>
      <c r="B394" s="1" t="s">
        <v>5010</v>
      </c>
      <c r="C394" s="1" t="s">
        <v>5047</v>
      </c>
      <c r="D394" s="6">
        <v>147.36000000000001</v>
      </c>
      <c r="E394" s="6">
        <v>110.52</v>
      </c>
      <c r="F394" s="1" t="s">
        <v>5048</v>
      </c>
      <c r="G394" s="6">
        <f t="shared" si="12"/>
        <v>36.840000000000018</v>
      </c>
      <c r="H394" s="7">
        <f t="shared" si="13"/>
        <v>0.74999999999999989</v>
      </c>
    </row>
    <row r="395" spans="1:8" ht="18" customHeight="1" x14ac:dyDescent="0.25">
      <c r="A395" s="1" t="s">
        <v>5447</v>
      </c>
      <c r="B395" s="1" t="s">
        <v>4935</v>
      </c>
      <c r="C395" s="1" t="s">
        <v>5047</v>
      </c>
      <c r="D395" s="6">
        <v>144.88999999999999</v>
      </c>
      <c r="E395" s="6">
        <v>114.4631</v>
      </c>
      <c r="F395" s="1" t="s">
        <v>5048</v>
      </c>
      <c r="G395" s="6">
        <f t="shared" si="12"/>
        <v>30.426899999999989</v>
      </c>
      <c r="H395" s="7">
        <f t="shared" si="13"/>
        <v>0.79</v>
      </c>
    </row>
    <row r="396" spans="1:8" ht="18" customHeight="1" x14ac:dyDescent="0.25">
      <c r="A396" s="1" t="s">
        <v>5301</v>
      </c>
      <c r="B396" s="1" t="s">
        <v>4778</v>
      </c>
      <c r="C396" s="1" t="s">
        <v>5047</v>
      </c>
      <c r="D396" s="6">
        <v>142.80000000000001</v>
      </c>
      <c r="E396" s="6">
        <v>119.952</v>
      </c>
      <c r="F396" s="1" t="s">
        <v>5048</v>
      </c>
      <c r="G396" s="6">
        <f t="shared" si="12"/>
        <v>22.848000000000013</v>
      </c>
      <c r="H396" s="7">
        <f t="shared" si="13"/>
        <v>0.84</v>
      </c>
    </row>
    <row r="397" spans="1:8" ht="18" customHeight="1" x14ac:dyDescent="0.25">
      <c r="A397" s="1" t="s">
        <v>5343</v>
      </c>
      <c r="B397" s="1" t="s">
        <v>4824</v>
      </c>
      <c r="C397" s="1" t="s">
        <v>5047</v>
      </c>
      <c r="D397" s="6">
        <v>139.38999999999999</v>
      </c>
      <c r="E397" s="6">
        <v>112.9059</v>
      </c>
      <c r="F397" s="1" t="s">
        <v>5048</v>
      </c>
      <c r="G397" s="6">
        <f t="shared" si="12"/>
        <v>26.484099999999984</v>
      </c>
      <c r="H397" s="7">
        <f t="shared" si="13"/>
        <v>0.81</v>
      </c>
    </row>
    <row r="398" spans="1:8" ht="18" customHeight="1" x14ac:dyDescent="0.25">
      <c r="A398" s="1" t="s">
        <v>5519</v>
      </c>
      <c r="B398" s="1" t="s">
        <v>5012</v>
      </c>
      <c r="C398" s="1" t="s">
        <v>5047</v>
      </c>
      <c r="D398" s="6">
        <v>139.21</v>
      </c>
      <c r="E398" s="6">
        <v>112.76009999999999</v>
      </c>
      <c r="F398" s="1" t="s">
        <v>5048</v>
      </c>
      <c r="G398" s="6">
        <f t="shared" si="12"/>
        <v>26.449900000000014</v>
      </c>
      <c r="H398" s="7">
        <f t="shared" si="13"/>
        <v>0.80999999999999994</v>
      </c>
    </row>
    <row r="399" spans="1:8" ht="18" customHeight="1" x14ac:dyDescent="0.25">
      <c r="A399" s="1" t="s">
        <v>5510</v>
      </c>
      <c r="B399" s="1" t="s">
        <v>5003</v>
      </c>
      <c r="C399" s="1" t="s">
        <v>5047</v>
      </c>
      <c r="D399" s="6">
        <v>138.88999999999999</v>
      </c>
      <c r="E399" s="6">
        <v>104.1675</v>
      </c>
      <c r="F399" s="1" t="s">
        <v>5048</v>
      </c>
      <c r="G399" s="6">
        <f t="shared" si="12"/>
        <v>34.722499999999982</v>
      </c>
      <c r="H399" s="7">
        <f t="shared" si="13"/>
        <v>0.75000000000000011</v>
      </c>
    </row>
    <row r="400" spans="1:8" ht="18" customHeight="1" x14ac:dyDescent="0.25">
      <c r="A400" s="1" t="s">
        <v>5526</v>
      </c>
      <c r="B400" s="1" t="s">
        <v>5019</v>
      </c>
      <c r="C400" s="1" t="s">
        <v>5047</v>
      </c>
      <c r="D400" s="6">
        <v>137.91999999999999</v>
      </c>
      <c r="E400" s="6">
        <v>111.7152</v>
      </c>
      <c r="F400" s="1" t="s">
        <v>5048</v>
      </c>
      <c r="G400" s="6">
        <f t="shared" si="12"/>
        <v>26.204799999999992</v>
      </c>
      <c r="H400" s="7">
        <f t="shared" si="13"/>
        <v>0.81</v>
      </c>
    </row>
    <row r="401" spans="1:8" ht="18" customHeight="1" x14ac:dyDescent="0.25">
      <c r="A401" s="1" t="s">
        <v>5274</v>
      </c>
      <c r="B401" s="1" t="s">
        <v>4745</v>
      </c>
      <c r="C401" s="1" t="s">
        <v>5047</v>
      </c>
      <c r="D401" s="6">
        <v>135.31</v>
      </c>
      <c r="E401" s="6">
        <v>106.89490000000001</v>
      </c>
      <c r="F401" s="1" t="s">
        <v>5048</v>
      </c>
      <c r="G401" s="6">
        <f t="shared" si="12"/>
        <v>28.415099999999995</v>
      </c>
      <c r="H401" s="7">
        <f t="shared" si="13"/>
        <v>0.79</v>
      </c>
    </row>
    <row r="402" spans="1:8" ht="18" customHeight="1" x14ac:dyDescent="0.25">
      <c r="A402" s="1" t="s">
        <v>5481</v>
      </c>
      <c r="B402" s="1" t="s">
        <v>4973</v>
      </c>
      <c r="C402" s="1" t="s">
        <v>5047</v>
      </c>
      <c r="D402" s="6">
        <v>135.04</v>
      </c>
      <c r="E402" s="6">
        <v>106.6816</v>
      </c>
      <c r="F402" s="1" t="s">
        <v>5048</v>
      </c>
      <c r="G402" s="6">
        <f t="shared" si="12"/>
        <v>28.358399999999989</v>
      </c>
      <c r="H402" s="7">
        <f t="shared" si="13"/>
        <v>0.79</v>
      </c>
    </row>
    <row r="403" spans="1:8" ht="18" customHeight="1" x14ac:dyDescent="0.25">
      <c r="A403" s="1" t="s">
        <v>5097</v>
      </c>
      <c r="B403" s="1" t="s">
        <v>4538</v>
      </c>
      <c r="C403" s="1" t="s">
        <v>5047</v>
      </c>
      <c r="D403" s="6">
        <v>135.02000000000001</v>
      </c>
      <c r="E403" s="6">
        <v>105.3156</v>
      </c>
      <c r="F403" s="1" t="s">
        <v>5048</v>
      </c>
      <c r="G403" s="6">
        <f t="shared" si="12"/>
        <v>29.704400000000007</v>
      </c>
      <c r="H403" s="7">
        <f t="shared" si="13"/>
        <v>0.77999999999999992</v>
      </c>
    </row>
    <row r="404" spans="1:8" ht="18" customHeight="1" x14ac:dyDescent="0.25">
      <c r="A404" s="1" t="s">
        <v>5512</v>
      </c>
      <c r="B404" s="1" t="s">
        <v>5005</v>
      </c>
      <c r="C404" s="1" t="s">
        <v>5047</v>
      </c>
      <c r="D404" s="6">
        <v>134.4</v>
      </c>
      <c r="E404" s="6">
        <v>95.424000000000007</v>
      </c>
      <c r="F404" s="1" t="s">
        <v>5048</v>
      </c>
      <c r="G404" s="6">
        <f t="shared" si="12"/>
        <v>38.975999999999999</v>
      </c>
      <c r="H404" s="7">
        <f t="shared" si="13"/>
        <v>0.71</v>
      </c>
    </row>
    <row r="405" spans="1:8" ht="18" customHeight="1" x14ac:dyDescent="0.25">
      <c r="A405" s="1" t="s">
        <v>5469</v>
      </c>
      <c r="B405" s="1" t="s">
        <v>4961</v>
      </c>
      <c r="C405" s="1" t="s">
        <v>5047</v>
      </c>
      <c r="D405" s="6">
        <v>133.56</v>
      </c>
      <c r="E405" s="6">
        <v>105.5124</v>
      </c>
      <c r="F405" s="1" t="s">
        <v>5048</v>
      </c>
      <c r="G405" s="6">
        <f t="shared" si="12"/>
        <v>28.047600000000003</v>
      </c>
      <c r="H405" s="7">
        <f t="shared" si="13"/>
        <v>0.79</v>
      </c>
    </row>
    <row r="406" spans="1:8" ht="18" customHeight="1" x14ac:dyDescent="0.25">
      <c r="A406" s="1" t="s">
        <v>5347</v>
      </c>
      <c r="B406" s="1" t="s">
        <v>4829</v>
      </c>
      <c r="C406" s="1" t="s">
        <v>5047</v>
      </c>
      <c r="D406" s="6">
        <v>133.30000000000001</v>
      </c>
      <c r="E406" s="6">
        <v>111.97199999999999</v>
      </c>
      <c r="F406" s="1" t="s">
        <v>5048</v>
      </c>
      <c r="G406" s="6">
        <f t="shared" si="12"/>
        <v>21.328000000000017</v>
      </c>
      <c r="H406" s="7">
        <f t="shared" si="13"/>
        <v>0.83999999999999986</v>
      </c>
    </row>
    <row r="407" spans="1:8" ht="18" customHeight="1" x14ac:dyDescent="0.25">
      <c r="A407" s="1" t="s">
        <v>5320</v>
      </c>
      <c r="B407" s="1" t="s">
        <v>4797</v>
      </c>
      <c r="C407" s="1" t="s">
        <v>5047</v>
      </c>
      <c r="D407" s="6">
        <v>130.26</v>
      </c>
      <c r="E407" s="6">
        <v>110.721</v>
      </c>
      <c r="F407" s="1" t="s">
        <v>5048</v>
      </c>
      <c r="G407" s="6">
        <f t="shared" si="12"/>
        <v>19.538999999999987</v>
      </c>
      <c r="H407" s="7">
        <f t="shared" si="13"/>
        <v>0.85000000000000009</v>
      </c>
    </row>
    <row r="408" spans="1:8" ht="18" customHeight="1" x14ac:dyDescent="0.25">
      <c r="A408" s="1" t="s">
        <v>5192</v>
      </c>
      <c r="B408" s="1" t="s">
        <v>4650</v>
      </c>
      <c r="C408" s="1" t="s">
        <v>5047</v>
      </c>
      <c r="D408" s="6">
        <v>128.91999999999999</v>
      </c>
      <c r="E408" s="6">
        <v>105.7144</v>
      </c>
      <c r="F408" s="1" t="s">
        <v>5048</v>
      </c>
      <c r="G408" s="6">
        <f t="shared" si="12"/>
        <v>23.20559999999999</v>
      </c>
      <c r="H408" s="7">
        <f t="shared" si="13"/>
        <v>0.82000000000000006</v>
      </c>
    </row>
    <row r="409" spans="1:8" ht="18" customHeight="1" x14ac:dyDescent="0.25">
      <c r="A409" s="1" t="s">
        <v>5332</v>
      </c>
      <c r="B409" s="1" t="s">
        <v>4810</v>
      </c>
      <c r="C409" s="1" t="s">
        <v>5047</v>
      </c>
      <c r="D409" s="6">
        <v>128.84</v>
      </c>
      <c r="E409" s="6">
        <v>114.66759999999999</v>
      </c>
      <c r="F409" s="1" t="s">
        <v>5048</v>
      </c>
      <c r="G409" s="6">
        <f t="shared" si="12"/>
        <v>14.17240000000001</v>
      </c>
      <c r="H409" s="7">
        <f t="shared" si="13"/>
        <v>0.8899999999999999</v>
      </c>
    </row>
    <row r="410" spans="1:8" ht="18" customHeight="1" x14ac:dyDescent="0.25">
      <c r="A410" s="1" t="s">
        <v>5155</v>
      </c>
      <c r="B410" s="1" t="s">
        <v>4603</v>
      </c>
      <c r="C410" s="1" t="s">
        <v>5047</v>
      </c>
      <c r="D410" s="6">
        <v>127.66</v>
      </c>
      <c r="E410" s="6">
        <v>108.511</v>
      </c>
      <c r="F410" s="1" t="s">
        <v>5048</v>
      </c>
      <c r="G410" s="6">
        <f t="shared" si="12"/>
        <v>19.149000000000001</v>
      </c>
      <c r="H410" s="7">
        <f t="shared" si="13"/>
        <v>0.85</v>
      </c>
    </row>
    <row r="411" spans="1:8" ht="18" customHeight="1" x14ac:dyDescent="0.25">
      <c r="A411" s="1" t="s">
        <v>5543</v>
      </c>
      <c r="B411" s="1" t="s">
        <v>5036</v>
      </c>
      <c r="C411" s="1" t="s">
        <v>5047</v>
      </c>
      <c r="D411" s="6">
        <v>127.46</v>
      </c>
      <c r="E411" s="6">
        <v>91.771199999999993</v>
      </c>
      <c r="F411" s="1" t="s">
        <v>5048</v>
      </c>
      <c r="G411" s="6">
        <f t="shared" si="12"/>
        <v>35.688800000000001</v>
      </c>
      <c r="H411" s="7">
        <f t="shared" si="13"/>
        <v>0.72</v>
      </c>
    </row>
    <row r="412" spans="1:8" ht="18" customHeight="1" x14ac:dyDescent="0.25">
      <c r="A412" s="1" t="s">
        <v>5138</v>
      </c>
      <c r="B412" s="1" t="s">
        <v>4584</v>
      </c>
      <c r="C412" s="1" t="s">
        <v>5047</v>
      </c>
      <c r="D412" s="6">
        <v>126.83</v>
      </c>
      <c r="E412" s="6">
        <v>101.464</v>
      </c>
      <c r="F412" s="1" t="s">
        <v>5048</v>
      </c>
      <c r="G412" s="6">
        <f t="shared" si="12"/>
        <v>25.366</v>
      </c>
      <c r="H412" s="7">
        <f t="shared" si="13"/>
        <v>0.8</v>
      </c>
    </row>
    <row r="413" spans="1:8" ht="18" customHeight="1" x14ac:dyDescent="0.25">
      <c r="A413" s="1" t="s">
        <v>5230</v>
      </c>
      <c r="B413" s="1" t="s">
        <v>4692</v>
      </c>
      <c r="C413" s="1" t="s">
        <v>5047</v>
      </c>
      <c r="D413" s="6">
        <v>126.35</v>
      </c>
      <c r="E413" s="6">
        <v>108.661</v>
      </c>
      <c r="F413" s="1" t="s">
        <v>5048</v>
      </c>
      <c r="G413" s="6">
        <f t="shared" si="12"/>
        <v>17.688999999999993</v>
      </c>
      <c r="H413" s="7">
        <f t="shared" si="13"/>
        <v>0.8600000000000001</v>
      </c>
    </row>
    <row r="414" spans="1:8" ht="18" customHeight="1" x14ac:dyDescent="0.25">
      <c r="A414" s="1" t="s">
        <v>5189</v>
      </c>
      <c r="B414" s="1" t="s">
        <v>4645</v>
      </c>
      <c r="C414" s="1" t="s">
        <v>5047</v>
      </c>
      <c r="D414" s="6">
        <v>124.92</v>
      </c>
      <c r="E414" s="6">
        <v>93.69</v>
      </c>
      <c r="F414" s="1" t="s">
        <v>5048</v>
      </c>
      <c r="G414" s="6">
        <f t="shared" si="12"/>
        <v>31.230000000000004</v>
      </c>
      <c r="H414" s="7">
        <f t="shared" si="13"/>
        <v>0.75</v>
      </c>
    </row>
    <row r="415" spans="1:8" ht="18" customHeight="1" x14ac:dyDescent="0.25">
      <c r="A415" s="1" t="s">
        <v>5466</v>
      </c>
      <c r="B415" s="1" t="s">
        <v>4957</v>
      </c>
      <c r="C415" s="1" t="s">
        <v>5047</v>
      </c>
      <c r="D415" s="6">
        <v>122.55</v>
      </c>
      <c r="E415" s="6">
        <v>104.1675</v>
      </c>
      <c r="F415" s="1" t="s">
        <v>5048</v>
      </c>
      <c r="G415" s="6">
        <f t="shared" si="12"/>
        <v>18.382499999999993</v>
      </c>
      <c r="H415" s="7">
        <f t="shared" si="13"/>
        <v>0.85000000000000009</v>
      </c>
    </row>
    <row r="416" spans="1:8" ht="18" customHeight="1" x14ac:dyDescent="0.25">
      <c r="A416" s="1" t="s">
        <v>5498</v>
      </c>
      <c r="B416" s="1" t="s">
        <v>4991</v>
      </c>
      <c r="C416" s="1" t="s">
        <v>5047</v>
      </c>
      <c r="D416" s="6">
        <v>121.69</v>
      </c>
      <c r="E416" s="6">
        <v>90.050600000000003</v>
      </c>
      <c r="F416" s="1" t="s">
        <v>5048</v>
      </c>
      <c r="G416" s="6">
        <f t="shared" si="12"/>
        <v>31.639399999999995</v>
      </c>
      <c r="H416" s="7">
        <f t="shared" si="13"/>
        <v>0.74</v>
      </c>
    </row>
    <row r="417" spans="1:8" ht="18" customHeight="1" x14ac:dyDescent="0.25">
      <c r="A417" s="1" t="s">
        <v>5421</v>
      </c>
      <c r="B417" s="1" t="s">
        <v>4908</v>
      </c>
      <c r="C417" s="1" t="s">
        <v>5047</v>
      </c>
      <c r="D417" s="6">
        <v>120.29</v>
      </c>
      <c r="E417" s="6">
        <v>93.8262</v>
      </c>
      <c r="F417" s="1" t="s">
        <v>5048</v>
      </c>
      <c r="G417" s="6">
        <f t="shared" si="12"/>
        <v>26.463800000000006</v>
      </c>
      <c r="H417" s="7">
        <f t="shared" si="13"/>
        <v>0.77999999999999992</v>
      </c>
    </row>
    <row r="418" spans="1:8" ht="18" customHeight="1" x14ac:dyDescent="0.25">
      <c r="A418" s="1" t="s">
        <v>5340</v>
      </c>
      <c r="B418" s="1" t="s">
        <v>4821</v>
      </c>
      <c r="C418" s="1" t="s">
        <v>5047</v>
      </c>
      <c r="D418" s="6">
        <v>119.77</v>
      </c>
      <c r="E418" s="6">
        <v>97.0137</v>
      </c>
      <c r="F418" s="1" t="s">
        <v>5048</v>
      </c>
      <c r="G418" s="6">
        <f t="shared" si="12"/>
        <v>22.756299999999996</v>
      </c>
      <c r="H418" s="7">
        <f t="shared" si="13"/>
        <v>0.81</v>
      </c>
    </row>
    <row r="419" spans="1:8" ht="18" customHeight="1" x14ac:dyDescent="0.25">
      <c r="A419" s="1" t="s">
        <v>5298</v>
      </c>
      <c r="B419" s="1" t="s">
        <v>4775</v>
      </c>
      <c r="C419" s="1" t="s">
        <v>5047</v>
      </c>
      <c r="D419" s="6">
        <v>118.34</v>
      </c>
      <c r="E419" s="6">
        <v>101.7724</v>
      </c>
      <c r="F419" s="1" t="s">
        <v>5048</v>
      </c>
      <c r="G419" s="6">
        <f t="shared" si="12"/>
        <v>16.567599999999999</v>
      </c>
      <c r="H419" s="7">
        <f t="shared" si="13"/>
        <v>0.86</v>
      </c>
    </row>
    <row r="420" spans="1:8" ht="18" customHeight="1" x14ac:dyDescent="0.25">
      <c r="A420" s="1" t="s">
        <v>5180</v>
      </c>
      <c r="B420" s="1" t="s">
        <v>4635</v>
      </c>
      <c r="C420" s="1" t="s">
        <v>5047</v>
      </c>
      <c r="D420" s="6">
        <v>117.19</v>
      </c>
      <c r="E420" s="6">
        <v>103.1272</v>
      </c>
      <c r="F420" s="1" t="s">
        <v>5048</v>
      </c>
      <c r="G420" s="6">
        <f t="shared" si="12"/>
        <v>14.062799999999996</v>
      </c>
      <c r="H420" s="7">
        <f t="shared" si="13"/>
        <v>0.88</v>
      </c>
    </row>
    <row r="421" spans="1:8" ht="18" customHeight="1" x14ac:dyDescent="0.25">
      <c r="A421" s="1" t="s">
        <v>5116</v>
      </c>
      <c r="B421" s="1" t="s">
        <v>4557</v>
      </c>
      <c r="C421" s="1" t="s">
        <v>5047</v>
      </c>
      <c r="D421" s="6">
        <v>115.87</v>
      </c>
      <c r="E421" s="6">
        <v>89.219899999999996</v>
      </c>
      <c r="F421" s="1" t="s">
        <v>5048</v>
      </c>
      <c r="G421" s="6">
        <f t="shared" si="12"/>
        <v>26.650100000000009</v>
      </c>
      <c r="H421" s="7">
        <f t="shared" si="13"/>
        <v>0.76999999999999991</v>
      </c>
    </row>
    <row r="422" spans="1:8" ht="18" customHeight="1" x14ac:dyDescent="0.25">
      <c r="A422" s="1" t="s">
        <v>5232</v>
      </c>
      <c r="B422" s="1" t="s">
        <v>4695</v>
      </c>
      <c r="C422" s="1" t="s">
        <v>5047</v>
      </c>
      <c r="D422" s="6">
        <v>114.86</v>
      </c>
      <c r="E422" s="6">
        <v>97.631</v>
      </c>
      <c r="F422" s="1" t="s">
        <v>5048</v>
      </c>
      <c r="G422" s="6">
        <f t="shared" si="12"/>
        <v>17.228999999999999</v>
      </c>
      <c r="H422" s="7">
        <f t="shared" si="13"/>
        <v>0.85</v>
      </c>
    </row>
    <row r="423" spans="1:8" ht="18" customHeight="1" x14ac:dyDescent="0.25">
      <c r="A423" s="1" t="s">
        <v>5152</v>
      </c>
      <c r="B423" s="1" t="s">
        <v>4599</v>
      </c>
      <c r="C423" s="1" t="s">
        <v>5047</v>
      </c>
      <c r="D423" s="6">
        <v>114.64</v>
      </c>
      <c r="E423" s="6">
        <v>83.687200000000004</v>
      </c>
      <c r="F423" s="1" t="s">
        <v>5048</v>
      </c>
      <c r="G423" s="6">
        <f t="shared" si="12"/>
        <v>30.952799999999996</v>
      </c>
      <c r="H423" s="7">
        <f t="shared" si="13"/>
        <v>0.73</v>
      </c>
    </row>
    <row r="424" spans="1:8" ht="18" customHeight="1" x14ac:dyDescent="0.25">
      <c r="A424" s="1" t="s">
        <v>5294</v>
      </c>
      <c r="B424" s="1" t="s">
        <v>4769</v>
      </c>
      <c r="C424" s="1" t="s">
        <v>5047</v>
      </c>
      <c r="D424" s="6">
        <v>114.38</v>
      </c>
      <c r="E424" s="6">
        <v>89.216399999999993</v>
      </c>
      <c r="F424" s="1" t="s">
        <v>5048</v>
      </c>
      <c r="G424" s="6">
        <f t="shared" si="12"/>
        <v>25.163600000000002</v>
      </c>
      <c r="H424" s="7">
        <f t="shared" si="13"/>
        <v>0.77999999999999992</v>
      </c>
    </row>
    <row r="425" spans="1:8" ht="18" customHeight="1" x14ac:dyDescent="0.25">
      <c r="A425" s="1" t="s">
        <v>5181</v>
      </c>
      <c r="B425" s="1" t="s">
        <v>4636</v>
      </c>
      <c r="C425" s="1" t="s">
        <v>5047</v>
      </c>
      <c r="D425" s="6">
        <v>112.66</v>
      </c>
      <c r="E425" s="6">
        <v>83.368399999999994</v>
      </c>
      <c r="F425" s="1" t="s">
        <v>5048</v>
      </c>
      <c r="G425" s="6">
        <f t="shared" si="12"/>
        <v>29.291600000000003</v>
      </c>
      <c r="H425" s="7">
        <f t="shared" si="13"/>
        <v>0.74</v>
      </c>
    </row>
    <row r="426" spans="1:8" ht="18" customHeight="1" x14ac:dyDescent="0.25">
      <c r="A426" s="1" t="s">
        <v>5311</v>
      </c>
      <c r="B426" s="1" t="s">
        <v>4788</v>
      </c>
      <c r="C426" s="1" t="s">
        <v>5047</v>
      </c>
      <c r="D426" s="6">
        <v>112.65</v>
      </c>
      <c r="E426" s="6">
        <v>87.867000000000004</v>
      </c>
      <c r="F426" s="1" t="s">
        <v>5048</v>
      </c>
      <c r="G426" s="6">
        <f t="shared" si="12"/>
        <v>24.783000000000001</v>
      </c>
      <c r="H426" s="7">
        <f t="shared" si="13"/>
        <v>0.78</v>
      </c>
    </row>
    <row r="427" spans="1:8" ht="18" customHeight="1" x14ac:dyDescent="0.25">
      <c r="A427" s="1" t="s">
        <v>5516</v>
      </c>
      <c r="B427" s="1" t="s">
        <v>5009</v>
      </c>
      <c r="C427" s="1" t="s">
        <v>5047</v>
      </c>
      <c r="D427" s="6">
        <v>111.63</v>
      </c>
      <c r="E427" s="6">
        <v>84.838800000000006</v>
      </c>
      <c r="F427" s="1" t="s">
        <v>5048</v>
      </c>
      <c r="G427" s="6">
        <f t="shared" si="12"/>
        <v>26.791199999999989</v>
      </c>
      <c r="H427" s="7">
        <f t="shared" si="13"/>
        <v>0.76000000000000012</v>
      </c>
    </row>
    <row r="428" spans="1:8" ht="18" customHeight="1" x14ac:dyDescent="0.25">
      <c r="A428" s="1" t="s">
        <v>5351</v>
      </c>
      <c r="B428" s="1" t="s">
        <v>4833</v>
      </c>
      <c r="C428" s="1" t="s">
        <v>5047</v>
      </c>
      <c r="D428" s="6">
        <v>111.4</v>
      </c>
      <c r="E428" s="6">
        <v>94.69</v>
      </c>
      <c r="F428" s="1" t="s">
        <v>5048</v>
      </c>
      <c r="G428" s="6">
        <f t="shared" si="12"/>
        <v>16.710000000000008</v>
      </c>
      <c r="H428" s="7">
        <f t="shared" si="13"/>
        <v>0.85</v>
      </c>
    </row>
    <row r="429" spans="1:8" ht="18" customHeight="1" x14ac:dyDescent="0.25">
      <c r="A429" s="1" t="s">
        <v>5520</v>
      </c>
      <c r="B429" s="1" t="s">
        <v>5013</v>
      </c>
      <c r="C429" s="1" t="s">
        <v>5047</v>
      </c>
      <c r="D429" s="6">
        <v>110.54</v>
      </c>
      <c r="E429" s="6">
        <v>78.483400000000003</v>
      </c>
      <c r="F429" s="1" t="s">
        <v>5048</v>
      </c>
      <c r="G429" s="6">
        <f t="shared" si="12"/>
        <v>32.056600000000003</v>
      </c>
      <c r="H429" s="7">
        <f t="shared" si="13"/>
        <v>0.71</v>
      </c>
    </row>
    <row r="430" spans="1:8" ht="18" customHeight="1" x14ac:dyDescent="0.25">
      <c r="A430" s="1" t="s">
        <v>5150</v>
      </c>
      <c r="B430" s="1" t="s">
        <v>4597</v>
      </c>
      <c r="C430" s="1" t="s">
        <v>5047</v>
      </c>
      <c r="D430" s="6">
        <v>109.27</v>
      </c>
      <c r="E430" s="6">
        <v>97.250299999999996</v>
      </c>
      <c r="F430" s="1" t="s">
        <v>5048</v>
      </c>
      <c r="G430" s="6">
        <f t="shared" si="12"/>
        <v>12.0197</v>
      </c>
      <c r="H430" s="7">
        <f t="shared" si="13"/>
        <v>0.89</v>
      </c>
    </row>
    <row r="431" spans="1:8" ht="18" customHeight="1" x14ac:dyDescent="0.25">
      <c r="A431" s="1" t="s">
        <v>5194</v>
      </c>
      <c r="B431" s="1" t="s">
        <v>4652</v>
      </c>
      <c r="C431" s="1" t="s">
        <v>5047</v>
      </c>
      <c r="D431" s="6">
        <v>107.37</v>
      </c>
      <c r="E431" s="6">
        <v>95.559299999999993</v>
      </c>
      <c r="F431" s="1" t="s">
        <v>5048</v>
      </c>
      <c r="G431" s="6">
        <f t="shared" si="12"/>
        <v>11.810700000000011</v>
      </c>
      <c r="H431" s="7">
        <f t="shared" si="13"/>
        <v>0.8899999999999999</v>
      </c>
    </row>
    <row r="432" spans="1:8" ht="18" customHeight="1" x14ac:dyDescent="0.25">
      <c r="A432" s="1" t="s">
        <v>5505</v>
      </c>
      <c r="B432" s="1" t="s">
        <v>4998</v>
      </c>
      <c r="C432" s="1" t="s">
        <v>5047</v>
      </c>
      <c r="D432" s="6">
        <v>107.27</v>
      </c>
      <c r="E432" s="6">
        <v>82.597899999999996</v>
      </c>
      <c r="F432" s="1" t="s">
        <v>5048</v>
      </c>
      <c r="G432" s="6">
        <f t="shared" si="12"/>
        <v>24.6721</v>
      </c>
      <c r="H432" s="7">
        <f t="shared" si="13"/>
        <v>0.77</v>
      </c>
    </row>
    <row r="433" spans="1:8" ht="18" customHeight="1" x14ac:dyDescent="0.25">
      <c r="A433" s="1" t="s">
        <v>5379</v>
      </c>
      <c r="B433" s="1" t="s">
        <v>4863</v>
      </c>
      <c r="C433" s="1" t="s">
        <v>5047</v>
      </c>
      <c r="D433" s="6">
        <v>107.17</v>
      </c>
      <c r="E433" s="6">
        <v>91.094499999999996</v>
      </c>
      <c r="F433" s="1" t="s">
        <v>5048</v>
      </c>
      <c r="G433" s="6">
        <f t="shared" si="12"/>
        <v>16.075500000000005</v>
      </c>
      <c r="H433" s="7">
        <f t="shared" si="13"/>
        <v>0.85</v>
      </c>
    </row>
    <row r="434" spans="1:8" ht="18" customHeight="1" x14ac:dyDescent="0.25">
      <c r="A434" s="1" t="s">
        <v>5212</v>
      </c>
      <c r="B434" s="1" t="s">
        <v>4672</v>
      </c>
      <c r="C434" s="1" t="s">
        <v>5047</v>
      </c>
      <c r="D434" s="6">
        <v>105.88</v>
      </c>
      <c r="E434" s="6">
        <v>75.174800000000005</v>
      </c>
      <c r="F434" s="1" t="s">
        <v>5048</v>
      </c>
      <c r="G434" s="6">
        <f t="shared" si="12"/>
        <v>30.705199999999991</v>
      </c>
      <c r="H434" s="7">
        <f t="shared" si="13"/>
        <v>0.71000000000000008</v>
      </c>
    </row>
    <row r="435" spans="1:8" ht="18" customHeight="1" x14ac:dyDescent="0.25">
      <c r="A435" s="1" t="s">
        <v>5429</v>
      </c>
      <c r="B435" s="1" t="s">
        <v>4916</v>
      </c>
      <c r="C435" s="1" t="s">
        <v>5047</v>
      </c>
      <c r="D435" s="6">
        <v>105.32</v>
      </c>
      <c r="E435" s="6">
        <v>88.468800000000002</v>
      </c>
      <c r="F435" s="1" t="s">
        <v>5048</v>
      </c>
      <c r="G435" s="6">
        <f t="shared" si="12"/>
        <v>16.851199999999992</v>
      </c>
      <c r="H435" s="7">
        <f t="shared" si="13"/>
        <v>0.84000000000000008</v>
      </c>
    </row>
    <row r="436" spans="1:8" ht="18" customHeight="1" x14ac:dyDescent="0.25">
      <c r="A436" s="1" t="s">
        <v>5266</v>
      </c>
      <c r="B436" s="1" t="s">
        <v>4734</v>
      </c>
      <c r="C436" s="1" t="s">
        <v>5047</v>
      </c>
      <c r="D436" s="6">
        <v>105.27</v>
      </c>
      <c r="E436" s="6">
        <v>82.110600000000005</v>
      </c>
      <c r="F436" s="1" t="s">
        <v>5048</v>
      </c>
      <c r="G436" s="6">
        <f t="shared" si="12"/>
        <v>23.159399999999991</v>
      </c>
      <c r="H436" s="7">
        <f t="shared" si="13"/>
        <v>0.78</v>
      </c>
    </row>
    <row r="437" spans="1:8" ht="18" customHeight="1" x14ac:dyDescent="0.25">
      <c r="A437" s="1" t="s">
        <v>5236</v>
      </c>
      <c r="B437" s="1" t="s">
        <v>4699</v>
      </c>
      <c r="C437" s="1" t="s">
        <v>5047</v>
      </c>
      <c r="D437" s="6">
        <v>105.14</v>
      </c>
      <c r="E437" s="6">
        <v>89.369</v>
      </c>
      <c r="F437" s="1" t="s">
        <v>5048</v>
      </c>
      <c r="G437" s="6">
        <f t="shared" si="12"/>
        <v>15.771000000000001</v>
      </c>
      <c r="H437" s="7">
        <f t="shared" si="13"/>
        <v>0.85</v>
      </c>
    </row>
    <row r="438" spans="1:8" ht="18" customHeight="1" x14ac:dyDescent="0.25">
      <c r="A438" s="1" t="s">
        <v>5425</v>
      </c>
      <c r="B438" s="1" t="s">
        <v>4912</v>
      </c>
      <c r="C438" s="1" t="s">
        <v>5047</v>
      </c>
      <c r="D438" s="6">
        <v>103.96</v>
      </c>
      <c r="E438" s="6">
        <v>72.772000000000006</v>
      </c>
      <c r="F438" s="1" t="s">
        <v>5048</v>
      </c>
      <c r="G438" s="6">
        <f t="shared" si="12"/>
        <v>31.187999999999988</v>
      </c>
      <c r="H438" s="7">
        <f t="shared" si="13"/>
        <v>0.70000000000000007</v>
      </c>
    </row>
    <row r="439" spans="1:8" ht="18" customHeight="1" x14ac:dyDescent="0.25">
      <c r="A439" s="1" t="s">
        <v>5373</v>
      </c>
      <c r="B439" s="1" t="s">
        <v>4856</v>
      </c>
      <c r="C439" s="1" t="s">
        <v>5047</v>
      </c>
      <c r="D439" s="6">
        <v>101.13</v>
      </c>
      <c r="E439" s="6">
        <v>87.983099999999993</v>
      </c>
      <c r="F439" s="1" t="s">
        <v>5048</v>
      </c>
      <c r="G439" s="6">
        <f t="shared" si="12"/>
        <v>13.146900000000002</v>
      </c>
      <c r="H439" s="7">
        <f t="shared" si="13"/>
        <v>0.87</v>
      </c>
    </row>
    <row r="440" spans="1:8" ht="18" customHeight="1" x14ac:dyDescent="0.25">
      <c r="A440" s="1" t="s">
        <v>5067</v>
      </c>
      <c r="B440" s="1" t="s">
        <v>4505</v>
      </c>
      <c r="C440" s="1" t="s">
        <v>5047</v>
      </c>
      <c r="D440" s="6">
        <v>100.65</v>
      </c>
      <c r="E440" s="6">
        <v>89.578500000000005</v>
      </c>
      <c r="F440" s="1" t="s">
        <v>5048</v>
      </c>
      <c r="G440" s="6">
        <f t="shared" si="12"/>
        <v>11.0715</v>
      </c>
      <c r="H440" s="7">
        <f t="shared" si="13"/>
        <v>0.89</v>
      </c>
    </row>
    <row r="441" spans="1:8" ht="18" customHeight="1" x14ac:dyDescent="0.25">
      <c r="A441" s="1" t="s">
        <v>5171</v>
      </c>
      <c r="B441" s="1" t="s">
        <v>4626</v>
      </c>
      <c r="C441" s="1" t="s">
        <v>5047</v>
      </c>
      <c r="D441" s="6">
        <v>100.05</v>
      </c>
      <c r="E441" s="6">
        <v>85.042500000000004</v>
      </c>
      <c r="F441" s="1" t="s">
        <v>5048</v>
      </c>
      <c r="G441" s="6">
        <f t="shared" si="12"/>
        <v>15.007499999999993</v>
      </c>
      <c r="H441" s="7">
        <f t="shared" si="13"/>
        <v>0.85000000000000009</v>
      </c>
    </row>
    <row r="442" spans="1:8" ht="18" customHeight="1" x14ac:dyDescent="0.25">
      <c r="A442" s="1" t="s">
        <v>5139</v>
      </c>
      <c r="B442" s="1" t="s">
        <v>4585</v>
      </c>
      <c r="C442" s="1" t="s">
        <v>5047</v>
      </c>
      <c r="D442" s="6">
        <v>98.24</v>
      </c>
      <c r="E442" s="6">
        <v>81.539199999999994</v>
      </c>
      <c r="F442" s="1" t="s">
        <v>5048</v>
      </c>
      <c r="G442" s="6">
        <f t="shared" si="12"/>
        <v>16.700800000000001</v>
      </c>
      <c r="H442" s="7">
        <f t="shared" si="13"/>
        <v>0.83</v>
      </c>
    </row>
    <row r="443" spans="1:8" ht="18" customHeight="1" x14ac:dyDescent="0.25">
      <c r="A443" s="1" t="s">
        <v>5321</v>
      </c>
      <c r="B443" s="1" t="s">
        <v>4798</v>
      </c>
      <c r="C443" s="1" t="s">
        <v>5047</v>
      </c>
      <c r="D443" s="6">
        <v>97.51</v>
      </c>
      <c r="E443" s="6">
        <v>85.808800000000005</v>
      </c>
      <c r="F443" s="1" t="s">
        <v>5048</v>
      </c>
      <c r="G443" s="6">
        <f t="shared" si="12"/>
        <v>11.7012</v>
      </c>
      <c r="H443" s="7">
        <f t="shared" si="13"/>
        <v>0.88</v>
      </c>
    </row>
    <row r="444" spans="1:8" ht="18" customHeight="1" x14ac:dyDescent="0.25">
      <c r="A444" s="1" t="s">
        <v>5233</v>
      </c>
      <c r="B444" s="1" t="s">
        <v>4696</v>
      </c>
      <c r="C444" s="1" t="s">
        <v>5047</v>
      </c>
      <c r="D444" s="6">
        <v>97.34</v>
      </c>
      <c r="E444" s="6">
        <v>73.978399999999993</v>
      </c>
      <c r="F444" s="1" t="s">
        <v>5048</v>
      </c>
      <c r="G444" s="6">
        <f t="shared" si="12"/>
        <v>23.36160000000001</v>
      </c>
      <c r="H444" s="7">
        <f t="shared" si="13"/>
        <v>0.7599999999999999</v>
      </c>
    </row>
    <row r="445" spans="1:8" ht="18" customHeight="1" x14ac:dyDescent="0.25">
      <c r="A445" s="1" t="s">
        <v>5216</v>
      </c>
      <c r="B445" s="1" t="s">
        <v>4677</v>
      </c>
      <c r="C445" s="1" t="s">
        <v>5047</v>
      </c>
      <c r="D445" s="6">
        <v>96.4</v>
      </c>
      <c r="E445" s="6">
        <v>79.048000000000002</v>
      </c>
      <c r="F445" s="1" t="s">
        <v>5048</v>
      </c>
      <c r="G445" s="6">
        <f t="shared" si="12"/>
        <v>17.352000000000004</v>
      </c>
      <c r="H445" s="7">
        <f t="shared" si="13"/>
        <v>0.82</v>
      </c>
    </row>
    <row r="446" spans="1:8" ht="18" customHeight="1" x14ac:dyDescent="0.25">
      <c r="A446" s="1" t="s">
        <v>5493</v>
      </c>
      <c r="B446" s="1" t="s">
        <v>4986</v>
      </c>
      <c r="C446" s="1" t="s">
        <v>5047</v>
      </c>
      <c r="D446" s="6">
        <v>95.31</v>
      </c>
      <c r="E446" s="6">
        <v>68.623199999999997</v>
      </c>
      <c r="F446" s="1" t="s">
        <v>5048</v>
      </c>
      <c r="G446" s="6">
        <f t="shared" si="12"/>
        <v>26.686800000000005</v>
      </c>
      <c r="H446" s="7">
        <f t="shared" si="13"/>
        <v>0.72</v>
      </c>
    </row>
    <row r="447" spans="1:8" ht="18" customHeight="1" x14ac:dyDescent="0.25">
      <c r="A447" s="1" t="s">
        <v>5501</v>
      </c>
      <c r="B447" s="1" t="s">
        <v>4994</v>
      </c>
      <c r="C447" s="1" t="s">
        <v>5047</v>
      </c>
      <c r="D447" s="6">
        <v>94.91</v>
      </c>
      <c r="E447" s="6">
        <v>74.978899999999996</v>
      </c>
      <c r="F447" s="1" t="s">
        <v>5048</v>
      </c>
      <c r="G447" s="6">
        <f t="shared" si="12"/>
        <v>19.931100000000001</v>
      </c>
      <c r="H447" s="7">
        <f t="shared" si="13"/>
        <v>0.79</v>
      </c>
    </row>
    <row r="448" spans="1:8" ht="18" customHeight="1" x14ac:dyDescent="0.25">
      <c r="A448" s="1" t="s">
        <v>5322</v>
      </c>
      <c r="B448" s="1" t="s">
        <v>4799</v>
      </c>
      <c r="C448" s="1" t="s">
        <v>5047</v>
      </c>
      <c r="D448" s="6">
        <v>94.83</v>
      </c>
      <c r="E448" s="6">
        <v>74.915700000000001</v>
      </c>
      <c r="F448" s="1" t="s">
        <v>5048</v>
      </c>
      <c r="G448" s="6">
        <f t="shared" si="12"/>
        <v>19.914299999999997</v>
      </c>
      <c r="H448" s="7">
        <f t="shared" si="13"/>
        <v>0.79</v>
      </c>
    </row>
    <row r="449" spans="1:8" ht="18" customHeight="1" x14ac:dyDescent="0.25">
      <c r="A449" s="1" t="s">
        <v>5363</v>
      </c>
      <c r="B449" s="1" t="s">
        <v>4846</v>
      </c>
      <c r="C449" s="1" t="s">
        <v>5047</v>
      </c>
      <c r="D449" s="6">
        <v>94.83</v>
      </c>
      <c r="E449" s="6">
        <v>68.277600000000007</v>
      </c>
      <c r="F449" s="1" t="s">
        <v>5048</v>
      </c>
      <c r="G449" s="6">
        <f t="shared" si="12"/>
        <v>26.552399999999992</v>
      </c>
      <c r="H449" s="7">
        <f t="shared" si="13"/>
        <v>0.72000000000000008</v>
      </c>
    </row>
    <row r="450" spans="1:8" ht="18" customHeight="1" x14ac:dyDescent="0.25">
      <c r="A450" s="1" t="s">
        <v>5185</v>
      </c>
      <c r="B450" s="1" t="s">
        <v>4641</v>
      </c>
      <c r="C450" s="1" t="s">
        <v>5047</v>
      </c>
      <c r="D450" s="6">
        <v>93.14</v>
      </c>
      <c r="E450" s="6">
        <v>81.963200000000001</v>
      </c>
      <c r="F450" s="1" t="s">
        <v>5048</v>
      </c>
      <c r="G450" s="6">
        <f t="shared" ref="G450:G501" si="14">D450-E450</f>
        <v>11.1768</v>
      </c>
      <c r="H450" s="7">
        <f t="shared" ref="H450:H501" si="15">IFERROR(E450/D450,0)</f>
        <v>0.88</v>
      </c>
    </row>
    <row r="451" spans="1:8" ht="18" customHeight="1" x14ac:dyDescent="0.25">
      <c r="A451" s="1" t="s">
        <v>5269</v>
      </c>
      <c r="B451" s="1" t="s">
        <v>4738</v>
      </c>
      <c r="C451" s="1" t="s">
        <v>5047</v>
      </c>
      <c r="D451" s="6">
        <v>93.02</v>
      </c>
      <c r="E451" s="6">
        <v>80.927400000000006</v>
      </c>
      <c r="F451" s="1" t="s">
        <v>5048</v>
      </c>
      <c r="G451" s="6">
        <f t="shared" si="14"/>
        <v>12.09259999999999</v>
      </c>
      <c r="H451" s="7">
        <f t="shared" si="15"/>
        <v>0.87000000000000011</v>
      </c>
    </row>
    <row r="452" spans="1:8" ht="18" customHeight="1" x14ac:dyDescent="0.25">
      <c r="A452" s="1" t="s">
        <v>5111</v>
      </c>
      <c r="B452" s="1" t="s">
        <v>4552</v>
      </c>
      <c r="C452" s="1" t="s">
        <v>5047</v>
      </c>
      <c r="D452" s="6">
        <v>91.89</v>
      </c>
      <c r="E452" s="6">
        <v>67.079700000000003</v>
      </c>
      <c r="F452" s="1" t="s">
        <v>5048</v>
      </c>
      <c r="G452" s="6">
        <f t="shared" si="14"/>
        <v>24.810299999999998</v>
      </c>
      <c r="H452" s="7">
        <f t="shared" si="15"/>
        <v>0.73</v>
      </c>
    </row>
    <row r="453" spans="1:8" ht="18" customHeight="1" x14ac:dyDescent="0.25">
      <c r="A453" s="1" t="s">
        <v>5082</v>
      </c>
      <c r="B453" s="1" t="s">
        <v>4520</v>
      </c>
      <c r="C453" s="1" t="s">
        <v>5047</v>
      </c>
      <c r="D453" s="6">
        <v>91.77</v>
      </c>
      <c r="E453" s="6">
        <v>68.827500000000001</v>
      </c>
      <c r="F453" s="1" t="s">
        <v>5048</v>
      </c>
      <c r="G453" s="6">
        <f t="shared" si="14"/>
        <v>22.942499999999995</v>
      </c>
      <c r="H453" s="7">
        <f t="shared" si="15"/>
        <v>0.75</v>
      </c>
    </row>
    <row r="454" spans="1:8" ht="18" customHeight="1" x14ac:dyDescent="0.25">
      <c r="A454" s="1" t="s">
        <v>5227</v>
      </c>
      <c r="B454" s="1" t="s">
        <v>4688</v>
      </c>
      <c r="C454" s="1" t="s">
        <v>5047</v>
      </c>
      <c r="D454" s="6">
        <v>91.68</v>
      </c>
      <c r="E454" s="6">
        <v>66.926400000000001</v>
      </c>
      <c r="F454" s="1" t="s">
        <v>5048</v>
      </c>
      <c r="G454" s="6">
        <f t="shared" si="14"/>
        <v>24.753600000000006</v>
      </c>
      <c r="H454" s="7">
        <f t="shared" si="15"/>
        <v>0.73</v>
      </c>
    </row>
    <row r="455" spans="1:8" ht="18" customHeight="1" x14ac:dyDescent="0.25">
      <c r="A455" s="1" t="s">
        <v>5312</v>
      </c>
      <c r="B455" s="1" t="s">
        <v>4789</v>
      </c>
      <c r="C455" s="1" t="s">
        <v>5047</v>
      </c>
      <c r="D455" s="6">
        <v>90.89</v>
      </c>
      <c r="E455" s="6">
        <v>79.983199999999997</v>
      </c>
      <c r="F455" s="1" t="s">
        <v>5048</v>
      </c>
      <c r="G455" s="6">
        <f t="shared" si="14"/>
        <v>10.906800000000004</v>
      </c>
      <c r="H455" s="7">
        <f t="shared" si="15"/>
        <v>0.88</v>
      </c>
    </row>
    <row r="456" spans="1:8" ht="18" customHeight="1" x14ac:dyDescent="0.25">
      <c r="A456" s="1" t="s">
        <v>5281</v>
      </c>
      <c r="B456" s="1" t="s">
        <v>4753</v>
      </c>
      <c r="C456" s="1" t="s">
        <v>5047</v>
      </c>
      <c r="D456" s="6">
        <v>89.51</v>
      </c>
      <c r="E456" s="6">
        <v>67.132499999999993</v>
      </c>
      <c r="F456" s="1" t="s">
        <v>5048</v>
      </c>
      <c r="G456" s="6">
        <f t="shared" si="14"/>
        <v>22.377500000000012</v>
      </c>
      <c r="H456" s="7">
        <f t="shared" si="15"/>
        <v>0.74999999999999989</v>
      </c>
    </row>
    <row r="457" spans="1:8" ht="18" customHeight="1" x14ac:dyDescent="0.25">
      <c r="A457" s="1" t="s">
        <v>5456</v>
      </c>
      <c r="B457" s="1" t="s">
        <v>4946</v>
      </c>
      <c r="C457" s="1" t="s">
        <v>5047</v>
      </c>
      <c r="D457" s="6">
        <v>88.42</v>
      </c>
      <c r="E457" s="6">
        <v>66.314999999999998</v>
      </c>
      <c r="F457" s="1" t="s">
        <v>5048</v>
      </c>
      <c r="G457" s="6">
        <f t="shared" si="14"/>
        <v>22.105000000000004</v>
      </c>
      <c r="H457" s="7">
        <f t="shared" si="15"/>
        <v>0.75</v>
      </c>
    </row>
    <row r="458" spans="1:8" ht="18" customHeight="1" x14ac:dyDescent="0.25">
      <c r="A458" s="1" t="s">
        <v>5053</v>
      </c>
      <c r="B458" s="1" t="s">
        <v>4487</v>
      </c>
      <c r="C458" s="1" t="s">
        <v>5047</v>
      </c>
      <c r="D458" s="6">
        <v>88.3</v>
      </c>
      <c r="E458" s="6">
        <v>77.703999999999994</v>
      </c>
      <c r="F458" s="1" t="s">
        <v>5048</v>
      </c>
      <c r="G458" s="6">
        <f t="shared" si="14"/>
        <v>10.596000000000004</v>
      </c>
      <c r="H458" s="7">
        <f t="shared" si="15"/>
        <v>0.88</v>
      </c>
    </row>
    <row r="459" spans="1:8" ht="18" customHeight="1" x14ac:dyDescent="0.25">
      <c r="A459" s="1" t="s">
        <v>5211</v>
      </c>
      <c r="B459" s="1" t="s">
        <v>4671</v>
      </c>
      <c r="C459" s="1" t="s">
        <v>5047</v>
      </c>
      <c r="D459" s="6">
        <v>87.92</v>
      </c>
      <c r="E459" s="6">
        <v>74.731999999999999</v>
      </c>
      <c r="F459" s="1" t="s">
        <v>5048</v>
      </c>
      <c r="G459" s="6">
        <f t="shared" si="14"/>
        <v>13.188000000000002</v>
      </c>
      <c r="H459" s="7">
        <f t="shared" si="15"/>
        <v>0.85</v>
      </c>
    </row>
    <row r="460" spans="1:8" ht="18" customHeight="1" x14ac:dyDescent="0.25">
      <c r="A460" s="1" t="s">
        <v>5385</v>
      </c>
      <c r="B460" s="1" t="s">
        <v>4869</v>
      </c>
      <c r="C460" s="1" t="s">
        <v>5047</v>
      </c>
      <c r="D460" s="6">
        <v>83.15</v>
      </c>
      <c r="E460" s="6">
        <v>62.362499999999997</v>
      </c>
      <c r="F460" s="1" t="s">
        <v>5048</v>
      </c>
      <c r="G460" s="6">
        <f t="shared" si="14"/>
        <v>20.787500000000009</v>
      </c>
      <c r="H460" s="7">
        <f t="shared" si="15"/>
        <v>0.74999999999999989</v>
      </c>
    </row>
    <row r="461" spans="1:8" ht="18" customHeight="1" x14ac:dyDescent="0.25">
      <c r="A461" s="1" t="s">
        <v>5070</v>
      </c>
      <c r="B461" s="1" t="s">
        <v>4508</v>
      </c>
      <c r="C461" s="1" t="s">
        <v>5047</v>
      </c>
      <c r="D461" s="6">
        <v>83.11</v>
      </c>
      <c r="E461" s="6">
        <v>66.488</v>
      </c>
      <c r="F461" s="1" t="s">
        <v>5048</v>
      </c>
      <c r="G461" s="6">
        <f t="shared" si="14"/>
        <v>16.622</v>
      </c>
      <c r="H461" s="7">
        <f t="shared" si="15"/>
        <v>0.8</v>
      </c>
    </row>
    <row r="462" spans="1:8" ht="18" customHeight="1" x14ac:dyDescent="0.25">
      <c r="A462" s="1" t="s">
        <v>5495</v>
      </c>
      <c r="B462" s="1" t="s">
        <v>4988</v>
      </c>
      <c r="C462" s="1" t="s">
        <v>5047</v>
      </c>
      <c r="D462" s="6">
        <v>83.05</v>
      </c>
      <c r="E462" s="6">
        <v>70.592500000000001</v>
      </c>
      <c r="F462" s="1" t="s">
        <v>5048</v>
      </c>
      <c r="G462" s="6">
        <f t="shared" si="14"/>
        <v>12.457499999999996</v>
      </c>
      <c r="H462" s="7">
        <f t="shared" si="15"/>
        <v>0.85000000000000009</v>
      </c>
    </row>
    <row r="463" spans="1:8" ht="18" customHeight="1" x14ac:dyDescent="0.25">
      <c r="A463" s="1" t="s">
        <v>5176</v>
      </c>
      <c r="B463" s="1" t="s">
        <v>4631</v>
      </c>
      <c r="C463" s="1" t="s">
        <v>5047</v>
      </c>
      <c r="D463" s="6">
        <v>82.4</v>
      </c>
      <c r="E463" s="6">
        <v>68.391999999999996</v>
      </c>
      <c r="F463" s="1" t="s">
        <v>5048</v>
      </c>
      <c r="G463" s="6">
        <f t="shared" si="14"/>
        <v>14.00800000000001</v>
      </c>
      <c r="H463" s="7">
        <f t="shared" si="15"/>
        <v>0.82999999999999985</v>
      </c>
    </row>
    <row r="464" spans="1:8" ht="18" customHeight="1" x14ac:dyDescent="0.25">
      <c r="A464" s="1" t="s">
        <v>5118</v>
      </c>
      <c r="B464" s="1" t="s">
        <v>4559</v>
      </c>
      <c r="C464" s="1" t="s">
        <v>5047</v>
      </c>
      <c r="D464" s="6">
        <v>81.5</v>
      </c>
      <c r="E464" s="6">
        <v>63.57</v>
      </c>
      <c r="F464" s="1" t="s">
        <v>5048</v>
      </c>
      <c r="G464" s="6">
        <f t="shared" si="14"/>
        <v>17.93</v>
      </c>
      <c r="H464" s="7">
        <f t="shared" si="15"/>
        <v>0.78</v>
      </c>
    </row>
    <row r="465" spans="1:8" ht="18" customHeight="1" x14ac:dyDescent="0.25">
      <c r="A465" s="1" t="s">
        <v>5388</v>
      </c>
      <c r="B465" s="1" t="s">
        <v>4872</v>
      </c>
      <c r="C465" s="1" t="s">
        <v>5047</v>
      </c>
      <c r="D465" s="6">
        <v>80.599999999999994</v>
      </c>
      <c r="E465" s="6">
        <v>57.225999999999999</v>
      </c>
      <c r="F465" s="1" t="s">
        <v>5048</v>
      </c>
      <c r="G465" s="6">
        <f t="shared" si="14"/>
        <v>23.373999999999995</v>
      </c>
      <c r="H465" s="7">
        <f t="shared" si="15"/>
        <v>0.71000000000000008</v>
      </c>
    </row>
    <row r="466" spans="1:8" ht="18" customHeight="1" x14ac:dyDescent="0.25">
      <c r="A466" s="1" t="s">
        <v>5375</v>
      </c>
      <c r="B466" s="1" t="s">
        <v>4858</v>
      </c>
      <c r="C466" s="1" t="s">
        <v>5047</v>
      </c>
      <c r="D466" s="6">
        <v>79.73</v>
      </c>
      <c r="E466" s="6">
        <v>66.175899999999999</v>
      </c>
      <c r="F466" s="1" t="s">
        <v>5048</v>
      </c>
      <c r="G466" s="6">
        <f t="shared" si="14"/>
        <v>13.554100000000005</v>
      </c>
      <c r="H466" s="7">
        <f t="shared" si="15"/>
        <v>0.83</v>
      </c>
    </row>
    <row r="467" spans="1:8" ht="18" customHeight="1" x14ac:dyDescent="0.25">
      <c r="A467" s="1" t="s">
        <v>5374</v>
      </c>
      <c r="B467" s="1" t="s">
        <v>4857</v>
      </c>
      <c r="C467" s="1" t="s">
        <v>5047</v>
      </c>
      <c r="D467" s="6">
        <v>77.489999999999995</v>
      </c>
      <c r="E467" s="6">
        <v>63.541800000000002</v>
      </c>
      <c r="F467" s="1" t="s">
        <v>5048</v>
      </c>
      <c r="G467" s="6">
        <f t="shared" si="14"/>
        <v>13.948199999999993</v>
      </c>
      <c r="H467" s="7">
        <f t="shared" si="15"/>
        <v>0.82000000000000006</v>
      </c>
    </row>
    <row r="468" spans="1:8" ht="18" customHeight="1" x14ac:dyDescent="0.25">
      <c r="A468" s="1" t="s">
        <v>5051</v>
      </c>
      <c r="B468" s="1" t="s">
        <v>4485</v>
      </c>
      <c r="C468" s="1" t="s">
        <v>5047</v>
      </c>
      <c r="D468" s="6">
        <v>76.62</v>
      </c>
      <c r="E468" s="6">
        <v>62.062199999999997</v>
      </c>
      <c r="F468" s="1" t="s">
        <v>5048</v>
      </c>
      <c r="G468" s="6">
        <f t="shared" si="14"/>
        <v>14.557800000000007</v>
      </c>
      <c r="H468" s="7">
        <f t="shared" si="15"/>
        <v>0.80999999999999994</v>
      </c>
    </row>
    <row r="469" spans="1:8" ht="18" customHeight="1" x14ac:dyDescent="0.25">
      <c r="A469" s="1" t="s">
        <v>5364</v>
      </c>
      <c r="B469" s="1" t="s">
        <v>4847</v>
      </c>
      <c r="C469" s="1" t="s">
        <v>5047</v>
      </c>
      <c r="D469" s="6">
        <v>76.13</v>
      </c>
      <c r="E469" s="6">
        <v>66.994399999999999</v>
      </c>
      <c r="F469" s="1" t="s">
        <v>5048</v>
      </c>
      <c r="G469" s="6">
        <f t="shared" si="14"/>
        <v>9.1355999999999966</v>
      </c>
      <c r="H469" s="7">
        <f t="shared" si="15"/>
        <v>0.88</v>
      </c>
    </row>
    <row r="470" spans="1:8" ht="18" customHeight="1" x14ac:dyDescent="0.25">
      <c r="A470" s="1" t="s">
        <v>5474</v>
      </c>
      <c r="B470" s="1" t="s">
        <v>4966</v>
      </c>
      <c r="C470" s="1" t="s">
        <v>5047</v>
      </c>
      <c r="D470" s="6">
        <v>74.739999999999995</v>
      </c>
      <c r="E470" s="6">
        <v>56.055</v>
      </c>
      <c r="F470" s="1" t="s">
        <v>5048</v>
      </c>
      <c r="G470" s="6">
        <f t="shared" si="14"/>
        <v>18.684999999999995</v>
      </c>
      <c r="H470" s="7">
        <f t="shared" si="15"/>
        <v>0.75</v>
      </c>
    </row>
    <row r="471" spans="1:8" ht="18" customHeight="1" x14ac:dyDescent="0.25">
      <c r="A471" s="1" t="s">
        <v>5488</v>
      </c>
      <c r="B471" s="1" t="s">
        <v>4981</v>
      </c>
      <c r="C471" s="1" t="s">
        <v>5047</v>
      </c>
      <c r="D471" s="6">
        <v>74.56</v>
      </c>
      <c r="E471" s="6">
        <v>67.103999999999999</v>
      </c>
      <c r="F471" s="1" t="s">
        <v>5048</v>
      </c>
      <c r="G471" s="6">
        <f t="shared" si="14"/>
        <v>7.4560000000000031</v>
      </c>
      <c r="H471" s="7">
        <f t="shared" si="15"/>
        <v>0.89999999999999991</v>
      </c>
    </row>
    <row r="472" spans="1:8" ht="18" customHeight="1" x14ac:dyDescent="0.25">
      <c r="A472" s="1" t="s">
        <v>5452</v>
      </c>
      <c r="B472" s="1" t="s">
        <v>4940</v>
      </c>
      <c r="C472" s="1" t="s">
        <v>5047</v>
      </c>
      <c r="D472" s="6">
        <v>73</v>
      </c>
      <c r="E472" s="6">
        <v>58.4</v>
      </c>
      <c r="F472" s="1" t="s">
        <v>5048</v>
      </c>
      <c r="G472" s="6">
        <f t="shared" si="14"/>
        <v>14.600000000000001</v>
      </c>
      <c r="H472" s="7">
        <f t="shared" si="15"/>
        <v>0.79999999999999993</v>
      </c>
    </row>
    <row r="473" spans="1:8" ht="18" customHeight="1" x14ac:dyDescent="0.25">
      <c r="A473" s="1" t="s">
        <v>5229</v>
      </c>
      <c r="B473" s="1" t="s">
        <v>4691</v>
      </c>
      <c r="C473" s="1" t="s">
        <v>5047</v>
      </c>
      <c r="D473" s="6">
        <v>71.97</v>
      </c>
      <c r="E473" s="6">
        <v>59.735100000000003</v>
      </c>
      <c r="F473" s="1" t="s">
        <v>5048</v>
      </c>
      <c r="G473" s="6">
        <f t="shared" si="14"/>
        <v>12.234899999999996</v>
      </c>
      <c r="H473" s="7">
        <f t="shared" si="15"/>
        <v>0.83000000000000007</v>
      </c>
    </row>
    <row r="474" spans="1:8" ht="18" customHeight="1" x14ac:dyDescent="0.25">
      <c r="A474" s="1" t="s">
        <v>5529</v>
      </c>
      <c r="B474" s="1" t="s">
        <v>5022</v>
      </c>
      <c r="C474" s="1" t="s">
        <v>5047</v>
      </c>
      <c r="D474" s="6">
        <v>71.78</v>
      </c>
      <c r="E474" s="6">
        <v>50.963799999999999</v>
      </c>
      <c r="F474" s="1" t="s">
        <v>5048</v>
      </c>
      <c r="G474" s="6">
        <f t="shared" si="14"/>
        <v>20.816200000000002</v>
      </c>
      <c r="H474" s="7">
        <f t="shared" si="15"/>
        <v>0.71</v>
      </c>
    </row>
    <row r="475" spans="1:8" ht="18" customHeight="1" x14ac:dyDescent="0.25">
      <c r="A475" s="1" t="s">
        <v>5223</v>
      </c>
      <c r="B475" s="1" t="s">
        <v>4684</v>
      </c>
      <c r="C475" s="1" t="s">
        <v>5047</v>
      </c>
      <c r="D475" s="6">
        <v>71.069999999999993</v>
      </c>
      <c r="E475" s="6">
        <v>55.434600000000003</v>
      </c>
      <c r="F475" s="1" t="s">
        <v>5048</v>
      </c>
      <c r="G475" s="6">
        <f t="shared" si="14"/>
        <v>15.63539999999999</v>
      </c>
      <c r="H475" s="7">
        <f t="shared" si="15"/>
        <v>0.78000000000000014</v>
      </c>
    </row>
    <row r="476" spans="1:8" ht="18" customHeight="1" x14ac:dyDescent="0.25">
      <c r="A476" s="1" t="s">
        <v>5409</v>
      </c>
      <c r="B476" s="1" t="s">
        <v>4895</v>
      </c>
      <c r="C476" s="1" t="s">
        <v>5047</v>
      </c>
      <c r="D476" s="6">
        <v>70.569999999999993</v>
      </c>
      <c r="E476" s="6">
        <v>61.395899999999997</v>
      </c>
      <c r="F476" s="1" t="s">
        <v>5048</v>
      </c>
      <c r="G476" s="6">
        <f t="shared" si="14"/>
        <v>9.1740999999999957</v>
      </c>
      <c r="H476" s="7">
        <f t="shared" si="15"/>
        <v>0.87</v>
      </c>
    </row>
    <row r="477" spans="1:8" ht="18" customHeight="1" x14ac:dyDescent="0.25">
      <c r="A477" s="1" t="s">
        <v>5478</v>
      </c>
      <c r="B477" s="1" t="s">
        <v>4970</v>
      </c>
      <c r="C477" s="1" t="s">
        <v>5047</v>
      </c>
      <c r="D477" s="6">
        <v>69.989999999999995</v>
      </c>
      <c r="E477" s="6">
        <v>51.092700000000001</v>
      </c>
      <c r="F477" s="1" t="s">
        <v>5048</v>
      </c>
      <c r="G477" s="6">
        <f t="shared" si="14"/>
        <v>18.897299999999994</v>
      </c>
      <c r="H477" s="7">
        <f t="shared" si="15"/>
        <v>0.73000000000000009</v>
      </c>
    </row>
    <row r="478" spans="1:8" ht="18" customHeight="1" x14ac:dyDescent="0.25">
      <c r="A478" s="1" t="s">
        <v>5172</v>
      </c>
      <c r="B478" s="1" t="s">
        <v>4627</v>
      </c>
      <c r="C478" s="1" t="s">
        <v>5047</v>
      </c>
      <c r="D478" s="6">
        <v>68.67</v>
      </c>
      <c r="E478" s="6">
        <v>53.562600000000003</v>
      </c>
      <c r="F478" s="1" t="s">
        <v>5048</v>
      </c>
      <c r="G478" s="6">
        <f t="shared" si="14"/>
        <v>15.107399999999998</v>
      </c>
      <c r="H478" s="7">
        <f t="shared" si="15"/>
        <v>0.78</v>
      </c>
    </row>
    <row r="479" spans="1:8" ht="18" customHeight="1" x14ac:dyDescent="0.25">
      <c r="A479" s="1" t="s">
        <v>5382</v>
      </c>
      <c r="B479" s="1" t="s">
        <v>4866</v>
      </c>
      <c r="C479" s="1" t="s">
        <v>5047</v>
      </c>
      <c r="D479" s="6">
        <v>68.34</v>
      </c>
      <c r="E479" s="6">
        <v>55.355400000000003</v>
      </c>
      <c r="F479" s="1" t="s">
        <v>5048</v>
      </c>
      <c r="G479" s="6">
        <f t="shared" si="14"/>
        <v>12.9846</v>
      </c>
      <c r="H479" s="7">
        <f t="shared" si="15"/>
        <v>0.81</v>
      </c>
    </row>
    <row r="480" spans="1:8" ht="18" customHeight="1" x14ac:dyDescent="0.25">
      <c r="A480" s="1" t="s">
        <v>5286</v>
      </c>
      <c r="B480" s="1" t="s">
        <v>4760</v>
      </c>
      <c r="C480" s="1" t="s">
        <v>5047</v>
      </c>
      <c r="D480" s="6">
        <v>67.98</v>
      </c>
      <c r="E480" s="6">
        <v>49.625399999999999</v>
      </c>
      <c r="F480" s="1" t="s">
        <v>5048</v>
      </c>
      <c r="G480" s="6">
        <f t="shared" si="14"/>
        <v>18.354600000000005</v>
      </c>
      <c r="H480" s="7">
        <f t="shared" si="15"/>
        <v>0.73</v>
      </c>
    </row>
    <row r="481" spans="1:8" ht="18" customHeight="1" x14ac:dyDescent="0.25">
      <c r="A481" s="1" t="s">
        <v>5386</v>
      </c>
      <c r="B481" s="1" t="s">
        <v>4870</v>
      </c>
      <c r="C481" s="1" t="s">
        <v>5047</v>
      </c>
      <c r="D481" s="6">
        <v>65.69</v>
      </c>
      <c r="E481" s="6">
        <v>47.953699999999998</v>
      </c>
      <c r="F481" s="1" t="s">
        <v>5048</v>
      </c>
      <c r="G481" s="6">
        <f t="shared" si="14"/>
        <v>17.7363</v>
      </c>
      <c r="H481" s="7">
        <f t="shared" si="15"/>
        <v>0.73</v>
      </c>
    </row>
    <row r="482" spans="1:8" ht="18" customHeight="1" x14ac:dyDescent="0.25">
      <c r="A482" s="1" t="s">
        <v>5170</v>
      </c>
      <c r="B482" s="1" t="s">
        <v>4625</v>
      </c>
      <c r="C482" s="1" t="s">
        <v>5047</v>
      </c>
      <c r="D482" s="6">
        <v>63.8</v>
      </c>
      <c r="E482" s="6">
        <v>44.66</v>
      </c>
      <c r="F482" s="1" t="s">
        <v>5048</v>
      </c>
      <c r="G482" s="6">
        <f t="shared" si="14"/>
        <v>19.14</v>
      </c>
      <c r="H482" s="7">
        <f t="shared" si="15"/>
        <v>0.7</v>
      </c>
    </row>
    <row r="483" spans="1:8" ht="18" customHeight="1" x14ac:dyDescent="0.25">
      <c r="A483" s="1" t="s">
        <v>5087</v>
      </c>
      <c r="B483" s="1" t="s">
        <v>4525</v>
      </c>
      <c r="C483" s="1" t="s">
        <v>5047</v>
      </c>
      <c r="D483" s="6">
        <v>61.9</v>
      </c>
      <c r="E483" s="6">
        <v>55.091000000000001</v>
      </c>
      <c r="F483" s="1" t="s">
        <v>5048</v>
      </c>
      <c r="G483" s="6">
        <f t="shared" si="14"/>
        <v>6.8089999999999975</v>
      </c>
      <c r="H483" s="7">
        <f t="shared" si="15"/>
        <v>0.89</v>
      </c>
    </row>
    <row r="484" spans="1:8" ht="18" customHeight="1" x14ac:dyDescent="0.25">
      <c r="A484" s="1" t="s">
        <v>5117</v>
      </c>
      <c r="B484" s="1" t="s">
        <v>4558</v>
      </c>
      <c r="C484" s="1" t="s">
        <v>5047</v>
      </c>
      <c r="D484" s="6">
        <v>61.22</v>
      </c>
      <c r="E484" s="6">
        <v>45.914999999999999</v>
      </c>
      <c r="F484" s="1" t="s">
        <v>5048</v>
      </c>
      <c r="G484" s="6">
        <f t="shared" si="14"/>
        <v>15.305</v>
      </c>
      <c r="H484" s="7">
        <f t="shared" si="15"/>
        <v>0.75</v>
      </c>
    </row>
    <row r="485" spans="1:8" ht="18" customHeight="1" x14ac:dyDescent="0.25">
      <c r="A485" s="1" t="s">
        <v>5408</v>
      </c>
      <c r="B485" s="1" t="s">
        <v>4894</v>
      </c>
      <c r="C485" s="1" t="s">
        <v>5047</v>
      </c>
      <c r="D485" s="6">
        <v>60.84</v>
      </c>
      <c r="E485" s="6">
        <v>48.063600000000001</v>
      </c>
      <c r="F485" s="1" t="s">
        <v>5048</v>
      </c>
      <c r="G485" s="6">
        <f t="shared" si="14"/>
        <v>12.776400000000002</v>
      </c>
      <c r="H485" s="7">
        <f t="shared" si="15"/>
        <v>0.78999999999999992</v>
      </c>
    </row>
    <row r="486" spans="1:8" ht="18" customHeight="1" x14ac:dyDescent="0.25">
      <c r="A486" s="1" t="s">
        <v>5303</v>
      </c>
      <c r="B486" s="1" t="s">
        <v>4780</v>
      </c>
      <c r="C486" s="1" t="s">
        <v>5047</v>
      </c>
      <c r="D486" s="6">
        <v>60.24</v>
      </c>
      <c r="E486" s="6">
        <v>48.192</v>
      </c>
      <c r="F486" s="1" t="s">
        <v>5048</v>
      </c>
      <c r="G486" s="6">
        <f t="shared" si="14"/>
        <v>12.048000000000002</v>
      </c>
      <c r="H486" s="7">
        <f t="shared" si="15"/>
        <v>0.79999999999999993</v>
      </c>
    </row>
    <row r="487" spans="1:8" ht="18" customHeight="1" x14ac:dyDescent="0.25">
      <c r="A487" s="1" t="s">
        <v>5078</v>
      </c>
      <c r="B487" s="1" t="s">
        <v>4516</v>
      </c>
      <c r="C487" s="1" t="s">
        <v>5047</v>
      </c>
      <c r="D487" s="6">
        <v>59.62</v>
      </c>
      <c r="E487" s="6">
        <v>48.292200000000001</v>
      </c>
      <c r="F487" s="1" t="s">
        <v>5048</v>
      </c>
      <c r="G487" s="6">
        <f t="shared" si="14"/>
        <v>11.327799999999996</v>
      </c>
      <c r="H487" s="7">
        <f t="shared" si="15"/>
        <v>0.81</v>
      </c>
    </row>
    <row r="488" spans="1:8" ht="18" customHeight="1" x14ac:dyDescent="0.25">
      <c r="A488" s="1" t="s">
        <v>5203</v>
      </c>
      <c r="B488" s="1" t="s">
        <v>4662</v>
      </c>
      <c r="C488" s="1" t="s">
        <v>5047</v>
      </c>
      <c r="D488" s="6">
        <v>59.35</v>
      </c>
      <c r="E488" s="6">
        <v>43.325499999999998</v>
      </c>
      <c r="F488" s="1" t="s">
        <v>5048</v>
      </c>
      <c r="G488" s="6">
        <f t="shared" si="14"/>
        <v>16.024500000000003</v>
      </c>
      <c r="H488" s="7">
        <f t="shared" si="15"/>
        <v>0.73</v>
      </c>
    </row>
    <row r="489" spans="1:8" ht="18" customHeight="1" x14ac:dyDescent="0.25">
      <c r="A489" s="1" t="s">
        <v>5191</v>
      </c>
      <c r="B489" s="1" t="s">
        <v>4647</v>
      </c>
      <c r="C489" s="1" t="s">
        <v>5047</v>
      </c>
      <c r="D489" s="6">
        <v>58.54</v>
      </c>
      <c r="E489" s="6">
        <v>46.832000000000001</v>
      </c>
      <c r="F489" s="1" t="s">
        <v>5048</v>
      </c>
      <c r="G489" s="6">
        <f t="shared" si="14"/>
        <v>11.707999999999998</v>
      </c>
      <c r="H489" s="7">
        <f t="shared" si="15"/>
        <v>0.8</v>
      </c>
    </row>
    <row r="490" spans="1:8" ht="18" customHeight="1" x14ac:dyDescent="0.25">
      <c r="A490" s="1" t="s">
        <v>5129</v>
      </c>
      <c r="B490" s="1" t="s">
        <v>4572</v>
      </c>
      <c r="C490" s="1" t="s">
        <v>5047</v>
      </c>
      <c r="D490" s="6">
        <v>56.26</v>
      </c>
      <c r="E490" s="6">
        <v>45.570599999999999</v>
      </c>
      <c r="F490" s="1" t="s">
        <v>5048</v>
      </c>
      <c r="G490" s="6">
        <f t="shared" si="14"/>
        <v>10.689399999999999</v>
      </c>
      <c r="H490" s="7">
        <f t="shared" si="15"/>
        <v>0.81</v>
      </c>
    </row>
    <row r="491" spans="1:8" ht="18" customHeight="1" x14ac:dyDescent="0.25">
      <c r="A491" s="1" t="s">
        <v>5317</v>
      </c>
      <c r="B491" s="1" t="s">
        <v>4794</v>
      </c>
      <c r="C491" s="1" t="s">
        <v>5047</v>
      </c>
      <c r="D491" s="6">
        <v>55.78</v>
      </c>
      <c r="E491" s="6">
        <v>50.201999999999998</v>
      </c>
      <c r="F491" s="1" t="s">
        <v>5048</v>
      </c>
      <c r="G491" s="6">
        <f t="shared" si="14"/>
        <v>5.578000000000003</v>
      </c>
      <c r="H491" s="7">
        <f t="shared" si="15"/>
        <v>0.89999999999999991</v>
      </c>
    </row>
    <row r="492" spans="1:8" ht="18" customHeight="1" x14ac:dyDescent="0.25">
      <c r="A492" s="1" t="s">
        <v>5137</v>
      </c>
      <c r="B492" s="1" t="s">
        <v>4583</v>
      </c>
      <c r="C492" s="1" t="s">
        <v>5047</v>
      </c>
      <c r="D492" s="6">
        <v>55.68</v>
      </c>
      <c r="E492" s="6">
        <v>38.975999999999999</v>
      </c>
      <c r="F492" s="1" t="s">
        <v>5048</v>
      </c>
      <c r="G492" s="6">
        <f t="shared" si="14"/>
        <v>16.704000000000001</v>
      </c>
      <c r="H492" s="7">
        <f t="shared" si="15"/>
        <v>0.7</v>
      </c>
    </row>
    <row r="493" spans="1:8" ht="18" customHeight="1" x14ac:dyDescent="0.25">
      <c r="A493" s="1" t="s">
        <v>5361</v>
      </c>
      <c r="B493" s="1" t="s">
        <v>4844</v>
      </c>
      <c r="C493" s="1" t="s">
        <v>5047</v>
      </c>
      <c r="D493" s="6">
        <v>55.11</v>
      </c>
      <c r="E493" s="6">
        <v>46.292400000000001</v>
      </c>
      <c r="F493" s="1" t="s">
        <v>5048</v>
      </c>
      <c r="G493" s="6">
        <f t="shared" si="14"/>
        <v>8.8175999999999988</v>
      </c>
      <c r="H493" s="7">
        <f t="shared" si="15"/>
        <v>0.84</v>
      </c>
    </row>
    <row r="494" spans="1:8" ht="18" customHeight="1" x14ac:dyDescent="0.25">
      <c r="A494" s="1" t="s">
        <v>5368</v>
      </c>
      <c r="B494" s="1" t="s">
        <v>4851</v>
      </c>
      <c r="C494" s="1" t="s">
        <v>5047</v>
      </c>
      <c r="D494" s="6">
        <v>54.56</v>
      </c>
      <c r="E494" s="6">
        <v>47.467199999999998</v>
      </c>
      <c r="F494" s="1" t="s">
        <v>5048</v>
      </c>
      <c r="G494" s="6">
        <f t="shared" si="14"/>
        <v>7.092800000000004</v>
      </c>
      <c r="H494" s="7">
        <f t="shared" si="15"/>
        <v>0.86999999999999988</v>
      </c>
    </row>
    <row r="495" spans="1:8" ht="18" customHeight="1" x14ac:dyDescent="0.25">
      <c r="A495" s="1" t="s">
        <v>5239</v>
      </c>
      <c r="B495" s="1" t="s">
        <v>4702</v>
      </c>
      <c r="C495" s="1" t="s">
        <v>5047</v>
      </c>
      <c r="D495" s="6">
        <v>54.23</v>
      </c>
      <c r="E495" s="6">
        <v>43.926299999999998</v>
      </c>
      <c r="F495" s="1" t="s">
        <v>5048</v>
      </c>
      <c r="G495" s="6">
        <f t="shared" si="14"/>
        <v>10.303699999999999</v>
      </c>
      <c r="H495" s="7">
        <f t="shared" si="15"/>
        <v>0.81</v>
      </c>
    </row>
    <row r="496" spans="1:8" ht="18" customHeight="1" x14ac:dyDescent="0.25">
      <c r="A496" s="1" t="s">
        <v>5483</v>
      </c>
      <c r="B496" s="1" t="s">
        <v>4975</v>
      </c>
      <c r="C496" s="1" t="s">
        <v>5047</v>
      </c>
      <c r="D496" s="6">
        <v>54</v>
      </c>
      <c r="E496" s="6">
        <v>46.98</v>
      </c>
      <c r="F496" s="1" t="s">
        <v>5048</v>
      </c>
      <c r="G496" s="6">
        <f t="shared" si="14"/>
        <v>7.0200000000000031</v>
      </c>
      <c r="H496" s="7">
        <f t="shared" si="15"/>
        <v>0.87</v>
      </c>
    </row>
    <row r="497" spans="1:8" ht="18" customHeight="1" x14ac:dyDescent="0.25">
      <c r="A497" s="1" t="s">
        <v>5133</v>
      </c>
      <c r="B497" s="1" t="s">
        <v>4577</v>
      </c>
      <c r="C497" s="1" t="s">
        <v>5047</v>
      </c>
      <c r="D497" s="6">
        <v>53.84</v>
      </c>
      <c r="E497" s="6">
        <v>37.688000000000002</v>
      </c>
      <c r="F497" s="1" t="s">
        <v>5048</v>
      </c>
      <c r="G497" s="6">
        <f t="shared" si="14"/>
        <v>16.152000000000001</v>
      </c>
      <c r="H497" s="7">
        <f t="shared" si="15"/>
        <v>0.7</v>
      </c>
    </row>
    <row r="498" spans="1:8" ht="18" customHeight="1" x14ac:dyDescent="0.25">
      <c r="A498" s="1" t="s">
        <v>5378</v>
      </c>
      <c r="B498" s="1" t="s">
        <v>4862</v>
      </c>
      <c r="C498" s="1" t="s">
        <v>5047</v>
      </c>
      <c r="D498" s="6">
        <v>52.68</v>
      </c>
      <c r="E498" s="6">
        <v>37.402799999999999</v>
      </c>
      <c r="F498" s="1" t="s">
        <v>5048</v>
      </c>
      <c r="G498" s="6">
        <f t="shared" si="14"/>
        <v>15.277200000000001</v>
      </c>
      <c r="H498" s="7">
        <f t="shared" si="15"/>
        <v>0.71</v>
      </c>
    </row>
    <row r="499" spans="1:8" ht="18" customHeight="1" x14ac:dyDescent="0.25">
      <c r="A499" s="1" t="s">
        <v>5257</v>
      </c>
      <c r="B499" s="1" t="s">
        <v>4722</v>
      </c>
      <c r="C499" s="1" t="s">
        <v>5047</v>
      </c>
      <c r="D499" s="6">
        <v>51.34</v>
      </c>
      <c r="E499" s="6">
        <v>41.5854</v>
      </c>
      <c r="F499" s="1" t="s">
        <v>5048</v>
      </c>
      <c r="G499" s="6">
        <f t="shared" si="14"/>
        <v>9.7546000000000035</v>
      </c>
      <c r="H499" s="7">
        <f t="shared" si="15"/>
        <v>0.80999999999999994</v>
      </c>
    </row>
    <row r="500" spans="1:8" ht="18" customHeight="1" x14ac:dyDescent="0.25">
      <c r="A500" s="1" t="s">
        <v>5244</v>
      </c>
      <c r="B500" s="1" t="s">
        <v>4707</v>
      </c>
      <c r="C500" s="1" t="s">
        <v>5047</v>
      </c>
      <c r="D500" s="6">
        <v>50.6</v>
      </c>
      <c r="E500" s="6">
        <v>38.456000000000003</v>
      </c>
      <c r="F500" s="1" t="s">
        <v>5048</v>
      </c>
      <c r="G500" s="6">
        <f t="shared" si="14"/>
        <v>12.143999999999998</v>
      </c>
      <c r="H500" s="7">
        <f t="shared" si="15"/>
        <v>0.76</v>
      </c>
    </row>
    <row r="501" spans="1:8" ht="18" customHeight="1" x14ac:dyDescent="0.25">
      <c r="A501" s="1" t="s">
        <v>5214</v>
      </c>
      <c r="B501" s="1" t="s">
        <v>4674</v>
      </c>
      <c r="C501" s="1" t="s">
        <v>5047</v>
      </c>
      <c r="D501" s="6">
        <v>50.46</v>
      </c>
      <c r="E501" s="6">
        <v>39.863399999999999</v>
      </c>
      <c r="F501" s="1" t="s">
        <v>5048</v>
      </c>
      <c r="G501" s="6">
        <f t="shared" si="14"/>
        <v>10.596600000000002</v>
      </c>
      <c r="H501" s="7">
        <f t="shared" si="15"/>
        <v>0.78999999999999992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1D235-06AF-4E6C-BD84-A65D62F27541}">
  <dimension ref="A1:C31"/>
  <sheetViews>
    <sheetView topLeftCell="A26" workbookViewId="0">
      <selection activeCell="G54" sqref="G54"/>
    </sheetView>
  </sheetViews>
  <sheetFormatPr defaultRowHeight="15.75" x14ac:dyDescent="0.25"/>
  <cols>
    <col min="1" max="1" width="12.5" bestFit="1" customWidth="1"/>
    <col min="2" max="2" width="18.75" bestFit="1" customWidth="1"/>
    <col min="3" max="3" width="16.125" bestFit="1" customWidth="1"/>
  </cols>
  <sheetData>
    <row r="1" spans="1:3" ht="18" customHeight="1" x14ac:dyDescent="0.25">
      <c r="A1" s="1" t="s">
        <v>2081</v>
      </c>
      <c r="B1" s="1" t="s">
        <v>1</v>
      </c>
      <c r="C1" s="1" t="s">
        <v>5548</v>
      </c>
    </row>
    <row r="2" spans="1:3" ht="18" customHeight="1" x14ac:dyDescent="0.25">
      <c r="A2" s="1" t="s">
        <v>2247</v>
      </c>
      <c r="B2" s="1" t="s">
        <v>5565</v>
      </c>
      <c r="C2" s="1" t="s">
        <v>5550</v>
      </c>
    </row>
    <row r="3" spans="1:3" ht="18" customHeight="1" x14ac:dyDescent="0.25">
      <c r="A3" s="1" t="s">
        <v>2162</v>
      </c>
      <c r="B3" s="1" t="s">
        <v>5553</v>
      </c>
      <c r="C3" s="1" t="s">
        <v>5550</v>
      </c>
    </row>
    <row r="4" spans="1:3" ht="18" customHeight="1" x14ac:dyDescent="0.25">
      <c r="A4" s="1" t="s">
        <v>2147</v>
      </c>
      <c r="B4" s="1" t="s">
        <v>5571</v>
      </c>
      <c r="C4" s="1" t="s">
        <v>5550</v>
      </c>
    </row>
    <row r="5" spans="1:3" ht="18" customHeight="1" x14ac:dyDescent="0.25">
      <c r="A5" s="1" t="s">
        <v>2116</v>
      </c>
      <c r="B5" s="1" t="s">
        <v>5568</v>
      </c>
      <c r="C5" s="1" t="s">
        <v>5550</v>
      </c>
    </row>
    <row r="6" spans="1:3" ht="18" customHeight="1" x14ac:dyDescent="0.25">
      <c r="A6" s="1" t="s">
        <v>2169</v>
      </c>
      <c r="B6" s="1" t="s">
        <v>5549</v>
      </c>
      <c r="C6" s="1" t="s">
        <v>5550</v>
      </c>
    </row>
    <row r="7" spans="1:3" ht="18" customHeight="1" x14ac:dyDescent="0.25">
      <c r="A7" s="1" t="s">
        <v>2113</v>
      </c>
      <c r="B7" s="1" t="s">
        <v>5576</v>
      </c>
      <c r="C7" s="1" t="s">
        <v>5550</v>
      </c>
    </row>
    <row r="8" spans="1:3" ht="18" customHeight="1" x14ac:dyDescent="0.25">
      <c r="A8" s="1" t="s">
        <v>2110</v>
      </c>
      <c r="B8" s="1" t="s">
        <v>5580</v>
      </c>
      <c r="C8" s="1" t="s">
        <v>5550</v>
      </c>
    </row>
    <row r="9" spans="1:3" ht="18" customHeight="1" x14ac:dyDescent="0.25">
      <c r="A9" s="1" t="s">
        <v>2201</v>
      </c>
      <c r="B9" s="1" t="s">
        <v>5569</v>
      </c>
      <c r="C9" s="1" t="s">
        <v>5560</v>
      </c>
    </row>
    <row r="10" spans="1:3" ht="18" customHeight="1" x14ac:dyDescent="0.25">
      <c r="A10" s="1" t="s">
        <v>2102</v>
      </c>
      <c r="B10" s="1" t="s">
        <v>5559</v>
      </c>
      <c r="C10" s="1" t="s">
        <v>5560</v>
      </c>
    </row>
    <row r="11" spans="1:3" ht="18" customHeight="1" x14ac:dyDescent="0.25">
      <c r="A11" s="1" t="s">
        <v>2099</v>
      </c>
      <c r="B11" s="1" t="s">
        <v>5579</v>
      </c>
      <c r="C11" s="1" t="s">
        <v>5560</v>
      </c>
    </row>
    <row r="12" spans="1:3" ht="18" customHeight="1" x14ac:dyDescent="0.25">
      <c r="A12" s="1" t="s">
        <v>2126</v>
      </c>
      <c r="B12" s="1" t="s">
        <v>5566</v>
      </c>
      <c r="C12" s="1" t="s">
        <v>5560</v>
      </c>
    </row>
    <row r="13" spans="1:3" ht="18" customHeight="1" x14ac:dyDescent="0.25">
      <c r="A13" s="1" t="s">
        <v>2303</v>
      </c>
      <c r="B13" s="1" t="s">
        <v>5571</v>
      </c>
      <c r="C13" s="1" t="s">
        <v>5560</v>
      </c>
    </row>
    <row r="14" spans="1:3" ht="18" customHeight="1" x14ac:dyDescent="0.25">
      <c r="A14" s="1" t="s">
        <v>2152</v>
      </c>
      <c r="B14" s="1" t="s">
        <v>5578</v>
      </c>
      <c r="C14" s="1" t="s">
        <v>5560</v>
      </c>
    </row>
    <row r="15" spans="1:3" ht="18" customHeight="1" x14ac:dyDescent="0.25">
      <c r="A15" s="1" t="s">
        <v>2185</v>
      </c>
      <c r="B15" s="1" t="s">
        <v>5561</v>
      </c>
      <c r="C15" s="1" t="s">
        <v>5562</v>
      </c>
    </row>
    <row r="16" spans="1:3" ht="18" customHeight="1" x14ac:dyDescent="0.25">
      <c r="A16" s="1" t="s">
        <v>2317</v>
      </c>
      <c r="B16" s="1" t="s">
        <v>5574</v>
      </c>
      <c r="C16" s="1" t="s">
        <v>5562</v>
      </c>
    </row>
    <row r="17" spans="1:3" ht="18" customHeight="1" x14ac:dyDescent="0.25">
      <c r="A17" s="1" t="s">
        <v>2216</v>
      </c>
      <c r="B17" s="1" t="s">
        <v>5565</v>
      </c>
      <c r="C17" s="1" t="s">
        <v>5562</v>
      </c>
    </row>
    <row r="18" spans="1:3" ht="18" customHeight="1" x14ac:dyDescent="0.25">
      <c r="A18" s="1" t="s">
        <v>2135</v>
      </c>
      <c r="B18" s="1" t="s">
        <v>5577</v>
      </c>
      <c r="C18" s="1" t="s">
        <v>5562</v>
      </c>
    </row>
    <row r="19" spans="1:3" ht="18" customHeight="1" x14ac:dyDescent="0.25">
      <c r="A19" s="1" t="s">
        <v>2227</v>
      </c>
      <c r="B19" s="1" t="s">
        <v>5564</v>
      </c>
      <c r="C19" s="1" t="s">
        <v>5562</v>
      </c>
    </row>
    <row r="20" spans="1:3" ht="18" customHeight="1" x14ac:dyDescent="0.25">
      <c r="A20" s="1" t="s">
        <v>2180</v>
      </c>
      <c r="B20" s="1" t="s">
        <v>5581</v>
      </c>
      <c r="C20" s="1" t="s">
        <v>5562</v>
      </c>
    </row>
    <row r="21" spans="1:3" ht="18" customHeight="1" x14ac:dyDescent="0.25">
      <c r="A21" s="1" t="s">
        <v>2095</v>
      </c>
      <c r="B21" s="1" t="s">
        <v>5563</v>
      </c>
      <c r="C21" s="1" t="s">
        <v>5552</v>
      </c>
    </row>
    <row r="22" spans="1:3" ht="18" customHeight="1" x14ac:dyDescent="0.25">
      <c r="A22" s="1" t="s">
        <v>2132</v>
      </c>
      <c r="B22" s="1" t="s">
        <v>5551</v>
      </c>
      <c r="C22" s="1" t="s">
        <v>5552</v>
      </c>
    </row>
    <row r="23" spans="1:3" ht="18" customHeight="1" x14ac:dyDescent="0.25">
      <c r="A23" s="1" t="s">
        <v>2123</v>
      </c>
      <c r="B23" s="1" t="s">
        <v>5567</v>
      </c>
      <c r="C23" s="1" t="s">
        <v>5552</v>
      </c>
    </row>
    <row r="24" spans="1:3" ht="18" customHeight="1" x14ac:dyDescent="0.25">
      <c r="A24" s="1" t="s">
        <v>2091</v>
      </c>
      <c r="B24" s="1" t="s">
        <v>5572</v>
      </c>
      <c r="C24" s="1" t="s">
        <v>5573</v>
      </c>
    </row>
    <row r="25" spans="1:3" ht="18" customHeight="1" x14ac:dyDescent="0.25">
      <c r="A25" s="1" t="s">
        <v>2129</v>
      </c>
      <c r="B25" s="1" t="s">
        <v>5575</v>
      </c>
      <c r="C25" s="1" t="s">
        <v>5573</v>
      </c>
    </row>
    <row r="26" spans="1:3" ht="18" customHeight="1" x14ac:dyDescent="0.25">
      <c r="A26" s="1" t="s">
        <v>2258</v>
      </c>
      <c r="B26" s="1" t="s">
        <v>5558</v>
      </c>
      <c r="C26" s="1" t="s">
        <v>5573</v>
      </c>
    </row>
    <row r="27" spans="1:3" ht="18" customHeight="1" x14ac:dyDescent="0.25">
      <c r="A27" s="1" t="s">
        <v>2196</v>
      </c>
      <c r="B27" s="1" t="s">
        <v>5570</v>
      </c>
      <c r="C27" s="1" t="s">
        <v>5557</v>
      </c>
    </row>
    <row r="28" spans="1:3" ht="18" customHeight="1" x14ac:dyDescent="0.25">
      <c r="A28" s="1" t="s">
        <v>2106</v>
      </c>
      <c r="B28" s="1" t="s">
        <v>5556</v>
      </c>
      <c r="C28" s="1" t="s">
        <v>5557</v>
      </c>
    </row>
    <row r="29" spans="1:3" ht="18" customHeight="1" x14ac:dyDescent="0.25">
      <c r="A29" s="1" t="s">
        <v>2157</v>
      </c>
      <c r="B29" s="1" t="s">
        <v>5577</v>
      </c>
      <c r="C29" s="1" t="s">
        <v>5557</v>
      </c>
    </row>
    <row r="30" spans="1:3" ht="18" customHeight="1" x14ac:dyDescent="0.25">
      <c r="A30" s="1" t="s">
        <v>2086</v>
      </c>
      <c r="B30" s="1" t="s">
        <v>5554</v>
      </c>
      <c r="C30" s="1" t="s">
        <v>5555</v>
      </c>
    </row>
    <row r="31" spans="1:3" ht="18" customHeight="1" x14ac:dyDescent="0.25">
      <c r="A31" s="1" t="s">
        <v>2138</v>
      </c>
      <c r="B31" s="1" t="s">
        <v>5558</v>
      </c>
      <c r="C31" s="1" t="s">
        <v>5555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5F1AC-4B6A-423A-93B8-E7CD4F62D213}">
  <dimension ref="A1:H501"/>
  <sheetViews>
    <sheetView workbookViewId="0">
      <selection activeCell="F17" sqref="F17"/>
    </sheetView>
  </sheetViews>
  <sheetFormatPr defaultRowHeight="15.75" x14ac:dyDescent="0.25"/>
  <cols>
    <col min="1" max="1" width="16" bestFit="1" customWidth="1"/>
    <col min="2" max="2" width="14.25" bestFit="1" customWidth="1"/>
    <col min="3" max="3" width="15" bestFit="1" customWidth="1"/>
    <col min="4" max="4" width="14" bestFit="1" customWidth="1"/>
    <col min="5" max="5" width="17.125" bestFit="1" customWidth="1"/>
    <col min="6" max="6" width="10.875" bestFit="1" customWidth="1"/>
    <col min="7" max="7" width="8.75" bestFit="1" customWidth="1"/>
    <col min="8" max="8" width="22.25" bestFit="1" customWidth="1"/>
  </cols>
  <sheetData>
    <row r="1" spans="1:8" ht="18" customHeight="1" x14ac:dyDescent="0.25">
      <c r="A1" s="1" t="s">
        <v>5582</v>
      </c>
      <c r="B1" s="1" t="s">
        <v>2080</v>
      </c>
      <c r="C1" s="1" t="s">
        <v>5583</v>
      </c>
      <c r="D1" s="1" t="s">
        <v>5584</v>
      </c>
      <c r="E1" s="1" t="s">
        <v>5585</v>
      </c>
      <c r="F1" s="1" t="s">
        <v>5586</v>
      </c>
      <c r="G1" s="1" t="s">
        <v>5587</v>
      </c>
      <c r="H1" s="1" t="s">
        <v>6117</v>
      </c>
    </row>
    <row r="2" spans="1:8" ht="18" customHeight="1" x14ac:dyDescent="0.25">
      <c r="A2" s="1" t="s">
        <v>5672</v>
      </c>
      <c r="B2" s="1" t="s">
        <v>2402</v>
      </c>
      <c r="C2" s="1" t="s">
        <v>5589</v>
      </c>
      <c r="D2" s="1" t="s">
        <v>5595</v>
      </c>
      <c r="E2" s="3">
        <v>46289</v>
      </c>
      <c r="F2" s="1">
        <v>30</v>
      </c>
      <c r="G2" s="1">
        <v>1</v>
      </c>
      <c r="H2" s="1">
        <f t="shared" ref="H2:H65" si="0">F2*(G2+1)</f>
        <v>60</v>
      </c>
    </row>
    <row r="3" spans="1:8" ht="18" customHeight="1" x14ac:dyDescent="0.25">
      <c r="A3" s="1" t="s">
        <v>5982</v>
      </c>
      <c r="B3" s="1" t="s">
        <v>3265</v>
      </c>
      <c r="C3" s="1" t="s">
        <v>5597</v>
      </c>
      <c r="D3" s="1" t="s">
        <v>5598</v>
      </c>
      <c r="E3" s="3">
        <v>46289</v>
      </c>
      <c r="F3" s="1">
        <v>30</v>
      </c>
      <c r="G3" s="1">
        <v>1</v>
      </c>
      <c r="H3" s="1">
        <f t="shared" si="0"/>
        <v>60</v>
      </c>
    </row>
    <row r="4" spans="1:8" ht="18" customHeight="1" x14ac:dyDescent="0.25">
      <c r="A4" s="1" t="s">
        <v>5749</v>
      </c>
      <c r="B4" s="1" t="s">
        <v>2654</v>
      </c>
      <c r="C4" s="1" t="s">
        <v>5592</v>
      </c>
      <c r="D4" s="1" t="s">
        <v>5590</v>
      </c>
      <c r="E4" s="3">
        <v>46285</v>
      </c>
      <c r="F4" s="1">
        <v>30</v>
      </c>
      <c r="G4" s="1">
        <v>1</v>
      </c>
      <c r="H4" s="1">
        <f t="shared" si="0"/>
        <v>60</v>
      </c>
    </row>
    <row r="5" spans="1:8" ht="18" customHeight="1" x14ac:dyDescent="0.25">
      <c r="A5" s="1" t="s">
        <v>5974</v>
      </c>
      <c r="B5" s="1" t="s">
        <v>3253</v>
      </c>
      <c r="C5" s="1" t="s">
        <v>5597</v>
      </c>
      <c r="D5" s="1" t="s">
        <v>5593</v>
      </c>
      <c r="E5" s="3">
        <v>46285</v>
      </c>
      <c r="F5" s="1">
        <v>30</v>
      </c>
      <c r="G5" s="1">
        <v>1</v>
      </c>
      <c r="H5" s="1">
        <f t="shared" si="0"/>
        <v>60</v>
      </c>
    </row>
    <row r="6" spans="1:8" ht="18" customHeight="1" x14ac:dyDescent="0.25">
      <c r="A6" s="1" t="s">
        <v>5887</v>
      </c>
      <c r="B6" s="1" t="s">
        <v>3097</v>
      </c>
      <c r="C6" s="1" t="s">
        <v>5597</v>
      </c>
      <c r="D6" s="1" t="s">
        <v>5598</v>
      </c>
      <c r="E6" s="3">
        <v>46277</v>
      </c>
      <c r="F6" s="1">
        <v>30</v>
      </c>
      <c r="G6" s="1">
        <v>1</v>
      </c>
      <c r="H6" s="1">
        <f t="shared" si="0"/>
        <v>60</v>
      </c>
    </row>
    <row r="7" spans="1:8" ht="18" customHeight="1" x14ac:dyDescent="0.25">
      <c r="A7" s="1" t="s">
        <v>5931</v>
      </c>
      <c r="B7" s="1" t="s">
        <v>3180</v>
      </c>
      <c r="C7" s="1" t="s">
        <v>5597</v>
      </c>
      <c r="D7" s="1" t="s">
        <v>5590</v>
      </c>
      <c r="E7" s="3">
        <v>46275</v>
      </c>
      <c r="F7" s="1">
        <v>30</v>
      </c>
      <c r="G7" s="1">
        <v>1</v>
      </c>
      <c r="H7" s="1">
        <f t="shared" si="0"/>
        <v>60</v>
      </c>
    </row>
    <row r="8" spans="1:8" ht="18" customHeight="1" x14ac:dyDescent="0.25">
      <c r="A8" s="1" t="s">
        <v>6049</v>
      </c>
      <c r="B8" s="1" t="s">
        <v>3375</v>
      </c>
      <c r="C8" s="1" t="s">
        <v>5589</v>
      </c>
      <c r="D8" s="1" t="s">
        <v>5590</v>
      </c>
      <c r="E8" s="3">
        <v>46267</v>
      </c>
      <c r="F8" s="1">
        <v>30</v>
      </c>
      <c r="G8" s="1">
        <v>1</v>
      </c>
      <c r="H8" s="1">
        <f t="shared" si="0"/>
        <v>60</v>
      </c>
    </row>
    <row r="9" spans="1:8" ht="18" customHeight="1" x14ac:dyDescent="0.25">
      <c r="A9" s="1" t="s">
        <v>6039</v>
      </c>
      <c r="B9" s="1" t="s">
        <v>3359</v>
      </c>
      <c r="C9" s="1" t="s">
        <v>5597</v>
      </c>
      <c r="D9" s="1" t="s">
        <v>5593</v>
      </c>
      <c r="E9" s="3">
        <v>46265</v>
      </c>
      <c r="F9" s="1">
        <v>30</v>
      </c>
      <c r="G9" s="1">
        <v>1</v>
      </c>
      <c r="H9" s="1">
        <f t="shared" si="0"/>
        <v>60</v>
      </c>
    </row>
    <row r="10" spans="1:8" ht="18" customHeight="1" x14ac:dyDescent="0.25">
      <c r="A10" s="1" t="s">
        <v>5596</v>
      </c>
      <c r="B10" s="1" t="s">
        <v>2105</v>
      </c>
      <c r="C10" s="1" t="s">
        <v>5597</v>
      </c>
      <c r="D10" s="1" t="s">
        <v>5598</v>
      </c>
      <c r="E10" s="3">
        <v>46264</v>
      </c>
      <c r="F10" s="1">
        <v>30</v>
      </c>
      <c r="G10" s="1">
        <v>1</v>
      </c>
      <c r="H10" s="1">
        <f t="shared" si="0"/>
        <v>60</v>
      </c>
    </row>
    <row r="11" spans="1:8" ht="18" customHeight="1" x14ac:dyDescent="0.25">
      <c r="A11" s="1" t="s">
        <v>5620</v>
      </c>
      <c r="B11" s="1" t="s">
        <v>2203</v>
      </c>
      <c r="C11" s="1" t="s">
        <v>5602</v>
      </c>
      <c r="D11" s="1" t="s">
        <v>5598</v>
      </c>
      <c r="E11" s="3">
        <v>46264</v>
      </c>
      <c r="F11" s="1">
        <v>30</v>
      </c>
      <c r="G11" s="1">
        <v>1</v>
      </c>
      <c r="H11" s="1">
        <f t="shared" si="0"/>
        <v>60</v>
      </c>
    </row>
    <row r="12" spans="1:8" ht="18" customHeight="1" x14ac:dyDescent="0.25">
      <c r="A12" s="1" t="s">
        <v>5628</v>
      </c>
      <c r="B12" s="1" t="s">
        <v>2234</v>
      </c>
      <c r="C12" s="1" t="s">
        <v>5602</v>
      </c>
      <c r="D12" s="1" t="s">
        <v>5598</v>
      </c>
      <c r="E12" s="3">
        <v>46263</v>
      </c>
      <c r="F12" s="1">
        <v>30</v>
      </c>
      <c r="G12" s="1">
        <v>1</v>
      </c>
      <c r="H12" s="1">
        <f t="shared" si="0"/>
        <v>60</v>
      </c>
    </row>
    <row r="13" spans="1:8" ht="18" customHeight="1" x14ac:dyDescent="0.25">
      <c r="A13" s="1" t="s">
        <v>5754</v>
      </c>
      <c r="B13" s="1" t="s">
        <v>2674</v>
      </c>
      <c r="C13" s="1" t="s">
        <v>5592</v>
      </c>
      <c r="D13" s="1" t="s">
        <v>5593</v>
      </c>
      <c r="E13" s="3">
        <v>46263</v>
      </c>
      <c r="F13" s="1">
        <v>30</v>
      </c>
      <c r="G13" s="1">
        <v>1</v>
      </c>
      <c r="H13" s="1">
        <f t="shared" si="0"/>
        <v>60</v>
      </c>
    </row>
    <row r="14" spans="1:8" ht="18" customHeight="1" x14ac:dyDescent="0.25">
      <c r="A14" s="1" t="s">
        <v>5770</v>
      </c>
      <c r="B14" s="1" t="s">
        <v>2745</v>
      </c>
      <c r="C14" s="1" t="s">
        <v>5602</v>
      </c>
      <c r="D14" s="1" t="s">
        <v>5593</v>
      </c>
      <c r="E14" s="3">
        <v>46261</v>
      </c>
      <c r="F14" s="1">
        <v>30</v>
      </c>
      <c r="G14" s="1">
        <v>1</v>
      </c>
      <c r="H14" s="1">
        <f t="shared" si="0"/>
        <v>60</v>
      </c>
    </row>
    <row r="15" spans="1:8" ht="18" customHeight="1" x14ac:dyDescent="0.25">
      <c r="A15" s="1" t="s">
        <v>5707</v>
      </c>
      <c r="B15" s="1" t="s">
        <v>2515</v>
      </c>
      <c r="C15" s="1" t="s">
        <v>5589</v>
      </c>
      <c r="D15" s="1" t="s">
        <v>5590</v>
      </c>
      <c r="E15" s="3">
        <v>46258</v>
      </c>
      <c r="F15" s="1">
        <v>30</v>
      </c>
      <c r="G15" s="1">
        <v>1</v>
      </c>
      <c r="H15" s="1">
        <f t="shared" si="0"/>
        <v>60</v>
      </c>
    </row>
    <row r="16" spans="1:8" ht="18" customHeight="1" x14ac:dyDescent="0.25">
      <c r="A16" s="1" t="s">
        <v>5777</v>
      </c>
      <c r="B16" s="1" t="s">
        <v>2770</v>
      </c>
      <c r="C16" s="1" t="s">
        <v>5602</v>
      </c>
      <c r="D16" s="1" t="s">
        <v>5593</v>
      </c>
      <c r="E16" s="3">
        <v>46256</v>
      </c>
      <c r="F16" s="1">
        <v>30</v>
      </c>
      <c r="G16" s="1">
        <v>1</v>
      </c>
      <c r="H16" s="1">
        <f t="shared" si="0"/>
        <v>60</v>
      </c>
    </row>
    <row r="17" spans="1:8" ht="18" customHeight="1" x14ac:dyDescent="0.25">
      <c r="A17" s="1" t="s">
        <v>5794</v>
      </c>
      <c r="B17" s="1" t="s">
        <v>2828</v>
      </c>
      <c r="C17" s="1" t="s">
        <v>5602</v>
      </c>
      <c r="D17" s="1" t="s">
        <v>5598</v>
      </c>
      <c r="E17" s="3">
        <v>46244</v>
      </c>
      <c r="F17" s="1">
        <v>30</v>
      </c>
      <c r="G17" s="1">
        <v>1</v>
      </c>
      <c r="H17" s="1">
        <f t="shared" si="0"/>
        <v>60</v>
      </c>
    </row>
    <row r="18" spans="1:8" ht="18" customHeight="1" x14ac:dyDescent="0.25">
      <c r="A18" s="1" t="s">
        <v>5844</v>
      </c>
      <c r="B18" s="1" t="s">
        <v>2989</v>
      </c>
      <c r="C18" s="1" t="s">
        <v>5597</v>
      </c>
      <c r="D18" s="1" t="s">
        <v>5590</v>
      </c>
      <c r="E18" s="3">
        <v>46243</v>
      </c>
      <c r="F18" s="1">
        <v>30</v>
      </c>
      <c r="G18" s="1">
        <v>1</v>
      </c>
      <c r="H18" s="1">
        <f t="shared" si="0"/>
        <v>60</v>
      </c>
    </row>
    <row r="19" spans="1:8" ht="18" customHeight="1" x14ac:dyDescent="0.25">
      <c r="A19" s="1" t="s">
        <v>5921</v>
      </c>
      <c r="B19" s="1" t="s">
        <v>3162</v>
      </c>
      <c r="C19" s="1" t="s">
        <v>5602</v>
      </c>
      <c r="D19" s="1" t="s">
        <v>5598</v>
      </c>
      <c r="E19" s="3">
        <v>46237</v>
      </c>
      <c r="F19" s="1">
        <v>30</v>
      </c>
      <c r="G19" s="1">
        <v>1</v>
      </c>
      <c r="H19" s="1">
        <f t="shared" si="0"/>
        <v>60</v>
      </c>
    </row>
    <row r="20" spans="1:8" ht="18" customHeight="1" x14ac:dyDescent="0.25">
      <c r="A20" s="1" t="s">
        <v>6084</v>
      </c>
      <c r="B20" s="1" t="s">
        <v>3431</v>
      </c>
      <c r="C20" s="1" t="s">
        <v>5589</v>
      </c>
      <c r="D20" s="1" t="s">
        <v>5590</v>
      </c>
      <c r="E20" s="3">
        <v>46229</v>
      </c>
      <c r="F20" s="1">
        <v>30</v>
      </c>
      <c r="G20" s="1">
        <v>1</v>
      </c>
      <c r="H20" s="1">
        <f t="shared" si="0"/>
        <v>60</v>
      </c>
    </row>
    <row r="21" spans="1:8" ht="18" customHeight="1" x14ac:dyDescent="0.25">
      <c r="A21" s="1" t="s">
        <v>5861</v>
      </c>
      <c r="B21" s="1" t="s">
        <v>3038</v>
      </c>
      <c r="C21" s="1" t="s">
        <v>5602</v>
      </c>
      <c r="D21" s="1" t="s">
        <v>5593</v>
      </c>
      <c r="E21" s="3">
        <v>46226</v>
      </c>
      <c r="F21" s="1">
        <v>30</v>
      </c>
      <c r="G21" s="1">
        <v>1</v>
      </c>
      <c r="H21" s="1">
        <f t="shared" si="0"/>
        <v>60</v>
      </c>
    </row>
    <row r="22" spans="1:8" ht="18" customHeight="1" x14ac:dyDescent="0.25">
      <c r="A22" s="1" t="s">
        <v>5716</v>
      </c>
      <c r="B22" s="1" t="s">
        <v>2545</v>
      </c>
      <c r="C22" s="1" t="s">
        <v>5602</v>
      </c>
      <c r="D22" s="1" t="s">
        <v>5595</v>
      </c>
      <c r="E22" s="3">
        <v>46220</v>
      </c>
      <c r="F22" s="1">
        <v>30</v>
      </c>
      <c r="G22" s="1">
        <v>1</v>
      </c>
      <c r="H22" s="1">
        <f t="shared" si="0"/>
        <v>60</v>
      </c>
    </row>
    <row r="23" spans="1:8" ht="18" customHeight="1" x14ac:dyDescent="0.25">
      <c r="A23" s="1" t="s">
        <v>5736</v>
      </c>
      <c r="B23" s="1" t="s">
        <v>2614</v>
      </c>
      <c r="C23" s="1" t="s">
        <v>5592</v>
      </c>
      <c r="D23" s="1" t="s">
        <v>5595</v>
      </c>
      <c r="E23" s="3">
        <v>46220</v>
      </c>
      <c r="F23" s="1">
        <v>30</v>
      </c>
      <c r="G23" s="1">
        <v>1</v>
      </c>
      <c r="H23" s="1">
        <f t="shared" si="0"/>
        <v>60</v>
      </c>
    </row>
    <row r="24" spans="1:8" ht="18" customHeight="1" x14ac:dyDescent="0.25">
      <c r="A24" s="1" t="s">
        <v>5835</v>
      </c>
      <c r="B24" s="1" t="s">
        <v>2953</v>
      </c>
      <c r="C24" s="1" t="s">
        <v>5589</v>
      </c>
      <c r="D24" s="1" t="s">
        <v>5595</v>
      </c>
      <c r="E24" s="3">
        <v>46220</v>
      </c>
      <c r="F24" s="1">
        <v>30</v>
      </c>
      <c r="G24" s="1">
        <v>1</v>
      </c>
      <c r="H24" s="1">
        <f t="shared" si="0"/>
        <v>60</v>
      </c>
    </row>
    <row r="25" spans="1:8" ht="18" customHeight="1" x14ac:dyDescent="0.25">
      <c r="A25" s="1" t="s">
        <v>5605</v>
      </c>
      <c r="B25" s="1" t="s">
        <v>2125</v>
      </c>
      <c r="C25" s="1" t="s">
        <v>5589</v>
      </c>
      <c r="D25" s="1" t="s">
        <v>5593</v>
      </c>
      <c r="E25" s="3">
        <v>46216</v>
      </c>
      <c r="F25" s="1">
        <v>30</v>
      </c>
      <c r="G25" s="1">
        <v>1</v>
      </c>
      <c r="H25" s="1">
        <f t="shared" si="0"/>
        <v>60</v>
      </c>
    </row>
    <row r="26" spans="1:8" ht="18" customHeight="1" x14ac:dyDescent="0.25">
      <c r="A26" s="1" t="s">
        <v>5919</v>
      </c>
      <c r="B26" s="1" t="s">
        <v>3159</v>
      </c>
      <c r="C26" s="1" t="s">
        <v>5589</v>
      </c>
      <c r="D26" s="1" t="s">
        <v>5595</v>
      </c>
      <c r="E26" s="3">
        <v>46216</v>
      </c>
      <c r="F26" s="1">
        <v>30</v>
      </c>
      <c r="G26" s="1">
        <v>1</v>
      </c>
      <c r="H26" s="1">
        <f t="shared" si="0"/>
        <v>60</v>
      </c>
    </row>
    <row r="27" spans="1:8" ht="18" customHeight="1" x14ac:dyDescent="0.25">
      <c r="A27" s="1" t="s">
        <v>5875</v>
      </c>
      <c r="B27" s="1" t="s">
        <v>3073</v>
      </c>
      <c r="C27" s="1" t="s">
        <v>5589</v>
      </c>
      <c r="D27" s="1" t="s">
        <v>5595</v>
      </c>
      <c r="E27" s="3">
        <v>46215</v>
      </c>
      <c r="F27" s="1">
        <v>30</v>
      </c>
      <c r="G27" s="1">
        <v>1</v>
      </c>
      <c r="H27" s="1">
        <f t="shared" si="0"/>
        <v>60</v>
      </c>
    </row>
    <row r="28" spans="1:8" ht="18" customHeight="1" x14ac:dyDescent="0.25">
      <c r="A28" s="1" t="s">
        <v>6058</v>
      </c>
      <c r="B28" s="1" t="s">
        <v>3389</v>
      </c>
      <c r="C28" s="1" t="s">
        <v>5589</v>
      </c>
      <c r="D28" s="1" t="s">
        <v>5590</v>
      </c>
      <c r="E28" s="3">
        <v>46213</v>
      </c>
      <c r="F28" s="1">
        <v>30</v>
      </c>
      <c r="G28" s="1">
        <v>1</v>
      </c>
      <c r="H28" s="1">
        <f t="shared" si="0"/>
        <v>60</v>
      </c>
    </row>
    <row r="29" spans="1:8" ht="18" customHeight="1" x14ac:dyDescent="0.25">
      <c r="A29" s="1" t="s">
        <v>5724</v>
      </c>
      <c r="B29" s="1" t="s">
        <v>2576</v>
      </c>
      <c r="C29" s="1" t="s">
        <v>5602</v>
      </c>
      <c r="D29" s="1" t="s">
        <v>5590</v>
      </c>
      <c r="E29" s="3">
        <v>46212</v>
      </c>
      <c r="F29" s="1">
        <v>30</v>
      </c>
      <c r="G29" s="1">
        <v>1</v>
      </c>
      <c r="H29" s="1">
        <f t="shared" si="0"/>
        <v>60</v>
      </c>
    </row>
    <row r="30" spans="1:8" ht="18" customHeight="1" x14ac:dyDescent="0.25">
      <c r="A30" s="1" t="s">
        <v>5664</v>
      </c>
      <c r="B30" s="1" t="s">
        <v>2372</v>
      </c>
      <c r="C30" s="1" t="s">
        <v>5592</v>
      </c>
      <c r="D30" s="1" t="s">
        <v>5598</v>
      </c>
      <c r="E30" s="3">
        <v>46210</v>
      </c>
      <c r="F30" s="1">
        <v>30</v>
      </c>
      <c r="G30" s="1">
        <v>1</v>
      </c>
      <c r="H30" s="1">
        <f t="shared" si="0"/>
        <v>60</v>
      </c>
    </row>
    <row r="31" spans="1:8" ht="18" customHeight="1" x14ac:dyDescent="0.25">
      <c r="A31" s="1" t="s">
        <v>5720</v>
      </c>
      <c r="B31" s="1" t="s">
        <v>2564</v>
      </c>
      <c r="C31" s="1" t="s">
        <v>5602</v>
      </c>
      <c r="D31" s="1" t="s">
        <v>5590</v>
      </c>
      <c r="E31" s="3">
        <v>46205</v>
      </c>
      <c r="F31" s="1">
        <v>30</v>
      </c>
      <c r="G31" s="1">
        <v>1</v>
      </c>
      <c r="H31" s="1">
        <f t="shared" si="0"/>
        <v>60</v>
      </c>
    </row>
    <row r="32" spans="1:8" ht="18" customHeight="1" x14ac:dyDescent="0.25">
      <c r="A32" s="1" t="s">
        <v>5611</v>
      </c>
      <c r="B32" s="1" t="s">
        <v>2159</v>
      </c>
      <c r="C32" s="1" t="s">
        <v>5602</v>
      </c>
      <c r="D32" s="1" t="s">
        <v>5595</v>
      </c>
      <c r="E32" s="3">
        <v>46204</v>
      </c>
      <c r="F32" s="1">
        <v>30</v>
      </c>
      <c r="G32" s="1">
        <v>1</v>
      </c>
      <c r="H32" s="1">
        <f t="shared" si="0"/>
        <v>60</v>
      </c>
    </row>
    <row r="33" spans="1:8" ht="18" customHeight="1" x14ac:dyDescent="0.25">
      <c r="A33" s="1" t="s">
        <v>5762</v>
      </c>
      <c r="B33" s="1" t="s">
        <v>2703</v>
      </c>
      <c r="C33" s="1" t="s">
        <v>5597</v>
      </c>
      <c r="D33" s="1" t="s">
        <v>5595</v>
      </c>
      <c r="E33" s="3">
        <v>46197</v>
      </c>
      <c r="F33" s="1">
        <v>30</v>
      </c>
      <c r="G33" s="1">
        <v>1</v>
      </c>
      <c r="H33" s="1">
        <f t="shared" si="0"/>
        <v>60</v>
      </c>
    </row>
    <row r="34" spans="1:8" ht="18" customHeight="1" x14ac:dyDescent="0.25">
      <c r="A34" s="1" t="s">
        <v>5619</v>
      </c>
      <c r="B34" s="1" t="s">
        <v>2200</v>
      </c>
      <c r="C34" s="1" t="s">
        <v>5602</v>
      </c>
      <c r="D34" s="1" t="s">
        <v>5590</v>
      </c>
      <c r="E34" s="3">
        <v>46196</v>
      </c>
      <c r="F34" s="1">
        <v>30</v>
      </c>
      <c r="G34" s="1">
        <v>1</v>
      </c>
      <c r="H34" s="1">
        <f t="shared" si="0"/>
        <v>60</v>
      </c>
    </row>
    <row r="35" spans="1:8" ht="18" customHeight="1" x14ac:dyDescent="0.25">
      <c r="A35" s="1" t="s">
        <v>5879</v>
      </c>
      <c r="B35" s="1" t="s">
        <v>3081</v>
      </c>
      <c r="C35" s="1" t="s">
        <v>5597</v>
      </c>
      <c r="D35" s="1" t="s">
        <v>5598</v>
      </c>
      <c r="E35" s="3">
        <v>46189</v>
      </c>
      <c r="F35" s="1">
        <v>30</v>
      </c>
      <c r="G35" s="1">
        <v>1</v>
      </c>
      <c r="H35" s="1">
        <f t="shared" si="0"/>
        <v>60</v>
      </c>
    </row>
    <row r="36" spans="1:8" ht="18" customHeight="1" x14ac:dyDescent="0.25">
      <c r="A36" s="1" t="s">
        <v>5821</v>
      </c>
      <c r="B36" s="1" t="s">
        <v>2901</v>
      </c>
      <c r="C36" s="1" t="s">
        <v>5597</v>
      </c>
      <c r="D36" s="1" t="s">
        <v>5595</v>
      </c>
      <c r="E36" s="3">
        <v>46179</v>
      </c>
      <c r="F36" s="1">
        <v>30</v>
      </c>
      <c r="G36" s="1">
        <v>1</v>
      </c>
      <c r="H36" s="1">
        <f t="shared" si="0"/>
        <v>60</v>
      </c>
    </row>
    <row r="37" spans="1:8" ht="18" customHeight="1" x14ac:dyDescent="0.25">
      <c r="A37" s="1" t="s">
        <v>6003</v>
      </c>
      <c r="B37" s="1" t="s">
        <v>3300</v>
      </c>
      <c r="C37" s="1" t="s">
        <v>5592</v>
      </c>
      <c r="D37" s="1" t="s">
        <v>5593</v>
      </c>
      <c r="E37" s="3">
        <v>46174</v>
      </c>
      <c r="F37" s="1">
        <v>30</v>
      </c>
      <c r="G37" s="1">
        <v>1</v>
      </c>
      <c r="H37" s="1">
        <f t="shared" si="0"/>
        <v>60</v>
      </c>
    </row>
    <row r="38" spans="1:8" ht="18" customHeight="1" x14ac:dyDescent="0.25">
      <c r="A38" s="1" t="s">
        <v>5983</v>
      </c>
      <c r="B38" s="1" t="s">
        <v>3266</v>
      </c>
      <c r="C38" s="1" t="s">
        <v>5602</v>
      </c>
      <c r="D38" s="1" t="s">
        <v>5593</v>
      </c>
      <c r="E38" s="3">
        <v>46172</v>
      </c>
      <c r="F38" s="1">
        <v>30</v>
      </c>
      <c r="G38" s="1">
        <v>1</v>
      </c>
      <c r="H38" s="1">
        <f t="shared" si="0"/>
        <v>60</v>
      </c>
    </row>
    <row r="39" spans="1:8" ht="18" customHeight="1" x14ac:dyDescent="0.25">
      <c r="A39" s="1" t="s">
        <v>5867</v>
      </c>
      <c r="B39" s="1" t="s">
        <v>3057</v>
      </c>
      <c r="C39" s="1" t="s">
        <v>5597</v>
      </c>
      <c r="D39" s="1" t="s">
        <v>5590</v>
      </c>
      <c r="E39" s="3">
        <v>46170</v>
      </c>
      <c r="F39" s="1">
        <v>30</v>
      </c>
      <c r="G39" s="1">
        <v>1</v>
      </c>
      <c r="H39" s="1">
        <f t="shared" si="0"/>
        <v>60</v>
      </c>
    </row>
    <row r="40" spans="1:8" ht="18" customHeight="1" x14ac:dyDescent="0.25">
      <c r="A40" s="1" t="s">
        <v>6013</v>
      </c>
      <c r="B40" s="1" t="s">
        <v>3318</v>
      </c>
      <c r="C40" s="1" t="s">
        <v>5597</v>
      </c>
      <c r="D40" s="1" t="s">
        <v>5595</v>
      </c>
      <c r="E40" s="3">
        <v>46169</v>
      </c>
      <c r="F40" s="1">
        <v>30</v>
      </c>
      <c r="G40" s="1">
        <v>1</v>
      </c>
      <c r="H40" s="1">
        <f t="shared" si="0"/>
        <v>60</v>
      </c>
    </row>
    <row r="41" spans="1:8" ht="18" customHeight="1" x14ac:dyDescent="0.25">
      <c r="A41" s="1" t="s">
        <v>5787</v>
      </c>
      <c r="B41" s="1" t="s">
        <v>2805</v>
      </c>
      <c r="C41" s="1" t="s">
        <v>5597</v>
      </c>
      <c r="D41" s="1" t="s">
        <v>5598</v>
      </c>
      <c r="E41" s="3">
        <v>46165</v>
      </c>
      <c r="F41" s="1">
        <v>30</v>
      </c>
      <c r="G41" s="1">
        <v>1</v>
      </c>
      <c r="H41" s="1">
        <f t="shared" si="0"/>
        <v>60</v>
      </c>
    </row>
    <row r="42" spans="1:8" ht="18" customHeight="1" x14ac:dyDescent="0.25">
      <c r="A42" s="1" t="s">
        <v>5650</v>
      </c>
      <c r="B42" s="1" t="s">
        <v>2322</v>
      </c>
      <c r="C42" s="1" t="s">
        <v>5602</v>
      </c>
      <c r="D42" s="1" t="s">
        <v>5598</v>
      </c>
      <c r="E42" s="3">
        <v>46163</v>
      </c>
      <c r="F42" s="1">
        <v>30</v>
      </c>
      <c r="G42" s="1">
        <v>1</v>
      </c>
      <c r="H42" s="1">
        <f t="shared" si="0"/>
        <v>60</v>
      </c>
    </row>
    <row r="43" spans="1:8" ht="18" customHeight="1" x14ac:dyDescent="0.25">
      <c r="A43" s="1" t="s">
        <v>5669</v>
      </c>
      <c r="B43" s="1" t="s">
        <v>2394</v>
      </c>
      <c r="C43" s="1" t="s">
        <v>5592</v>
      </c>
      <c r="D43" s="1" t="s">
        <v>5593</v>
      </c>
      <c r="E43" s="3">
        <v>46158</v>
      </c>
      <c r="F43" s="1">
        <v>30</v>
      </c>
      <c r="G43" s="1">
        <v>1</v>
      </c>
      <c r="H43" s="1">
        <f t="shared" si="0"/>
        <v>60</v>
      </c>
    </row>
    <row r="44" spans="1:8" ht="18" customHeight="1" x14ac:dyDescent="0.25">
      <c r="A44" s="1" t="s">
        <v>5750</v>
      </c>
      <c r="B44" s="1" t="s">
        <v>2656</v>
      </c>
      <c r="C44" s="1" t="s">
        <v>5597</v>
      </c>
      <c r="D44" s="1" t="s">
        <v>5593</v>
      </c>
      <c r="E44" s="3">
        <v>46155</v>
      </c>
      <c r="F44" s="1">
        <v>30</v>
      </c>
      <c r="G44" s="1">
        <v>1</v>
      </c>
      <c r="H44" s="1">
        <f t="shared" si="0"/>
        <v>60</v>
      </c>
    </row>
    <row r="45" spans="1:8" ht="18" customHeight="1" x14ac:dyDescent="0.25">
      <c r="A45" s="1" t="s">
        <v>5837</v>
      </c>
      <c r="B45" s="1" t="s">
        <v>2961</v>
      </c>
      <c r="C45" s="1" t="s">
        <v>5592</v>
      </c>
      <c r="D45" s="1" t="s">
        <v>5595</v>
      </c>
      <c r="E45" s="3">
        <v>46152</v>
      </c>
      <c r="F45" s="1">
        <v>30</v>
      </c>
      <c r="G45" s="1">
        <v>1</v>
      </c>
      <c r="H45" s="1">
        <f t="shared" si="0"/>
        <v>60</v>
      </c>
    </row>
    <row r="46" spans="1:8" ht="18" customHeight="1" x14ac:dyDescent="0.25">
      <c r="A46" s="1" t="s">
        <v>5651</v>
      </c>
      <c r="B46" s="1" t="s">
        <v>2326</v>
      </c>
      <c r="C46" s="1" t="s">
        <v>5592</v>
      </c>
      <c r="D46" s="1" t="s">
        <v>5598</v>
      </c>
      <c r="E46" s="3">
        <v>46151</v>
      </c>
      <c r="F46" s="1">
        <v>30</v>
      </c>
      <c r="G46" s="1">
        <v>1</v>
      </c>
      <c r="H46" s="1">
        <f t="shared" si="0"/>
        <v>60</v>
      </c>
    </row>
    <row r="47" spans="1:8" ht="18" customHeight="1" x14ac:dyDescent="0.25">
      <c r="A47" s="1" t="s">
        <v>5995</v>
      </c>
      <c r="B47" s="1" t="s">
        <v>3287</v>
      </c>
      <c r="C47" s="1" t="s">
        <v>5592</v>
      </c>
      <c r="D47" s="1" t="s">
        <v>5598</v>
      </c>
      <c r="E47" s="3">
        <v>46150</v>
      </c>
      <c r="F47" s="1">
        <v>30</v>
      </c>
      <c r="G47" s="1">
        <v>1</v>
      </c>
      <c r="H47" s="1">
        <f t="shared" si="0"/>
        <v>60</v>
      </c>
    </row>
    <row r="48" spans="1:8" ht="18" customHeight="1" x14ac:dyDescent="0.25">
      <c r="A48" s="1" t="s">
        <v>5890</v>
      </c>
      <c r="B48" s="1" t="s">
        <v>3102</v>
      </c>
      <c r="C48" s="1" t="s">
        <v>5592</v>
      </c>
      <c r="D48" s="1" t="s">
        <v>5595</v>
      </c>
      <c r="E48" s="3">
        <v>46149</v>
      </c>
      <c r="F48" s="1">
        <v>30</v>
      </c>
      <c r="G48" s="1">
        <v>1</v>
      </c>
      <c r="H48" s="1">
        <f t="shared" si="0"/>
        <v>60</v>
      </c>
    </row>
    <row r="49" spans="1:8" ht="18" customHeight="1" x14ac:dyDescent="0.25">
      <c r="A49" s="1" t="s">
        <v>6008</v>
      </c>
      <c r="B49" s="1" t="s">
        <v>3309</v>
      </c>
      <c r="C49" s="1" t="s">
        <v>5602</v>
      </c>
      <c r="D49" s="1" t="s">
        <v>5593</v>
      </c>
      <c r="E49" s="3">
        <v>46147</v>
      </c>
      <c r="F49" s="1">
        <v>30</v>
      </c>
      <c r="G49" s="1">
        <v>1</v>
      </c>
      <c r="H49" s="1">
        <f t="shared" si="0"/>
        <v>60</v>
      </c>
    </row>
    <row r="50" spans="1:8" ht="18" customHeight="1" x14ac:dyDescent="0.25">
      <c r="A50" s="1" t="s">
        <v>5833</v>
      </c>
      <c r="B50" s="1" t="s">
        <v>2946</v>
      </c>
      <c r="C50" s="1" t="s">
        <v>5602</v>
      </c>
      <c r="D50" s="1" t="s">
        <v>5595</v>
      </c>
      <c r="E50" s="3">
        <v>46145</v>
      </c>
      <c r="F50" s="1">
        <v>30</v>
      </c>
      <c r="G50" s="1">
        <v>1</v>
      </c>
      <c r="H50" s="1">
        <f t="shared" si="0"/>
        <v>60</v>
      </c>
    </row>
    <row r="51" spans="1:8" ht="18" customHeight="1" x14ac:dyDescent="0.25">
      <c r="A51" s="1" t="s">
        <v>5916</v>
      </c>
      <c r="B51" s="1" t="s">
        <v>3153</v>
      </c>
      <c r="C51" s="1" t="s">
        <v>5597</v>
      </c>
      <c r="D51" s="1" t="s">
        <v>5595</v>
      </c>
      <c r="E51" s="3">
        <v>46144</v>
      </c>
      <c r="F51" s="1">
        <v>30</v>
      </c>
      <c r="G51" s="1">
        <v>1</v>
      </c>
      <c r="H51" s="1">
        <f t="shared" si="0"/>
        <v>60</v>
      </c>
    </row>
    <row r="52" spans="1:8" ht="18" customHeight="1" x14ac:dyDescent="0.25">
      <c r="A52" s="1" t="s">
        <v>5969</v>
      </c>
      <c r="B52" s="1" t="s">
        <v>3244</v>
      </c>
      <c r="C52" s="1" t="s">
        <v>5592</v>
      </c>
      <c r="D52" s="1" t="s">
        <v>5595</v>
      </c>
      <c r="E52" s="3">
        <v>46140</v>
      </c>
      <c r="F52" s="1">
        <v>30</v>
      </c>
      <c r="G52" s="1">
        <v>1</v>
      </c>
      <c r="H52" s="1">
        <f t="shared" si="0"/>
        <v>60</v>
      </c>
    </row>
    <row r="53" spans="1:8" ht="18" customHeight="1" x14ac:dyDescent="0.25">
      <c r="A53" s="1" t="s">
        <v>5930</v>
      </c>
      <c r="B53" s="1" t="s">
        <v>3178</v>
      </c>
      <c r="C53" s="1" t="s">
        <v>5602</v>
      </c>
      <c r="D53" s="1" t="s">
        <v>5590</v>
      </c>
      <c r="E53" s="3">
        <v>46135</v>
      </c>
      <c r="F53" s="1">
        <v>30</v>
      </c>
      <c r="G53" s="1">
        <v>1</v>
      </c>
      <c r="H53" s="1">
        <f t="shared" si="0"/>
        <v>60</v>
      </c>
    </row>
    <row r="54" spans="1:8" ht="18" customHeight="1" x14ac:dyDescent="0.25">
      <c r="A54" s="1" t="s">
        <v>6067</v>
      </c>
      <c r="B54" s="1" t="s">
        <v>3402</v>
      </c>
      <c r="C54" s="1" t="s">
        <v>5592</v>
      </c>
      <c r="D54" s="1" t="s">
        <v>5595</v>
      </c>
      <c r="E54" s="3">
        <v>46134</v>
      </c>
      <c r="F54" s="1">
        <v>30</v>
      </c>
      <c r="G54" s="1">
        <v>1</v>
      </c>
      <c r="H54" s="1">
        <f t="shared" si="0"/>
        <v>60</v>
      </c>
    </row>
    <row r="55" spans="1:8" ht="18" customHeight="1" x14ac:dyDescent="0.25">
      <c r="A55" s="1" t="s">
        <v>5915</v>
      </c>
      <c r="B55" s="1" t="s">
        <v>3151</v>
      </c>
      <c r="C55" s="1" t="s">
        <v>5602</v>
      </c>
      <c r="D55" s="1" t="s">
        <v>5590</v>
      </c>
      <c r="E55" s="3">
        <v>46124</v>
      </c>
      <c r="F55" s="1">
        <v>30</v>
      </c>
      <c r="G55" s="1">
        <v>1</v>
      </c>
      <c r="H55" s="1">
        <f t="shared" si="0"/>
        <v>60</v>
      </c>
    </row>
    <row r="56" spans="1:8" ht="18" customHeight="1" x14ac:dyDescent="0.25">
      <c r="A56" s="1" t="s">
        <v>6044</v>
      </c>
      <c r="B56" s="1" t="s">
        <v>3368</v>
      </c>
      <c r="C56" s="1" t="s">
        <v>5592</v>
      </c>
      <c r="D56" s="1" t="s">
        <v>5590</v>
      </c>
      <c r="E56" s="3">
        <v>46120</v>
      </c>
      <c r="F56" s="1">
        <v>30</v>
      </c>
      <c r="G56" s="1">
        <v>1</v>
      </c>
      <c r="H56" s="1">
        <f t="shared" si="0"/>
        <v>60</v>
      </c>
    </row>
    <row r="57" spans="1:8" ht="18" customHeight="1" x14ac:dyDescent="0.25">
      <c r="A57" s="1" t="s">
        <v>5948</v>
      </c>
      <c r="B57" s="1" t="s">
        <v>3207</v>
      </c>
      <c r="C57" s="1" t="s">
        <v>5589</v>
      </c>
      <c r="D57" s="1" t="s">
        <v>5598</v>
      </c>
      <c r="E57" s="3">
        <v>46115</v>
      </c>
      <c r="F57" s="1">
        <v>30</v>
      </c>
      <c r="G57" s="1">
        <v>1</v>
      </c>
      <c r="H57" s="1">
        <f t="shared" si="0"/>
        <v>60</v>
      </c>
    </row>
    <row r="58" spans="1:8" ht="18" customHeight="1" x14ac:dyDescent="0.25">
      <c r="A58" s="1" t="s">
        <v>5691</v>
      </c>
      <c r="B58" s="1" t="s">
        <v>2479</v>
      </c>
      <c r="C58" s="1" t="s">
        <v>5589</v>
      </c>
      <c r="D58" s="1" t="s">
        <v>5598</v>
      </c>
      <c r="E58" s="3">
        <v>46108</v>
      </c>
      <c r="F58" s="1">
        <v>30</v>
      </c>
      <c r="G58" s="1">
        <v>1</v>
      </c>
      <c r="H58" s="1">
        <f t="shared" si="0"/>
        <v>60</v>
      </c>
    </row>
    <row r="59" spans="1:8" ht="18" customHeight="1" x14ac:dyDescent="0.25">
      <c r="A59" s="1" t="s">
        <v>6064</v>
      </c>
      <c r="B59" s="1" t="s">
        <v>3398</v>
      </c>
      <c r="C59" s="1" t="s">
        <v>5602</v>
      </c>
      <c r="D59" s="1" t="s">
        <v>5598</v>
      </c>
      <c r="E59" s="3">
        <v>46105</v>
      </c>
      <c r="F59" s="1">
        <v>30</v>
      </c>
      <c r="G59" s="1">
        <v>1</v>
      </c>
      <c r="H59" s="1">
        <f t="shared" si="0"/>
        <v>60</v>
      </c>
    </row>
    <row r="60" spans="1:8" ht="18" customHeight="1" x14ac:dyDescent="0.25">
      <c r="A60" s="1" t="s">
        <v>5827</v>
      </c>
      <c r="B60" s="1" t="s">
        <v>2920</v>
      </c>
      <c r="C60" s="1" t="s">
        <v>5597</v>
      </c>
      <c r="D60" s="1" t="s">
        <v>5595</v>
      </c>
      <c r="E60" s="3">
        <v>46098</v>
      </c>
      <c r="F60" s="1">
        <v>30</v>
      </c>
      <c r="G60" s="1">
        <v>1</v>
      </c>
      <c r="H60" s="1">
        <f t="shared" si="0"/>
        <v>60</v>
      </c>
    </row>
    <row r="61" spans="1:8" ht="18" customHeight="1" x14ac:dyDescent="0.25">
      <c r="A61" s="1" t="s">
        <v>6026</v>
      </c>
      <c r="B61" s="1" t="s">
        <v>3339</v>
      </c>
      <c r="C61" s="1" t="s">
        <v>5592</v>
      </c>
      <c r="D61" s="1" t="s">
        <v>5590</v>
      </c>
      <c r="E61" s="3">
        <v>46088</v>
      </c>
      <c r="F61" s="1">
        <v>30</v>
      </c>
      <c r="G61" s="1">
        <v>1</v>
      </c>
      <c r="H61" s="1">
        <f t="shared" si="0"/>
        <v>60</v>
      </c>
    </row>
    <row r="62" spans="1:8" ht="18" customHeight="1" x14ac:dyDescent="0.25">
      <c r="A62" s="1" t="s">
        <v>5955</v>
      </c>
      <c r="B62" s="1" t="s">
        <v>3218</v>
      </c>
      <c r="C62" s="1" t="s">
        <v>5589</v>
      </c>
      <c r="D62" s="1" t="s">
        <v>5590</v>
      </c>
      <c r="E62" s="3">
        <v>46081</v>
      </c>
      <c r="F62" s="1">
        <v>30</v>
      </c>
      <c r="G62" s="1">
        <v>1</v>
      </c>
      <c r="H62" s="1">
        <f t="shared" si="0"/>
        <v>60</v>
      </c>
    </row>
    <row r="63" spans="1:8" ht="18" customHeight="1" x14ac:dyDescent="0.25">
      <c r="A63" s="1" t="s">
        <v>5806</v>
      </c>
      <c r="B63" s="1" t="s">
        <v>2862</v>
      </c>
      <c r="C63" s="1" t="s">
        <v>5597</v>
      </c>
      <c r="D63" s="1" t="s">
        <v>5595</v>
      </c>
      <c r="E63" s="3">
        <v>46079</v>
      </c>
      <c r="F63" s="1">
        <v>30</v>
      </c>
      <c r="G63" s="1">
        <v>1</v>
      </c>
      <c r="H63" s="1">
        <f t="shared" si="0"/>
        <v>60</v>
      </c>
    </row>
    <row r="64" spans="1:8" ht="18" customHeight="1" x14ac:dyDescent="0.25">
      <c r="A64" s="1" t="s">
        <v>6043</v>
      </c>
      <c r="B64" s="1" t="s">
        <v>3366</v>
      </c>
      <c r="C64" s="1" t="s">
        <v>5589</v>
      </c>
      <c r="D64" s="1" t="s">
        <v>5593</v>
      </c>
      <c r="E64" s="3">
        <v>46076</v>
      </c>
      <c r="F64" s="1">
        <v>30</v>
      </c>
      <c r="G64" s="1">
        <v>1</v>
      </c>
      <c r="H64" s="1">
        <f t="shared" si="0"/>
        <v>60</v>
      </c>
    </row>
    <row r="65" spans="1:8" ht="18" customHeight="1" x14ac:dyDescent="0.25">
      <c r="A65" s="1" t="s">
        <v>5981</v>
      </c>
      <c r="B65" s="1" t="s">
        <v>3264</v>
      </c>
      <c r="C65" s="1" t="s">
        <v>5589</v>
      </c>
      <c r="D65" s="1" t="s">
        <v>5598</v>
      </c>
      <c r="E65" s="3">
        <v>46071</v>
      </c>
      <c r="F65" s="1">
        <v>30</v>
      </c>
      <c r="G65" s="1">
        <v>1</v>
      </c>
      <c r="H65" s="1">
        <f t="shared" si="0"/>
        <v>60</v>
      </c>
    </row>
    <row r="66" spans="1:8" ht="18" customHeight="1" x14ac:dyDescent="0.25">
      <c r="A66" s="1" t="s">
        <v>5722</v>
      </c>
      <c r="B66" s="1" t="s">
        <v>2568</v>
      </c>
      <c r="C66" s="1" t="s">
        <v>5597</v>
      </c>
      <c r="D66" s="1" t="s">
        <v>5593</v>
      </c>
      <c r="E66" s="3">
        <v>46070</v>
      </c>
      <c r="F66" s="1">
        <v>30</v>
      </c>
      <c r="G66" s="1">
        <v>1</v>
      </c>
      <c r="H66" s="1">
        <f t="shared" ref="H66:H129" si="1">F66*(G66+1)</f>
        <v>60</v>
      </c>
    </row>
    <row r="67" spans="1:8" ht="18" customHeight="1" x14ac:dyDescent="0.25">
      <c r="A67" s="1" t="s">
        <v>5918</v>
      </c>
      <c r="B67" s="1" t="s">
        <v>3157</v>
      </c>
      <c r="C67" s="1" t="s">
        <v>5592</v>
      </c>
      <c r="D67" s="1" t="s">
        <v>5595</v>
      </c>
      <c r="E67" s="3">
        <v>46069</v>
      </c>
      <c r="F67" s="1">
        <v>30</v>
      </c>
      <c r="G67" s="1">
        <v>1</v>
      </c>
      <c r="H67" s="1">
        <f t="shared" si="1"/>
        <v>60</v>
      </c>
    </row>
    <row r="68" spans="1:8" ht="18" customHeight="1" x14ac:dyDescent="0.25">
      <c r="A68" s="1" t="s">
        <v>5997</v>
      </c>
      <c r="B68" s="1" t="s">
        <v>3291</v>
      </c>
      <c r="C68" s="1" t="s">
        <v>5589</v>
      </c>
      <c r="D68" s="1" t="s">
        <v>5595</v>
      </c>
      <c r="E68" s="3">
        <v>46068</v>
      </c>
      <c r="F68" s="1">
        <v>30</v>
      </c>
      <c r="G68" s="1">
        <v>1</v>
      </c>
      <c r="H68" s="1">
        <f t="shared" si="1"/>
        <v>60</v>
      </c>
    </row>
    <row r="69" spans="1:8" ht="18" customHeight="1" x14ac:dyDescent="0.25">
      <c r="A69" s="1" t="s">
        <v>5870</v>
      </c>
      <c r="B69" s="1" t="s">
        <v>3063</v>
      </c>
      <c r="C69" s="1" t="s">
        <v>5597</v>
      </c>
      <c r="D69" s="1" t="s">
        <v>5595</v>
      </c>
      <c r="E69" s="3">
        <v>46065</v>
      </c>
      <c r="F69" s="1">
        <v>30</v>
      </c>
      <c r="G69" s="1">
        <v>1</v>
      </c>
      <c r="H69" s="1">
        <f t="shared" si="1"/>
        <v>60</v>
      </c>
    </row>
    <row r="70" spans="1:8" ht="18" customHeight="1" x14ac:dyDescent="0.25">
      <c r="A70" s="1" t="s">
        <v>6033</v>
      </c>
      <c r="B70" s="1" t="s">
        <v>3349</v>
      </c>
      <c r="C70" s="1" t="s">
        <v>5589</v>
      </c>
      <c r="D70" s="1" t="s">
        <v>5598</v>
      </c>
      <c r="E70" s="3">
        <v>46064</v>
      </c>
      <c r="F70" s="1">
        <v>30</v>
      </c>
      <c r="G70" s="1">
        <v>1</v>
      </c>
      <c r="H70" s="1">
        <f t="shared" si="1"/>
        <v>60</v>
      </c>
    </row>
    <row r="71" spans="1:8" ht="18" customHeight="1" x14ac:dyDescent="0.25">
      <c r="A71" s="1" t="s">
        <v>6047</v>
      </c>
      <c r="B71" s="1" t="s">
        <v>3372</v>
      </c>
      <c r="C71" s="1" t="s">
        <v>5592</v>
      </c>
      <c r="D71" s="1" t="s">
        <v>5598</v>
      </c>
      <c r="E71" s="3">
        <v>46063</v>
      </c>
      <c r="F71" s="1">
        <v>30</v>
      </c>
      <c r="G71" s="1">
        <v>1</v>
      </c>
      <c r="H71" s="1">
        <f t="shared" si="1"/>
        <v>60</v>
      </c>
    </row>
    <row r="72" spans="1:8" ht="18" customHeight="1" x14ac:dyDescent="0.25">
      <c r="A72" s="1" t="s">
        <v>5769</v>
      </c>
      <c r="B72" s="1" t="s">
        <v>2743</v>
      </c>
      <c r="C72" s="1" t="s">
        <v>5597</v>
      </c>
      <c r="D72" s="1" t="s">
        <v>5598</v>
      </c>
      <c r="E72" s="3">
        <v>46055</v>
      </c>
      <c r="F72" s="1">
        <v>30</v>
      </c>
      <c r="G72" s="1">
        <v>1</v>
      </c>
      <c r="H72" s="1">
        <f t="shared" si="1"/>
        <v>60</v>
      </c>
    </row>
    <row r="73" spans="1:8" ht="18" customHeight="1" x14ac:dyDescent="0.25">
      <c r="A73" s="1" t="s">
        <v>5855</v>
      </c>
      <c r="B73" s="1" t="s">
        <v>3022</v>
      </c>
      <c r="C73" s="1" t="s">
        <v>5589</v>
      </c>
      <c r="D73" s="1" t="s">
        <v>5590</v>
      </c>
      <c r="E73" s="3">
        <v>46037</v>
      </c>
      <c r="F73" s="1">
        <v>30</v>
      </c>
      <c r="G73" s="1">
        <v>1</v>
      </c>
      <c r="H73" s="1">
        <f t="shared" si="1"/>
        <v>60</v>
      </c>
    </row>
    <row r="74" spans="1:8" ht="18" customHeight="1" x14ac:dyDescent="0.25">
      <c r="A74" s="1" t="s">
        <v>5927</v>
      </c>
      <c r="B74" s="1" t="s">
        <v>3173</v>
      </c>
      <c r="C74" s="1" t="s">
        <v>5589</v>
      </c>
      <c r="D74" s="1" t="s">
        <v>5593</v>
      </c>
      <c r="E74" s="3">
        <v>46031</v>
      </c>
      <c r="F74" s="1">
        <v>30</v>
      </c>
      <c r="G74" s="1">
        <v>1</v>
      </c>
      <c r="H74" s="1">
        <f t="shared" si="1"/>
        <v>60</v>
      </c>
    </row>
    <row r="75" spans="1:8" ht="18" customHeight="1" x14ac:dyDescent="0.25">
      <c r="A75" s="1" t="s">
        <v>5859</v>
      </c>
      <c r="B75" s="1" t="s">
        <v>3030</v>
      </c>
      <c r="C75" s="1" t="s">
        <v>5592</v>
      </c>
      <c r="D75" s="1" t="s">
        <v>5595</v>
      </c>
      <c r="E75" s="3">
        <v>46030</v>
      </c>
      <c r="F75" s="1">
        <v>30</v>
      </c>
      <c r="G75" s="1">
        <v>1</v>
      </c>
      <c r="H75" s="1">
        <f t="shared" si="1"/>
        <v>60</v>
      </c>
    </row>
    <row r="76" spans="1:8" ht="18" customHeight="1" x14ac:dyDescent="0.25">
      <c r="A76" s="1" t="s">
        <v>5864</v>
      </c>
      <c r="B76" s="1" t="s">
        <v>3051</v>
      </c>
      <c r="C76" s="1" t="s">
        <v>5597</v>
      </c>
      <c r="D76" s="1" t="s">
        <v>5593</v>
      </c>
      <c r="E76" s="3">
        <v>46028</v>
      </c>
      <c r="F76" s="1">
        <v>30</v>
      </c>
      <c r="G76" s="1">
        <v>1</v>
      </c>
      <c r="H76" s="1">
        <f t="shared" si="1"/>
        <v>60</v>
      </c>
    </row>
    <row r="77" spans="1:8" ht="18" customHeight="1" x14ac:dyDescent="0.25">
      <c r="A77" s="1" t="s">
        <v>5805</v>
      </c>
      <c r="B77" s="1" t="s">
        <v>2858</v>
      </c>
      <c r="C77" s="1" t="s">
        <v>5597</v>
      </c>
      <c r="D77" s="1" t="s">
        <v>5590</v>
      </c>
      <c r="E77" s="3">
        <v>46023</v>
      </c>
      <c r="F77" s="1">
        <v>30</v>
      </c>
      <c r="G77" s="1">
        <v>1</v>
      </c>
      <c r="H77" s="1">
        <f t="shared" si="1"/>
        <v>60</v>
      </c>
    </row>
    <row r="78" spans="1:8" ht="18" customHeight="1" x14ac:dyDescent="0.25">
      <c r="A78" s="1" t="s">
        <v>5826</v>
      </c>
      <c r="B78" s="1" t="s">
        <v>2916</v>
      </c>
      <c r="C78" s="1" t="s">
        <v>5589</v>
      </c>
      <c r="D78" s="1" t="s">
        <v>5590</v>
      </c>
      <c r="E78" s="3">
        <v>46008</v>
      </c>
      <c r="F78" s="1">
        <v>30</v>
      </c>
      <c r="G78" s="1">
        <v>1</v>
      </c>
      <c r="H78" s="1">
        <f t="shared" si="1"/>
        <v>60</v>
      </c>
    </row>
    <row r="79" spans="1:8" ht="18" customHeight="1" x14ac:dyDescent="0.25">
      <c r="A79" s="1" t="s">
        <v>5718</v>
      </c>
      <c r="B79" s="1" t="s">
        <v>2558</v>
      </c>
      <c r="C79" s="1" t="s">
        <v>5589</v>
      </c>
      <c r="D79" s="1" t="s">
        <v>5598</v>
      </c>
      <c r="E79" s="3">
        <v>46007</v>
      </c>
      <c r="F79" s="1">
        <v>30</v>
      </c>
      <c r="G79" s="1">
        <v>1</v>
      </c>
      <c r="H79" s="1">
        <f t="shared" si="1"/>
        <v>60</v>
      </c>
    </row>
    <row r="80" spans="1:8" ht="18" customHeight="1" x14ac:dyDescent="0.25">
      <c r="A80" s="1" t="s">
        <v>5613</v>
      </c>
      <c r="B80" s="1" t="s">
        <v>2175</v>
      </c>
      <c r="C80" s="1" t="s">
        <v>5592</v>
      </c>
      <c r="D80" s="1" t="s">
        <v>5595</v>
      </c>
      <c r="E80" s="3">
        <v>45997</v>
      </c>
      <c r="F80" s="1">
        <v>30</v>
      </c>
      <c r="G80" s="1">
        <v>1</v>
      </c>
      <c r="H80" s="1">
        <f t="shared" si="1"/>
        <v>60</v>
      </c>
    </row>
    <row r="81" spans="1:8" ht="18" customHeight="1" x14ac:dyDescent="0.25">
      <c r="A81" s="1" t="s">
        <v>5607</v>
      </c>
      <c r="B81" s="1" t="s">
        <v>2142</v>
      </c>
      <c r="C81" s="1" t="s">
        <v>5589</v>
      </c>
      <c r="D81" s="1" t="s">
        <v>5590</v>
      </c>
      <c r="E81" s="3">
        <v>45995</v>
      </c>
      <c r="F81" s="1">
        <v>30</v>
      </c>
      <c r="G81" s="1">
        <v>1</v>
      </c>
      <c r="H81" s="1">
        <f t="shared" si="1"/>
        <v>60</v>
      </c>
    </row>
    <row r="82" spans="1:8" ht="18" customHeight="1" x14ac:dyDescent="0.25">
      <c r="A82" s="1" t="s">
        <v>5980</v>
      </c>
      <c r="B82" s="1" t="s">
        <v>3262</v>
      </c>
      <c r="C82" s="1" t="s">
        <v>5592</v>
      </c>
      <c r="D82" s="1" t="s">
        <v>5593</v>
      </c>
      <c r="E82" s="3">
        <v>45981</v>
      </c>
      <c r="F82" s="1">
        <v>30</v>
      </c>
      <c r="G82" s="1">
        <v>1</v>
      </c>
      <c r="H82" s="1">
        <f t="shared" si="1"/>
        <v>60</v>
      </c>
    </row>
    <row r="83" spans="1:8" ht="18" customHeight="1" x14ac:dyDescent="0.25">
      <c r="A83" s="1" t="s">
        <v>5841</v>
      </c>
      <c r="B83" s="1" t="s">
        <v>2981</v>
      </c>
      <c r="C83" s="1" t="s">
        <v>5597</v>
      </c>
      <c r="D83" s="1" t="s">
        <v>5593</v>
      </c>
      <c r="E83" s="3">
        <v>45979</v>
      </c>
      <c r="F83" s="1">
        <v>30</v>
      </c>
      <c r="G83" s="1">
        <v>1</v>
      </c>
      <c r="H83" s="1">
        <f t="shared" si="1"/>
        <v>60</v>
      </c>
    </row>
    <row r="84" spans="1:8" ht="18" customHeight="1" x14ac:dyDescent="0.25">
      <c r="A84" s="1" t="s">
        <v>5801</v>
      </c>
      <c r="B84" s="1" t="s">
        <v>2849</v>
      </c>
      <c r="C84" s="1" t="s">
        <v>5592</v>
      </c>
      <c r="D84" s="1" t="s">
        <v>5590</v>
      </c>
      <c r="E84" s="3">
        <v>45978</v>
      </c>
      <c r="F84" s="1">
        <v>30</v>
      </c>
      <c r="G84" s="1">
        <v>1</v>
      </c>
      <c r="H84" s="1">
        <f t="shared" si="1"/>
        <v>60</v>
      </c>
    </row>
    <row r="85" spans="1:8" ht="18" customHeight="1" x14ac:dyDescent="0.25">
      <c r="A85" s="1" t="s">
        <v>5640</v>
      </c>
      <c r="B85" s="1" t="s">
        <v>2286</v>
      </c>
      <c r="C85" s="1" t="s">
        <v>5592</v>
      </c>
      <c r="D85" s="1" t="s">
        <v>5590</v>
      </c>
      <c r="E85" s="3">
        <v>45975</v>
      </c>
      <c r="F85" s="1">
        <v>30</v>
      </c>
      <c r="G85" s="1">
        <v>1</v>
      </c>
      <c r="H85" s="1">
        <f t="shared" si="1"/>
        <v>60</v>
      </c>
    </row>
    <row r="86" spans="1:8" ht="18" customHeight="1" x14ac:dyDescent="0.25">
      <c r="A86" s="1" t="s">
        <v>5985</v>
      </c>
      <c r="B86" s="1" t="s">
        <v>3270</v>
      </c>
      <c r="C86" s="1" t="s">
        <v>5597</v>
      </c>
      <c r="D86" s="1" t="s">
        <v>5590</v>
      </c>
      <c r="E86" s="3">
        <v>45974</v>
      </c>
      <c r="F86" s="1">
        <v>30</v>
      </c>
      <c r="G86" s="1">
        <v>1</v>
      </c>
      <c r="H86" s="1">
        <f t="shared" si="1"/>
        <v>60</v>
      </c>
    </row>
    <row r="87" spans="1:8" ht="18" customHeight="1" x14ac:dyDescent="0.25">
      <c r="A87" s="1" t="s">
        <v>5899</v>
      </c>
      <c r="B87" s="1" t="s">
        <v>3121</v>
      </c>
      <c r="C87" s="1" t="s">
        <v>5597</v>
      </c>
      <c r="D87" s="1" t="s">
        <v>5595</v>
      </c>
      <c r="E87" s="3">
        <v>45973</v>
      </c>
      <c r="F87" s="1">
        <v>30</v>
      </c>
      <c r="G87" s="1">
        <v>1</v>
      </c>
      <c r="H87" s="1">
        <f t="shared" si="1"/>
        <v>60</v>
      </c>
    </row>
    <row r="88" spans="1:8" ht="18" customHeight="1" x14ac:dyDescent="0.25">
      <c r="A88" s="1" t="s">
        <v>5639</v>
      </c>
      <c r="B88" s="1" t="s">
        <v>2283</v>
      </c>
      <c r="C88" s="1" t="s">
        <v>5597</v>
      </c>
      <c r="D88" s="1" t="s">
        <v>5590</v>
      </c>
      <c r="E88" s="3">
        <v>45970</v>
      </c>
      <c r="F88" s="1">
        <v>30</v>
      </c>
      <c r="G88" s="1">
        <v>1</v>
      </c>
      <c r="H88" s="1">
        <f t="shared" si="1"/>
        <v>60</v>
      </c>
    </row>
    <row r="89" spans="1:8" ht="18" customHeight="1" x14ac:dyDescent="0.25">
      <c r="A89" s="1" t="s">
        <v>5962</v>
      </c>
      <c r="B89" s="1" t="s">
        <v>3231</v>
      </c>
      <c r="C89" s="1" t="s">
        <v>5597</v>
      </c>
      <c r="D89" s="1" t="s">
        <v>5595</v>
      </c>
      <c r="E89" s="3">
        <v>45968</v>
      </c>
      <c r="F89" s="1">
        <v>30</v>
      </c>
      <c r="G89" s="1">
        <v>1</v>
      </c>
      <c r="H89" s="1">
        <f t="shared" si="1"/>
        <v>60</v>
      </c>
    </row>
    <row r="90" spans="1:8" ht="18" customHeight="1" x14ac:dyDescent="0.25">
      <c r="A90" s="1" t="s">
        <v>5681</v>
      </c>
      <c r="B90" s="1" t="s">
        <v>2435</v>
      </c>
      <c r="C90" s="1" t="s">
        <v>5597</v>
      </c>
      <c r="D90" s="1" t="s">
        <v>5590</v>
      </c>
      <c r="E90" s="3">
        <v>45967</v>
      </c>
      <c r="F90" s="1">
        <v>30</v>
      </c>
      <c r="G90" s="1">
        <v>1</v>
      </c>
      <c r="H90" s="1">
        <f t="shared" si="1"/>
        <v>60</v>
      </c>
    </row>
    <row r="91" spans="1:8" ht="18" customHeight="1" x14ac:dyDescent="0.25">
      <c r="A91" s="1" t="s">
        <v>5823</v>
      </c>
      <c r="B91" s="1" t="s">
        <v>2905</v>
      </c>
      <c r="C91" s="1" t="s">
        <v>5589</v>
      </c>
      <c r="D91" s="1" t="s">
        <v>5598</v>
      </c>
      <c r="E91" s="3">
        <v>45963</v>
      </c>
      <c r="F91" s="1">
        <v>30</v>
      </c>
      <c r="G91" s="1">
        <v>1</v>
      </c>
      <c r="H91" s="1">
        <f t="shared" si="1"/>
        <v>60</v>
      </c>
    </row>
    <row r="92" spans="1:8" ht="18" customHeight="1" x14ac:dyDescent="0.25">
      <c r="A92" s="1" t="s">
        <v>5761</v>
      </c>
      <c r="B92" s="1" t="s">
        <v>2700</v>
      </c>
      <c r="C92" s="1" t="s">
        <v>5589</v>
      </c>
      <c r="D92" s="1" t="s">
        <v>5593</v>
      </c>
      <c r="E92" s="3">
        <v>45961</v>
      </c>
      <c r="F92" s="1">
        <v>30</v>
      </c>
      <c r="G92" s="1">
        <v>1</v>
      </c>
      <c r="H92" s="1">
        <f t="shared" si="1"/>
        <v>60</v>
      </c>
    </row>
    <row r="93" spans="1:8" ht="18" customHeight="1" x14ac:dyDescent="0.25">
      <c r="A93" s="1" t="s">
        <v>5987</v>
      </c>
      <c r="B93" s="1" t="s">
        <v>3274</v>
      </c>
      <c r="C93" s="1" t="s">
        <v>5592</v>
      </c>
      <c r="D93" s="1" t="s">
        <v>5593</v>
      </c>
      <c r="E93" s="3">
        <v>45960</v>
      </c>
      <c r="F93" s="1">
        <v>30</v>
      </c>
      <c r="G93" s="1">
        <v>1</v>
      </c>
      <c r="H93" s="1">
        <f t="shared" si="1"/>
        <v>60</v>
      </c>
    </row>
    <row r="94" spans="1:8" ht="18" customHeight="1" x14ac:dyDescent="0.25">
      <c r="A94" s="1" t="s">
        <v>5888</v>
      </c>
      <c r="B94" s="1" t="s">
        <v>3099</v>
      </c>
      <c r="C94" s="1" t="s">
        <v>5597</v>
      </c>
      <c r="D94" s="1" t="s">
        <v>5598</v>
      </c>
      <c r="E94" s="3">
        <v>45949</v>
      </c>
      <c r="F94" s="1">
        <v>30</v>
      </c>
      <c r="G94" s="1">
        <v>1</v>
      </c>
      <c r="H94" s="1">
        <f t="shared" si="1"/>
        <v>60</v>
      </c>
    </row>
    <row r="95" spans="1:8" ht="18" customHeight="1" x14ac:dyDescent="0.25">
      <c r="A95" s="1" t="s">
        <v>5942</v>
      </c>
      <c r="B95" s="1" t="s">
        <v>3198</v>
      </c>
      <c r="C95" s="1" t="s">
        <v>5592</v>
      </c>
      <c r="D95" s="1" t="s">
        <v>5593</v>
      </c>
      <c r="E95" s="3">
        <v>45949</v>
      </c>
      <c r="F95" s="1">
        <v>30</v>
      </c>
      <c r="G95" s="1">
        <v>1</v>
      </c>
      <c r="H95" s="1">
        <f t="shared" si="1"/>
        <v>60</v>
      </c>
    </row>
    <row r="96" spans="1:8" ht="18" customHeight="1" x14ac:dyDescent="0.25">
      <c r="A96" s="1" t="s">
        <v>5842</v>
      </c>
      <c r="B96" s="1" t="s">
        <v>2983</v>
      </c>
      <c r="C96" s="1" t="s">
        <v>5597</v>
      </c>
      <c r="D96" s="1" t="s">
        <v>5590</v>
      </c>
      <c r="E96" s="3">
        <v>45948</v>
      </c>
      <c r="F96" s="1">
        <v>30</v>
      </c>
      <c r="G96" s="1">
        <v>1</v>
      </c>
      <c r="H96" s="1">
        <f t="shared" si="1"/>
        <v>60</v>
      </c>
    </row>
    <row r="97" spans="1:8" ht="18" customHeight="1" x14ac:dyDescent="0.25">
      <c r="A97" s="1" t="s">
        <v>6076</v>
      </c>
      <c r="B97" s="1" t="s">
        <v>3416</v>
      </c>
      <c r="C97" s="1" t="s">
        <v>5597</v>
      </c>
      <c r="D97" s="1" t="s">
        <v>5598</v>
      </c>
      <c r="E97" s="3">
        <v>45947</v>
      </c>
      <c r="F97" s="1">
        <v>30</v>
      </c>
      <c r="G97" s="1">
        <v>1</v>
      </c>
      <c r="H97" s="1">
        <f t="shared" si="1"/>
        <v>60</v>
      </c>
    </row>
    <row r="98" spans="1:8" ht="18" customHeight="1" x14ac:dyDescent="0.25">
      <c r="A98" s="1" t="s">
        <v>5866</v>
      </c>
      <c r="B98" s="1" t="s">
        <v>3055</v>
      </c>
      <c r="C98" s="1" t="s">
        <v>5592</v>
      </c>
      <c r="D98" s="1" t="s">
        <v>5598</v>
      </c>
      <c r="E98" s="3">
        <v>45946</v>
      </c>
      <c r="F98" s="1">
        <v>30</v>
      </c>
      <c r="G98" s="1">
        <v>1</v>
      </c>
      <c r="H98" s="1">
        <f t="shared" si="1"/>
        <v>60</v>
      </c>
    </row>
    <row r="99" spans="1:8" ht="18" customHeight="1" x14ac:dyDescent="0.25">
      <c r="A99" s="1" t="s">
        <v>5869</v>
      </c>
      <c r="B99" s="1" t="s">
        <v>3061</v>
      </c>
      <c r="C99" s="1" t="s">
        <v>5597</v>
      </c>
      <c r="D99" s="1" t="s">
        <v>5595</v>
      </c>
      <c r="E99" s="3">
        <v>45945</v>
      </c>
      <c r="F99" s="1">
        <v>30</v>
      </c>
      <c r="G99" s="1">
        <v>1</v>
      </c>
      <c r="H99" s="1">
        <f t="shared" si="1"/>
        <v>60</v>
      </c>
    </row>
    <row r="100" spans="1:8" ht="18" customHeight="1" x14ac:dyDescent="0.25">
      <c r="A100" s="1" t="s">
        <v>5946</v>
      </c>
      <c r="B100" s="1" t="s">
        <v>3203</v>
      </c>
      <c r="C100" s="1" t="s">
        <v>5602</v>
      </c>
      <c r="D100" s="1" t="s">
        <v>5598</v>
      </c>
      <c r="E100" s="3">
        <v>45941</v>
      </c>
      <c r="F100" s="1">
        <v>30</v>
      </c>
      <c r="G100" s="1">
        <v>1</v>
      </c>
      <c r="H100" s="1">
        <f t="shared" si="1"/>
        <v>60</v>
      </c>
    </row>
    <row r="101" spans="1:8" ht="18" customHeight="1" x14ac:dyDescent="0.25">
      <c r="A101" s="1" t="s">
        <v>5917</v>
      </c>
      <c r="B101" s="1" t="s">
        <v>3155</v>
      </c>
      <c r="C101" s="1" t="s">
        <v>5592</v>
      </c>
      <c r="D101" s="1" t="s">
        <v>5590</v>
      </c>
      <c r="E101" s="3">
        <v>45940</v>
      </c>
      <c r="F101" s="1">
        <v>30</v>
      </c>
      <c r="G101" s="1">
        <v>1</v>
      </c>
      <c r="H101" s="1">
        <f t="shared" si="1"/>
        <v>60</v>
      </c>
    </row>
    <row r="102" spans="1:8" ht="18" customHeight="1" x14ac:dyDescent="0.25">
      <c r="A102" s="1" t="s">
        <v>6045</v>
      </c>
      <c r="B102" s="1" t="s">
        <v>3369</v>
      </c>
      <c r="C102" s="1" t="s">
        <v>5602</v>
      </c>
      <c r="D102" s="1" t="s">
        <v>5590</v>
      </c>
      <c r="E102" s="3">
        <v>45940</v>
      </c>
      <c r="F102" s="1">
        <v>30</v>
      </c>
      <c r="G102" s="1">
        <v>1</v>
      </c>
      <c r="H102" s="1">
        <f t="shared" si="1"/>
        <v>60</v>
      </c>
    </row>
    <row r="103" spans="1:8" ht="18" customHeight="1" x14ac:dyDescent="0.25">
      <c r="A103" s="1" t="s">
        <v>5775</v>
      </c>
      <c r="B103" s="1" t="s">
        <v>2765</v>
      </c>
      <c r="C103" s="1" t="s">
        <v>5597</v>
      </c>
      <c r="D103" s="1" t="s">
        <v>5590</v>
      </c>
      <c r="E103" s="3">
        <v>45939</v>
      </c>
      <c r="F103" s="1">
        <v>30</v>
      </c>
      <c r="G103" s="1">
        <v>1</v>
      </c>
      <c r="H103" s="1">
        <f t="shared" si="1"/>
        <v>60</v>
      </c>
    </row>
    <row r="104" spans="1:8" ht="18" customHeight="1" x14ac:dyDescent="0.25">
      <c r="A104" s="1" t="s">
        <v>6017</v>
      </c>
      <c r="B104" s="1" t="s">
        <v>3325</v>
      </c>
      <c r="C104" s="1" t="s">
        <v>5592</v>
      </c>
      <c r="D104" s="1" t="s">
        <v>5590</v>
      </c>
      <c r="E104" s="3">
        <v>45934</v>
      </c>
      <c r="F104" s="1">
        <v>30</v>
      </c>
      <c r="G104" s="1">
        <v>1</v>
      </c>
      <c r="H104" s="1">
        <f t="shared" si="1"/>
        <v>60</v>
      </c>
    </row>
    <row r="105" spans="1:8" ht="18" customHeight="1" x14ac:dyDescent="0.25">
      <c r="A105" s="1" t="s">
        <v>5910</v>
      </c>
      <c r="B105" s="1" t="s">
        <v>3141</v>
      </c>
      <c r="C105" s="1" t="s">
        <v>5589</v>
      </c>
      <c r="D105" s="1" t="s">
        <v>5593</v>
      </c>
      <c r="E105" s="3">
        <v>45929</v>
      </c>
      <c r="F105" s="1">
        <v>30</v>
      </c>
      <c r="G105" s="1">
        <v>1</v>
      </c>
      <c r="H105" s="1">
        <f t="shared" si="1"/>
        <v>60</v>
      </c>
    </row>
    <row r="106" spans="1:8" ht="18" customHeight="1" x14ac:dyDescent="0.25">
      <c r="A106" s="1" t="s">
        <v>6088</v>
      </c>
      <c r="B106" s="1" t="s">
        <v>3438</v>
      </c>
      <c r="C106" s="1" t="s">
        <v>5602</v>
      </c>
      <c r="D106" s="1" t="s">
        <v>5598</v>
      </c>
      <c r="E106" s="3">
        <v>45927</v>
      </c>
      <c r="F106" s="1">
        <v>30</v>
      </c>
      <c r="G106" s="1">
        <v>1</v>
      </c>
      <c r="H106" s="1">
        <f t="shared" si="1"/>
        <v>60</v>
      </c>
    </row>
    <row r="107" spans="1:8" ht="18" customHeight="1" x14ac:dyDescent="0.25">
      <c r="A107" s="1" t="s">
        <v>5661</v>
      </c>
      <c r="B107" s="1" t="s">
        <v>2361</v>
      </c>
      <c r="C107" s="1" t="s">
        <v>5597</v>
      </c>
      <c r="D107" s="1" t="s">
        <v>5593</v>
      </c>
      <c r="E107" s="3">
        <v>45923</v>
      </c>
      <c r="F107" s="1">
        <v>30</v>
      </c>
      <c r="G107" s="1">
        <v>1</v>
      </c>
      <c r="H107" s="1">
        <f t="shared" si="1"/>
        <v>60</v>
      </c>
    </row>
    <row r="108" spans="1:8" ht="18" customHeight="1" x14ac:dyDescent="0.25">
      <c r="A108" s="1" t="s">
        <v>5872</v>
      </c>
      <c r="B108" s="1" t="s">
        <v>3067</v>
      </c>
      <c r="C108" s="1" t="s">
        <v>5602</v>
      </c>
      <c r="D108" s="1" t="s">
        <v>5593</v>
      </c>
      <c r="E108" s="3">
        <v>45920</v>
      </c>
      <c r="F108" s="1">
        <v>30</v>
      </c>
      <c r="G108" s="1">
        <v>1</v>
      </c>
      <c r="H108" s="1">
        <f t="shared" si="1"/>
        <v>60</v>
      </c>
    </row>
    <row r="109" spans="1:8" ht="18" customHeight="1" x14ac:dyDescent="0.25">
      <c r="A109" s="1" t="s">
        <v>5714</v>
      </c>
      <c r="B109" s="1" t="s">
        <v>2537</v>
      </c>
      <c r="C109" s="1" t="s">
        <v>5592</v>
      </c>
      <c r="D109" s="1" t="s">
        <v>5593</v>
      </c>
      <c r="E109" s="3">
        <v>45913</v>
      </c>
      <c r="F109" s="1">
        <v>30</v>
      </c>
      <c r="G109" s="1">
        <v>1</v>
      </c>
      <c r="H109" s="1">
        <f t="shared" si="1"/>
        <v>60</v>
      </c>
    </row>
    <row r="110" spans="1:8" ht="18" customHeight="1" x14ac:dyDescent="0.25">
      <c r="A110" s="1" t="s">
        <v>5975</v>
      </c>
      <c r="B110" s="1" t="s">
        <v>3254</v>
      </c>
      <c r="C110" s="1" t="s">
        <v>5597</v>
      </c>
      <c r="D110" s="1" t="s">
        <v>5590</v>
      </c>
      <c r="E110" s="3">
        <v>45908</v>
      </c>
      <c r="F110" s="1">
        <v>30</v>
      </c>
      <c r="G110" s="1">
        <v>1</v>
      </c>
      <c r="H110" s="1">
        <f t="shared" si="1"/>
        <v>60</v>
      </c>
    </row>
    <row r="111" spans="1:8" ht="18" customHeight="1" x14ac:dyDescent="0.25">
      <c r="A111" s="1" t="s">
        <v>5730</v>
      </c>
      <c r="B111" s="1" t="s">
        <v>2588</v>
      </c>
      <c r="C111" s="1" t="s">
        <v>5592</v>
      </c>
      <c r="D111" s="1" t="s">
        <v>5598</v>
      </c>
      <c r="E111" s="3">
        <v>45900</v>
      </c>
      <c r="F111" s="1">
        <v>30</v>
      </c>
      <c r="G111" s="1">
        <v>1</v>
      </c>
      <c r="H111" s="1">
        <f t="shared" si="1"/>
        <v>60</v>
      </c>
    </row>
    <row r="112" spans="1:8" ht="18" customHeight="1" x14ac:dyDescent="0.25">
      <c r="A112" s="1" t="s">
        <v>6020</v>
      </c>
      <c r="B112" s="1" t="s">
        <v>3329</v>
      </c>
      <c r="C112" s="1" t="s">
        <v>5589</v>
      </c>
      <c r="D112" s="1" t="s">
        <v>5593</v>
      </c>
      <c r="E112" s="3">
        <v>45898</v>
      </c>
      <c r="F112" s="1">
        <v>30</v>
      </c>
      <c r="G112" s="1">
        <v>1</v>
      </c>
      <c r="H112" s="1">
        <f t="shared" si="1"/>
        <v>60</v>
      </c>
    </row>
    <row r="113" spans="1:8" ht="18" customHeight="1" x14ac:dyDescent="0.25">
      <c r="A113" s="1" t="s">
        <v>5647</v>
      </c>
      <c r="B113" s="1" t="s">
        <v>2316</v>
      </c>
      <c r="C113" s="1" t="s">
        <v>5597</v>
      </c>
      <c r="D113" s="1" t="s">
        <v>5590</v>
      </c>
      <c r="E113" s="3">
        <v>45893</v>
      </c>
      <c r="F113" s="1">
        <v>30</v>
      </c>
      <c r="G113" s="1">
        <v>1</v>
      </c>
      <c r="H113" s="1">
        <f t="shared" si="1"/>
        <v>60</v>
      </c>
    </row>
    <row r="114" spans="1:8" ht="18" customHeight="1" x14ac:dyDescent="0.25">
      <c r="A114" s="1" t="s">
        <v>5843</v>
      </c>
      <c r="B114" s="1" t="s">
        <v>2985</v>
      </c>
      <c r="C114" s="1" t="s">
        <v>5592</v>
      </c>
      <c r="D114" s="1" t="s">
        <v>5590</v>
      </c>
      <c r="E114" s="3">
        <v>45888</v>
      </c>
      <c r="F114" s="1">
        <v>30</v>
      </c>
      <c r="G114" s="1">
        <v>1</v>
      </c>
      <c r="H114" s="1">
        <f t="shared" si="1"/>
        <v>60</v>
      </c>
    </row>
    <row r="115" spans="1:8" ht="18" customHeight="1" x14ac:dyDescent="0.25">
      <c r="A115" s="1" t="s">
        <v>6077</v>
      </c>
      <c r="B115" s="1" t="s">
        <v>3418</v>
      </c>
      <c r="C115" s="1" t="s">
        <v>5597</v>
      </c>
      <c r="D115" s="1" t="s">
        <v>5595</v>
      </c>
      <c r="E115" s="3">
        <v>45885</v>
      </c>
      <c r="F115" s="1">
        <v>30</v>
      </c>
      <c r="G115" s="1">
        <v>1</v>
      </c>
      <c r="H115" s="1">
        <f t="shared" si="1"/>
        <v>60</v>
      </c>
    </row>
    <row r="116" spans="1:8" ht="18" customHeight="1" x14ac:dyDescent="0.25">
      <c r="A116" s="1" t="s">
        <v>5893</v>
      </c>
      <c r="B116" s="1" t="s">
        <v>3108</v>
      </c>
      <c r="C116" s="1" t="s">
        <v>5597</v>
      </c>
      <c r="D116" s="1" t="s">
        <v>5595</v>
      </c>
      <c r="E116" s="3">
        <v>45884</v>
      </c>
      <c r="F116" s="1">
        <v>30</v>
      </c>
      <c r="G116" s="1">
        <v>1</v>
      </c>
      <c r="H116" s="1">
        <f t="shared" si="1"/>
        <v>60</v>
      </c>
    </row>
    <row r="117" spans="1:8" ht="18" customHeight="1" x14ac:dyDescent="0.25">
      <c r="A117" s="1" t="s">
        <v>5852</v>
      </c>
      <c r="B117" s="1" t="s">
        <v>3014</v>
      </c>
      <c r="C117" s="1" t="s">
        <v>5589</v>
      </c>
      <c r="D117" s="1" t="s">
        <v>5595</v>
      </c>
      <c r="E117" s="3">
        <v>45883</v>
      </c>
      <c r="F117" s="1">
        <v>30</v>
      </c>
      <c r="G117" s="1">
        <v>1</v>
      </c>
      <c r="H117" s="1">
        <f t="shared" si="1"/>
        <v>60</v>
      </c>
    </row>
    <row r="118" spans="1:8" ht="18" customHeight="1" x14ac:dyDescent="0.25">
      <c r="A118" s="1" t="s">
        <v>5629</v>
      </c>
      <c r="B118" s="1" t="s">
        <v>2238</v>
      </c>
      <c r="C118" s="1" t="s">
        <v>5597</v>
      </c>
      <c r="D118" s="1" t="s">
        <v>5590</v>
      </c>
      <c r="E118" s="3">
        <v>45878</v>
      </c>
      <c r="F118" s="1">
        <v>30</v>
      </c>
      <c r="G118" s="1">
        <v>1</v>
      </c>
      <c r="H118" s="1">
        <f t="shared" si="1"/>
        <v>60</v>
      </c>
    </row>
    <row r="119" spans="1:8" ht="18" customHeight="1" x14ac:dyDescent="0.25">
      <c r="A119" s="1" t="s">
        <v>6065</v>
      </c>
      <c r="B119" s="1" t="s">
        <v>3400</v>
      </c>
      <c r="C119" s="1" t="s">
        <v>5592</v>
      </c>
      <c r="D119" s="1" t="s">
        <v>5593</v>
      </c>
      <c r="E119" s="3">
        <v>45866</v>
      </c>
      <c r="F119" s="1">
        <v>30</v>
      </c>
      <c r="G119" s="1">
        <v>1</v>
      </c>
      <c r="H119" s="1">
        <f t="shared" si="1"/>
        <v>60</v>
      </c>
    </row>
    <row r="120" spans="1:8" ht="18" customHeight="1" x14ac:dyDescent="0.25">
      <c r="A120" s="1" t="s">
        <v>5653</v>
      </c>
      <c r="B120" s="1" t="s">
        <v>2334</v>
      </c>
      <c r="C120" s="1" t="s">
        <v>5597</v>
      </c>
      <c r="D120" s="1" t="s">
        <v>5598</v>
      </c>
      <c r="E120" s="3">
        <v>45864</v>
      </c>
      <c r="F120" s="1">
        <v>30</v>
      </c>
      <c r="G120" s="1">
        <v>1</v>
      </c>
      <c r="H120" s="1">
        <f t="shared" si="1"/>
        <v>60</v>
      </c>
    </row>
    <row r="121" spans="1:8" ht="18" customHeight="1" x14ac:dyDescent="0.25">
      <c r="A121" s="1" t="s">
        <v>5999</v>
      </c>
      <c r="B121" s="1" t="s">
        <v>3294</v>
      </c>
      <c r="C121" s="1" t="s">
        <v>5589</v>
      </c>
      <c r="D121" s="1" t="s">
        <v>5593</v>
      </c>
      <c r="E121" s="3">
        <v>45862</v>
      </c>
      <c r="F121" s="1">
        <v>30</v>
      </c>
      <c r="G121" s="1">
        <v>1</v>
      </c>
      <c r="H121" s="1">
        <f t="shared" si="1"/>
        <v>60</v>
      </c>
    </row>
    <row r="122" spans="1:8" ht="18" customHeight="1" x14ac:dyDescent="0.25">
      <c r="A122" s="1" t="s">
        <v>5594</v>
      </c>
      <c r="B122" s="1" t="s">
        <v>2098</v>
      </c>
      <c r="C122" s="1" t="s">
        <v>5592</v>
      </c>
      <c r="D122" s="1" t="s">
        <v>5595</v>
      </c>
      <c r="E122" s="3">
        <v>45851</v>
      </c>
      <c r="F122" s="1">
        <v>30</v>
      </c>
      <c r="G122" s="1">
        <v>1</v>
      </c>
      <c r="H122" s="1">
        <f t="shared" si="1"/>
        <v>60</v>
      </c>
    </row>
    <row r="123" spans="1:8" ht="18" customHeight="1" x14ac:dyDescent="0.25">
      <c r="A123" s="1" t="s">
        <v>5660</v>
      </c>
      <c r="B123" s="1" t="s">
        <v>2359</v>
      </c>
      <c r="C123" s="1" t="s">
        <v>5589</v>
      </c>
      <c r="D123" s="1" t="s">
        <v>5595</v>
      </c>
      <c r="E123" s="3">
        <v>45847</v>
      </c>
      <c r="F123" s="1">
        <v>30</v>
      </c>
      <c r="G123" s="1">
        <v>1</v>
      </c>
      <c r="H123" s="1">
        <f t="shared" si="1"/>
        <v>60</v>
      </c>
    </row>
    <row r="124" spans="1:8" ht="18" customHeight="1" x14ac:dyDescent="0.25">
      <c r="A124" s="1" t="s">
        <v>6028</v>
      </c>
      <c r="B124" s="1" t="s">
        <v>3343</v>
      </c>
      <c r="C124" s="1" t="s">
        <v>5597</v>
      </c>
      <c r="D124" s="1" t="s">
        <v>5595</v>
      </c>
      <c r="E124" s="3">
        <v>45847</v>
      </c>
      <c r="F124" s="1">
        <v>30</v>
      </c>
      <c r="G124" s="1">
        <v>1</v>
      </c>
      <c r="H124" s="1">
        <f t="shared" si="1"/>
        <v>60</v>
      </c>
    </row>
    <row r="125" spans="1:8" ht="18" customHeight="1" x14ac:dyDescent="0.25">
      <c r="A125" s="1" t="s">
        <v>5933</v>
      </c>
      <c r="B125" s="1" t="s">
        <v>3183</v>
      </c>
      <c r="C125" s="1" t="s">
        <v>5592</v>
      </c>
      <c r="D125" s="1" t="s">
        <v>5598</v>
      </c>
      <c r="E125" s="3">
        <v>45846</v>
      </c>
      <c r="F125" s="1">
        <v>30</v>
      </c>
      <c r="G125" s="1">
        <v>1</v>
      </c>
      <c r="H125" s="1">
        <f t="shared" si="1"/>
        <v>60</v>
      </c>
    </row>
    <row r="126" spans="1:8" ht="18" customHeight="1" x14ac:dyDescent="0.25">
      <c r="A126" s="1" t="s">
        <v>5634</v>
      </c>
      <c r="B126" s="1" t="s">
        <v>2264</v>
      </c>
      <c r="C126" s="1" t="s">
        <v>5602</v>
      </c>
      <c r="D126" s="1" t="s">
        <v>5593</v>
      </c>
      <c r="E126" s="3">
        <v>45836</v>
      </c>
      <c r="F126" s="1">
        <v>30</v>
      </c>
      <c r="G126" s="1">
        <v>1</v>
      </c>
      <c r="H126" s="1">
        <f t="shared" si="1"/>
        <v>60</v>
      </c>
    </row>
    <row r="127" spans="1:8" ht="18" customHeight="1" x14ac:dyDescent="0.25">
      <c r="A127" s="1" t="s">
        <v>5793</v>
      </c>
      <c r="B127" s="1" t="s">
        <v>2824</v>
      </c>
      <c r="C127" s="1" t="s">
        <v>5602</v>
      </c>
      <c r="D127" s="1" t="s">
        <v>5593</v>
      </c>
      <c r="E127" s="3">
        <v>45834</v>
      </c>
      <c r="F127" s="1">
        <v>30</v>
      </c>
      <c r="G127" s="1">
        <v>1</v>
      </c>
      <c r="H127" s="1">
        <f t="shared" si="1"/>
        <v>60</v>
      </c>
    </row>
    <row r="128" spans="1:8" ht="18" customHeight="1" x14ac:dyDescent="0.25">
      <c r="A128" s="1" t="s">
        <v>5944</v>
      </c>
      <c r="B128" s="1" t="s">
        <v>3200</v>
      </c>
      <c r="C128" s="1" t="s">
        <v>5602</v>
      </c>
      <c r="D128" s="1" t="s">
        <v>5595</v>
      </c>
      <c r="E128" s="3">
        <v>45834</v>
      </c>
      <c r="F128" s="1">
        <v>30</v>
      </c>
      <c r="G128" s="1">
        <v>1</v>
      </c>
      <c r="H128" s="1">
        <f t="shared" si="1"/>
        <v>60</v>
      </c>
    </row>
    <row r="129" spans="1:8" ht="18" customHeight="1" x14ac:dyDescent="0.25">
      <c r="A129" s="1" t="s">
        <v>5740</v>
      </c>
      <c r="B129" s="1" t="s">
        <v>2633</v>
      </c>
      <c r="C129" s="1" t="s">
        <v>5589</v>
      </c>
      <c r="D129" s="1" t="s">
        <v>5593</v>
      </c>
      <c r="E129" s="3">
        <v>45833</v>
      </c>
      <c r="F129" s="1">
        <v>30</v>
      </c>
      <c r="G129" s="1">
        <v>1</v>
      </c>
      <c r="H129" s="1">
        <f t="shared" si="1"/>
        <v>60</v>
      </c>
    </row>
    <row r="130" spans="1:8" ht="18" customHeight="1" x14ac:dyDescent="0.25">
      <c r="A130" s="1" t="s">
        <v>6095</v>
      </c>
      <c r="B130" s="1" t="s">
        <v>3450</v>
      </c>
      <c r="C130" s="1" t="s">
        <v>5589</v>
      </c>
      <c r="D130" s="1" t="s">
        <v>5593</v>
      </c>
      <c r="E130" s="3">
        <v>45829</v>
      </c>
      <c r="F130" s="1">
        <v>30</v>
      </c>
      <c r="G130" s="1">
        <v>1</v>
      </c>
      <c r="H130" s="1">
        <f t="shared" ref="H130:H193" si="2">F130*(G130+1)</f>
        <v>60</v>
      </c>
    </row>
    <row r="131" spans="1:8" ht="18" customHeight="1" x14ac:dyDescent="0.25">
      <c r="A131" s="1" t="s">
        <v>6069</v>
      </c>
      <c r="B131" s="1" t="s">
        <v>3406</v>
      </c>
      <c r="C131" s="1" t="s">
        <v>5589</v>
      </c>
      <c r="D131" s="1" t="s">
        <v>5590</v>
      </c>
      <c r="E131" s="3">
        <v>45825</v>
      </c>
      <c r="F131" s="1">
        <v>30</v>
      </c>
      <c r="G131" s="1">
        <v>1</v>
      </c>
      <c r="H131" s="1">
        <f t="shared" si="2"/>
        <v>60</v>
      </c>
    </row>
    <row r="132" spans="1:8" ht="18" customHeight="1" x14ac:dyDescent="0.25">
      <c r="A132" s="1" t="s">
        <v>5617</v>
      </c>
      <c r="B132" s="1" t="s">
        <v>2187</v>
      </c>
      <c r="C132" s="1" t="s">
        <v>5602</v>
      </c>
      <c r="D132" s="1" t="s">
        <v>5590</v>
      </c>
      <c r="E132" s="3">
        <v>45823</v>
      </c>
      <c r="F132" s="1">
        <v>30</v>
      </c>
      <c r="G132" s="1">
        <v>1</v>
      </c>
      <c r="H132" s="1">
        <f t="shared" si="2"/>
        <v>60</v>
      </c>
    </row>
    <row r="133" spans="1:8" ht="18" customHeight="1" x14ac:dyDescent="0.25">
      <c r="A133" s="1" t="s">
        <v>6053</v>
      </c>
      <c r="B133" s="1" t="s">
        <v>3380</v>
      </c>
      <c r="C133" s="1" t="s">
        <v>5592</v>
      </c>
      <c r="D133" s="1" t="s">
        <v>5595</v>
      </c>
      <c r="E133" s="3">
        <v>45822</v>
      </c>
      <c r="F133" s="1">
        <v>30</v>
      </c>
      <c r="G133" s="1">
        <v>1</v>
      </c>
      <c r="H133" s="1">
        <f t="shared" si="2"/>
        <v>60</v>
      </c>
    </row>
    <row r="134" spans="1:8" ht="18" customHeight="1" x14ac:dyDescent="0.25">
      <c r="A134" s="1" t="s">
        <v>5986</v>
      </c>
      <c r="B134" s="1" t="s">
        <v>3273</v>
      </c>
      <c r="C134" s="1" t="s">
        <v>5589</v>
      </c>
      <c r="D134" s="1" t="s">
        <v>5598</v>
      </c>
      <c r="E134" s="3">
        <v>45820</v>
      </c>
      <c r="F134" s="1">
        <v>30</v>
      </c>
      <c r="G134" s="1">
        <v>1</v>
      </c>
      <c r="H134" s="1">
        <f t="shared" si="2"/>
        <v>60</v>
      </c>
    </row>
    <row r="135" spans="1:8" ht="18" customHeight="1" x14ac:dyDescent="0.25">
      <c r="A135" s="1" t="s">
        <v>6041</v>
      </c>
      <c r="B135" s="1" t="s">
        <v>3363</v>
      </c>
      <c r="C135" s="1" t="s">
        <v>5592</v>
      </c>
      <c r="D135" s="1" t="s">
        <v>5590</v>
      </c>
      <c r="E135" s="3">
        <v>45820</v>
      </c>
      <c r="F135" s="1">
        <v>30</v>
      </c>
      <c r="G135" s="1">
        <v>1</v>
      </c>
      <c r="H135" s="1">
        <f t="shared" si="2"/>
        <v>60</v>
      </c>
    </row>
    <row r="136" spans="1:8" ht="18" customHeight="1" x14ac:dyDescent="0.25">
      <c r="A136" s="1" t="s">
        <v>6090</v>
      </c>
      <c r="B136" s="1" t="s">
        <v>3441</v>
      </c>
      <c r="C136" s="1" t="s">
        <v>5592</v>
      </c>
      <c r="D136" s="1" t="s">
        <v>5598</v>
      </c>
      <c r="E136" s="3">
        <v>45810</v>
      </c>
      <c r="F136" s="1">
        <v>30</v>
      </c>
      <c r="G136" s="1">
        <v>1</v>
      </c>
      <c r="H136" s="1">
        <f t="shared" si="2"/>
        <v>60</v>
      </c>
    </row>
    <row r="137" spans="1:8" ht="18" customHeight="1" x14ac:dyDescent="0.25">
      <c r="A137" s="1" t="s">
        <v>5606</v>
      </c>
      <c r="B137" s="1" t="s">
        <v>2131</v>
      </c>
      <c r="C137" s="1" t="s">
        <v>5592</v>
      </c>
      <c r="D137" s="1" t="s">
        <v>5598</v>
      </c>
      <c r="E137" s="3">
        <v>45805</v>
      </c>
      <c r="F137" s="1">
        <v>30</v>
      </c>
      <c r="G137" s="1">
        <v>1</v>
      </c>
      <c r="H137" s="1">
        <f t="shared" si="2"/>
        <v>60</v>
      </c>
    </row>
    <row r="138" spans="1:8" ht="18" customHeight="1" x14ac:dyDescent="0.25">
      <c r="A138" s="1" t="s">
        <v>5882</v>
      </c>
      <c r="B138" s="1" t="s">
        <v>3088</v>
      </c>
      <c r="C138" s="1" t="s">
        <v>5592</v>
      </c>
      <c r="D138" s="1" t="s">
        <v>5598</v>
      </c>
      <c r="E138" s="3">
        <v>45805</v>
      </c>
      <c r="F138" s="1">
        <v>30</v>
      </c>
      <c r="G138" s="1">
        <v>1</v>
      </c>
      <c r="H138" s="1">
        <f t="shared" si="2"/>
        <v>60</v>
      </c>
    </row>
    <row r="139" spans="1:8" ht="18" customHeight="1" x14ac:dyDescent="0.25">
      <c r="A139" s="1" t="s">
        <v>5759</v>
      </c>
      <c r="B139" s="1" t="s">
        <v>2694</v>
      </c>
      <c r="C139" s="1" t="s">
        <v>5592</v>
      </c>
      <c r="D139" s="1" t="s">
        <v>5593</v>
      </c>
      <c r="E139" s="3">
        <v>45802</v>
      </c>
      <c r="F139" s="1">
        <v>30</v>
      </c>
      <c r="G139" s="1">
        <v>1</v>
      </c>
      <c r="H139" s="1">
        <f t="shared" si="2"/>
        <v>60</v>
      </c>
    </row>
    <row r="140" spans="1:8" ht="18" customHeight="1" x14ac:dyDescent="0.25">
      <c r="A140" s="1" t="s">
        <v>5687</v>
      </c>
      <c r="B140" s="1" t="s">
        <v>2461</v>
      </c>
      <c r="C140" s="1" t="s">
        <v>5592</v>
      </c>
      <c r="D140" s="1" t="s">
        <v>5595</v>
      </c>
      <c r="E140" s="3">
        <v>45791</v>
      </c>
      <c r="F140" s="1">
        <v>30</v>
      </c>
      <c r="G140" s="1">
        <v>1</v>
      </c>
      <c r="H140" s="1">
        <f t="shared" si="2"/>
        <v>60</v>
      </c>
    </row>
    <row r="141" spans="1:8" ht="18" customHeight="1" x14ac:dyDescent="0.25">
      <c r="A141" s="1" t="s">
        <v>5655</v>
      </c>
      <c r="B141" s="1" t="s">
        <v>2342</v>
      </c>
      <c r="C141" s="1" t="s">
        <v>5592</v>
      </c>
      <c r="D141" s="1" t="s">
        <v>5598</v>
      </c>
      <c r="E141" s="3">
        <v>45789</v>
      </c>
      <c r="F141" s="1">
        <v>30</v>
      </c>
      <c r="G141" s="1">
        <v>1</v>
      </c>
      <c r="H141" s="1">
        <f t="shared" si="2"/>
        <v>60</v>
      </c>
    </row>
    <row r="142" spans="1:8" ht="18" customHeight="1" x14ac:dyDescent="0.25">
      <c r="A142" s="1" t="s">
        <v>5711</v>
      </c>
      <c r="B142" s="1" t="s">
        <v>2529</v>
      </c>
      <c r="C142" s="1" t="s">
        <v>5589</v>
      </c>
      <c r="D142" s="1" t="s">
        <v>5593</v>
      </c>
      <c r="E142" s="3">
        <v>45786</v>
      </c>
      <c r="F142" s="1">
        <v>30</v>
      </c>
      <c r="G142" s="1">
        <v>1</v>
      </c>
      <c r="H142" s="1">
        <f t="shared" si="2"/>
        <v>60</v>
      </c>
    </row>
    <row r="143" spans="1:8" ht="18" customHeight="1" x14ac:dyDescent="0.25">
      <c r="A143" s="1" t="s">
        <v>5816</v>
      </c>
      <c r="B143" s="1" t="s">
        <v>2885</v>
      </c>
      <c r="C143" s="1" t="s">
        <v>5602</v>
      </c>
      <c r="D143" s="1" t="s">
        <v>5598</v>
      </c>
      <c r="E143" s="3">
        <v>45786</v>
      </c>
      <c r="F143" s="1">
        <v>30</v>
      </c>
      <c r="G143" s="1">
        <v>1</v>
      </c>
      <c r="H143" s="1">
        <f t="shared" si="2"/>
        <v>60</v>
      </c>
    </row>
    <row r="144" spans="1:8" ht="18" customHeight="1" x14ac:dyDescent="0.25">
      <c r="A144" s="1" t="s">
        <v>5900</v>
      </c>
      <c r="B144" s="1" t="s">
        <v>3123</v>
      </c>
      <c r="C144" s="1" t="s">
        <v>5589</v>
      </c>
      <c r="D144" s="1" t="s">
        <v>5598</v>
      </c>
      <c r="E144" s="3">
        <v>45777</v>
      </c>
      <c r="F144" s="1">
        <v>30</v>
      </c>
      <c r="G144" s="1">
        <v>1</v>
      </c>
      <c r="H144" s="1">
        <f t="shared" si="2"/>
        <v>60</v>
      </c>
    </row>
    <row r="145" spans="1:8" ht="18" customHeight="1" x14ac:dyDescent="0.25">
      <c r="A145" s="1" t="s">
        <v>5641</v>
      </c>
      <c r="B145" s="1" t="s">
        <v>2290</v>
      </c>
      <c r="C145" s="1" t="s">
        <v>5592</v>
      </c>
      <c r="D145" s="1" t="s">
        <v>5598</v>
      </c>
      <c r="E145" s="3">
        <v>45755</v>
      </c>
      <c r="F145" s="1">
        <v>30</v>
      </c>
      <c r="G145" s="1">
        <v>1</v>
      </c>
      <c r="H145" s="1">
        <f t="shared" si="2"/>
        <v>60</v>
      </c>
    </row>
    <row r="146" spans="1:8" ht="18" customHeight="1" x14ac:dyDescent="0.25">
      <c r="A146" s="1" t="s">
        <v>6034</v>
      </c>
      <c r="B146" s="1" t="s">
        <v>3351</v>
      </c>
      <c r="C146" s="1" t="s">
        <v>5589</v>
      </c>
      <c r="D146" s="1" t="s">
        <v>5598</v>
      </c>
      <c r="E146" s="3">
        <v>45752</v>
      </c>
      <c r="F146" s="1">
        <v>30</v>
      </c>
      <c r="G146" s="1">
        <v>1</v>
      </c>
      <c r="H146" s="1">
        <f t="shared" si="2"/>
        <v>60</v>
      </c>
    </row>
    <row r="147" spans="1:8" ht="18" customHeight="1" x14ac:dyDescent="0.25">
      <c r="A147" s="1" t="s">
        <v>6031</v>
      </c>
      <c r="B147" s="1" t="s">
        <v>3346</v>
      </c>
      <c r="C147" s="1" t="s">
        <v>5592</v>
      </c>
      <c r="D147" s="1" t="s">
        <v>5595</v>
      </c>
      <c r="E147" s="3">
        <v>45743</v>
      </c>
      <c r="F147" s="1">
        <v>30</v>
      </c>
      <c r="G147" s="1">
        <v>1</v>
      </c>
      <c r="H147" s="1">
        <f t="shared" si="2"/>
        <v>60</v>
      </c>
    </row>
    <row r="148" spans="1:8" ht="18" customHeight="1" x14ac:dyDescent="0.25">
      <c r="A148" s="1" t="s">
        <v>5825</v>
      </c>
      <c r="B148" s="1" t="s">
        <v>2914</v>
      </c>
      <c r="C148" s="1" t="s">
        <v>5597</v>
      </c>
      <c r="D148" s="1" t="s">
        <v>5593</v>
      </c>
      <c r="E148" s="3">
        <v>45736</v>
      </c>
      <c r="F148" s="1">
        <v>30</v>
      </c>
      <c r="G148" s="1">
        <v>1</v>
      </c>
      <c r="H148" s="1">
        <f t="shared" si="2"/>
        <v>60</v>
      </c>
    </row>
    <row r="149" spans="1:8" ht="18" customHeight="1" x14ac:dyDescent="0.25">
      <c r="A149" s="1" t="s">
        <v>5763</v>
      </c>
      <c r="B149" s="1" t="s">
        <v>2706</v>
      </c>
      <c r="C149" s="1" t="s">
        <v>5597</v>
      </c>
      <c r="D149" s="1" t="s">
        <v>5598</v>
      </c>
      <c r="E149" s="3">
        <v>45731</v>
      </c>
      <c r="F149" s="1">
        <v>30</v>
      </c>
      <c r="G149" s="1">
        <v>1</v>
      </c>
      <c r="H149" s="1">
        <f t="shared" si="2"/>
        <v>60</v>
      </c>
    </row>
    <row r="150" spans="1:8" ht="18" customHeight="1" x14ac:dyDescent="0.25">
      <c r="A150" s="1" t="s">
        <v>6002</v>
      </c>
      <c r="B150" s="1" t="s">
        <v>3299</v>
      </c>
      <c r="C150" s="1" t="s">
        <v>5592</v>
      </c>
      <c r="D150" s="1" t="s">
        <v>5595</v>
      </c>
      <c r="E150" s="3">
        <v>45730</v>
      </c>
      <c r="F150" s="1">
        <v>30</v>
      </c>
      <c r="G150" s="1">
        <v>1</v>
      </c>
      <c r="H150" s="1">
        <f t="shared" si="2"/>
        <v>60</v>
      </c>
    </row>
    <row r="151" spans="1:8" ht="18" customHeight="1" x14ac:dyDescent="0.25">
      <c r="A151" s="1" t="s">
        <v>5644</v>
      </c>
      <c r="B151" s="1" t="s">
        <v>2302</v>
      </c>
      <c r="C151" s="1" t="s">
        <v>5602</v>
      </c>
      <c r="D151" s="1" t="s">
        <v>5593</v>
      </c>
      <c r="E151" s="3">
        <v>45728</v>
      </c>
      <c r="F151" s="1">
        <v>30</v>
      </c>
      <c r="G151" s="1">
        <v>1</v>
      </c>
      <c r="H151" s="1">
        <f t="shared" si="2"/>
        <v>60</v>
      </c>
    </row>
    <row r="152" spans="1:8" ht="18" customHeight="1" x14ac:dyDescent="0.25">
      <c r="A152" s="1" t="s">
        <v>5765</v>
      </c>
      <c r="B152" s="1" t="s">
        <v>2714</v>
      </c>
      <c r="C152" s="1" t="s">
        <v>5589</v>
      </c>
      <c r="D152" s="1" t="s">
        <v>5590</v>
      </c>
      <c r="E152" s="3">
        <v>45722</v>
      </c>
      <c r="F152" s="1">
        <v>30</v>
      </c>
      <c r="G152" s="1">
        <v>1</v>
      </c>
      <c r="H152" s="1">
        <f t="shared" si="2"/>
        <v>60</v>
      </c>
    </row>
    <row r="153" spans="1:8" ht="18" customHeight="1" x14ac:dyDescent="0.25">
      <c r="A153" s="1" t="s">
        <v>5803</v>
      </c>
      <c r="B153" s="1" t="s">
        <v>2853</v>
      </c>
      <c r="C153" s="1" t="s">
        <v>5597</v>
      </c>
      <c r="D153" s="1" t="s">
        <v>5593</v>
      </c>
      <c r="E153" s="3">
        <v>45720</v>
      </c>
      <c r="F153" s="1">
        <v>30</v>
      </c>
      <c r="G153" s="1">
        <v>1</v>
      </c>
      <c r="H153" s="1">
        <f t="shared" si="2"/>
        <v>60</v>
      </c>
    </row>
    <row r="154" spans="1:8" ht="18" customHeight="1" x14ac:dyDescent="0.25">
      <c r="A154" s="1" t="s">
        <v>6061</v>
      </c>
      <c r="B154" s="1" t="s">
        <v>3395</v>
      </c>
      <c r="C154" s="1" t="s">
        <v>5597</v>
      </c>
      <c r="D154" s="1" t="s">
        <v>5593</v>
      </c>
      <c r="E154" s="3">
        <v>45720</v>
      </c>
      <c r="F154" s="1">
        <v>30</v>
      </c>
      <c r="G154" s="1">
        <v>1</v>
      </c>
      <c r="H154" s="1">
        <f t="shared" si="2"/>
        <v>60</v>
      </c>
    </row>
    <row r="155" spans="1:8" ht="18" customHeight="1" x14ac:dyDescent="0.25">
      <c r="A155" s="1" t="s">
        <v>6089</v>
      </c>
      <c r="B155" s="1" t="s">
        <v>3440</v>
      </c>
      <c r="C155" s="1" t="s">
        <v>5602</v>
      </c>
      <c r="D155" s="1" t="s">
        <v>5590</v>
      </c>
      <c r="E155" s="3">
        <v>45720</v>
      </c>
      <c r="F155" s="1">
        <v>30</v>
      </c>
      <c r="G155" s="1">
        <v>1</v>
      </c>
      <c r="H155" s="1">
        <f t="shared" si="2"/>
        <v>60</v>
      </c>
    </row>
    <row r="156" spans="1:8" ht="18" customHeight="1" x14ac:dyDescent="0.25">
      <c r="A156" s="1" t="s">
        <v>6046</v>
      </c>
      <c r="B156" s="1" t="s">
        <v>3370</v>
      </c>
      <c r="C156" s="1" t="s">
        <v>5589</v>
      </c>
      <c r="D156" s="1" t="s">
        <v>5593</v>
      </c>
      <c r="E156" s="3">
        <v>45715</v>
      </c>
      <c r="F156" s="1">
        <v>30</v>
      </c>
      <c r="G156" s="1">
        <v>1</v>
      </c>
      <c r="H156" s="1">
        <f t="shared" si="2"/>
        <v>60</v>
      </c>
    </row>
    <row r="157" spans="1:8" ht="18" customHeight="1" x14ac:dyDescent="0.25">
      <c r="A157" s="1" t="s">
        <v>5715</v>
      </c>
      <c r="B157" s="1" t="s">
        <v>2539</v>
      </c>
      <c r="C157" s="1" t="s">
        <v>5602</v>
      </c>
      <c r="D157" s="1" t="s">
        <v>5593</v>
      </c>
      <c r="E157" s="3">
        <v>45713</v>
      </c>
      <c r="F157" s="1">
        <v>30</v>
      </c>
      <c r="G157" s="1">
        <v>1</v>
      </c>
      <c r="H157" s="1">
        <f t="shared" si="2"/>
        <v>60</v>
      </c>
    </row>
    <row r="158" spans="1:8" ht="18" customHeight="1" x14ac:dyDescent="0.25">
      <c r="A158" s="1" t="s">
        <v>5710</v>
      </c>
      <c r="B158" s="1" t="s">
        <v>2521</v>
      </c>
      <c r="C158" s="1" t="s">
        <v>5597</v>
      </c>
      <c r="D158" s="1" t="s">
        <v>5598</v>
      </c>
      <c r="E158" s="3">
        <v>45712</v>
      </c>
      <c r="F158" s="1">
        <v>30</v>
      </c>
      <c r="G158" s="1">
        <v>1</v>
      </c>
      <c r="H158" s="1">
        <f t="shared" si="2"/>
        <v>60</v>
      </c>
    </row>
    <row r="159" spans="1:8" ht="18" customHeight="1" x14ac:dyDescent="0.25">
      <c r="A159" s="1" t="s">
        <v>6055</v>
      </c>
      <c r="B159" s="1" t="s">
        <v>3384</v>
      </c>
      <c r="C159" s="1" t="s">
        <v>5597</v>
      </c>
      <c r="D159" s="1" t="s">
        <v>5595</v>
      </c>
      <c r="E159" s="3">
        <v>45706</v>
      </c>
      <c r="F159" s="1">
        <v>30</v>
      </c>
      <c r="G159" s="1">
        <v>1</v>
      </c>
      <c r="H159" s="1">
        <f t="shared" si="2"/>
        <v>60</v>
      </c>
    </row>
    <row r="160" spans="1:8" ht="18" customHeight="1" x14ac:dyDescent="0.25">
      <c r="A160" s="1" t="s">
        <v>6063</v>
      </c>
      <c r="B160" s="1" t="s">
        <v>3397</v>
      </c>
      <c r="C160" s="1" t="s">
        <v>5592</v>
      </c>
      <c r="D160" s="1" t="s">
        <v>5593</v>
      </c>
      <c r="E160" s="3">
        <v>45695</v>
      </c>
      <c r="F160" s="1">
        <v>30</v>
      </c>
      <c r="G160" s="1">
        <v>1</v>
      </c>
      <c r="H160" s="1">
        <f t="shared" si="2"/>
        <v>60</v>
      </c>
    </row>
    <row r="161" spans="1:8" ht="18" customHeight="1" x14ac:dyDescent="0.25">
      <c r="A161" s="1" t="s">
        <v>5847</v>
      </c>
      <c r="B161" s="1" t="s">
        <v>2994</v>
      </c>
      <c r="C161" s="1" t="s">
        <v>5592</v>
      </c>
      <c r="D161" s="1" t="s">
        <v>5593</v>
      </c>
      <c r="E161" s="3">
        <v>45685</v>
      </c>
      <c r="F161" s="1">
        <v>30</v>
      </c>
      <c r="G161" s="1">
        <v>1</v>
      </c>
      <c r="H161" s="1">
        <f t="shared" si="2"/>
        <v>60</v>
      </c>
    </row>
    <row r="162" spans="1:8" ht="18" customHeight="1" x14ac:dyDescent="0.25">
      <c r="A162" s="1" t="s">
        <v>5818</v>
      </c>
      <c r="B162" s="1" t="s">
        <v>2892</v>
      </c>
      <c r="C162" s="1" t="s">
        <v>5592</v>
      </c>
      <c r="D162" s="1" t="s">
        <v>5590</v>
      </c>
      <c r="E162" s="3">
        <v>45680</v>
      </c>
      <c r="F162" s="1">
        <v>30</v>
      </c>
      <c r="G162" s="1">
        <v>1</v>
      </c>
      <c r="H162" s="1">
        <f t="shared" si="2"/>
        <v>60</v>
      </c>
    </row>
    <row r="163" spans="1:8" ht="18" customHeight="1" x14ac:dyDescent="0.25">
      <c r="A163" s="1" t="s">
        <v>5958</v>
      </c>
      <c r="B163" s="1" t="s">
        <v>3223</v>
      </c>
      <c r="C163" s="1" t="s">
        <v>5602</v>
      </c>
      <c r="D163" s="1" t="s">
        <v>5598</v>
      </c>
      <c r="E163" s="3">
        <v>45679</v>
      </c>
      <c r="F163" s="1">
        <v>30</v>
      </c>
      <c r="G163" s="1">
        <v>1</v>
      </c>
      <c r="H163" s="1">
        <f t="shared" si="2"/>
        <v>60</v>
      </c>
    </row>
    <row r="164" spans="1:8" ht="18" customHeight="1" x14ac:dyDescent="0.25">
      <c r="A164" s="1" t="s">
        <v>5778</v>
      </c>
      <c r="B164" s="1" t="s">
        <v>2774</v>
      </c>
      <c r="C164" s="1" t="s">
        <v>5602</v>
      </c>
      <c r="D164" s="1" t="s">
        <v>5598</v>
      </c>
      <c r="E164" s="3">
        <v>45675</v>
      </c>
      <c r="F164" s="1">
        <v>30</v>
      </c>
      <c r="G164" s="1">
        <v>1</v>
      </c>
      <c r="H164" s="1">
        <f t="shared" si="2"/>
        <v>60</v>
      </c>
    </row>
    <row r="165" spans="1:8" ht="18" customHeight="1" x14ac:dyDescent="0.25">
      <c r="A165" s="1" t="s">
        <v>5703</v>
      </c>
      <c r="B165" s="1" t="s">
        <v>2505</v>
      </c>
      <c r="C165" s="1" t="s">
        <v>5589</v>
      </c>
      <c r="D165" s="1" t="s">
        <v>5593</v>
      </c>
      <c r="E165" s="3">
        <v>45669</v>
      </c>
      <c r="F165" s="1">
        <v>30</v>
      </c>
      <c r="G165" s="1">
        <v>1</v>
      </c>
      <c r="H165" s="1">
        <f t="shared" si="2"/>
        <v>60</v>
      </c>
    </row>
    <row r="166" spans="1:8" ht="18" customHeight="1" x14ac:dyDescent="0.25">
      <c r="A166" s="1" t="s">
        <v>6005</v>
      </c>
      <c r="B166" s="1" t="s">
        <v>3304</v>
      </c>
      <c r="C166" s="1" t="s">
        <v>5597</v>
      </c>
      <c r="D166" s="1" t="s">
        <v>5590</v>
      </c>
      <c r="E166" s="3">
        <v>45664</v>
      </c>
      <c r="F166" s="1">
        <v>30</v>
      </c>
      <c r="G166" s="1">
        <v>1</v>
      </c>
      <c r="H166" s="1">
        <f t="shared" si="2"/>
        <v>60</v>
      </c>
    </row>
    <row r="167" spans="1:8" ht="18" customHeight="1" x14ac:dyDescent="0.25">
      <c r="A167" s="1" t="s">
        <v>5728</v>
      </c>
      <c r="B167" s="1" t="s">
        <v>2583</v>
      </c>
      <c r="C167" s="1" t="s">
        <v>5602</v>
      </c>
      <c r="D167" s="1" t="s">
        <v>5598</v>
      </c>
      <c r="E167" s="3">
        <v>45663</v>
      </c>
      <c r="F167" s="1">
        <v>30</v>
      </c>
      <c r="G167" s="1">
        <v>1</v>
      </c>
      <c r="H167" s="1">
        <f t="shared" si="2"/>
        <v>60</v>
      </c>
    </row>
    <row r="168" spans="1:8" ht="18" customHeight="1" x14ac:dyDescent="0.25">
      <c r="A168" s="1" t="s">
        <v>5926</v>
      </c>
      <c r="B168" s="1" t="s">
        <v>3171</v>
      </c>
      <c r="C168" s="1" t="s">
        <v>5597</v>
      </c>
      <c r="D168" s="1" t="s">
        <v>5598</v>
      </c>
      <c r="E168" s="3">
        <v>45660</v>
      </c>
      <c r="F168" s="1">
        <v>30</v>
      </c>
      <c r="G168" s="1">
        <v>1</v>
      </c>
      <c r="H168" s="1">
        <f t="shared" si="2"/>
        <v>60</v>
      </c>
    </row>
    <row r="169" spans="1:8" ht="18" customHeight="1" x14ac:dyDescent="0.25">
      <c r="A169" s="1" t="s">
        <v>5708</v>
      </c>
      <c r="B169" s="1" t="s">
        <v>2517</v>
      </c>
      <c r="C169" s="1" t="s">
        <v>5597</v>
      </c>
      <c r="D169" s="1" t="s">
        <v>5595</v>
      </c>
      <c r="E169" s="3">
        <v>45659</v>
      </c>
      <c r="F169" s="1">
        <v>30</v>
      </c>
      <c r="G169" s="1">
        <v>1</v>
      </c>
      <c r="H169" s="1">
        <f t="shared" si="2"/>
        <v>60</v>
      </c>
    </row>
    <row r="170" spans="1:8" ht="18" customHeight="1" x14ac:dyDescent="0.25">
      <c r="A170" s="1" t="s">
        <v>5608</v>
      </c>
      <c r="B170" s="1" t="s">
        <v>2146</v>
      </c>
      <c r="C170" s="1" t="s">
        <v>5589</v>
      </c>
      <c r="D170" s="1" t="s">
        <v>5595</v>
      </c>
      <c r="E170" s="3">
        <v>45654</v>
      </c>
      <c r="F170" s="1">
        <v>30</v>
      </c>
      <c r="G170" s="1">
        <v>1</v>
      </c>
      <c r="H170" s="1">
        <f t="shared" si="2"/>
        <v>60</v>
      </c>
    </row>
    <row r="171" spans="1:8" ht="18" customHeight="1" x14ac:dyDescent="0.25">
      <c r="A171" s="1" t="s">
        <v>6051</v>
      </c>
      <c r="B171" s="1" t="s">
        <v>3378</v>
      </c>
      <c r="C171" s="1" t="s">
        <v>5597</v>
      </c>
      <c r="D171" s="1" t="s">
        <v>5593</v>
      </c>
      <c r="E171" s="3">
        <v>45654</v>
      </c>
      <c r="F171" s="1">
        <v>30</v>
      </c>
      <c r="G171" s="1">
        <v>1</v>
      </c>
      <c r="H171" s="1">
        <f t="shared" si="2"/>
        <v>60</v>
      </c>
    </row>
    <row r="172" spans="1:8" ht="18" customHeight="1" x14ac:dyDescent="0.25">
      <c r="A172" s="1" t="s">
        <v>5884</v>
      </c>
      <c r="B172" s="1" t="s">
        <v>3091</v>
      </c>
      <c r="C172" s="1" t="s">
        <v>5592</v>
      </c>
      <c r="D172" s="1" t="s">
        <v>5593</v>
      </c>
      <c r="E172" s="3">
        <v>45651</v>
      </c>
      <c r="F172" s="1">
        <v>30</v>
      </c>
      <c r="G172" s="1">
        <v>1</v>
      </c>
      <c r="H172" s="1">
        <f t="shared" si="2"/>
        <v>60</v>
      </c>
    </row>
    <row r="173" spans="1:8" ht="18" customHeight="1" x14ac:dyDescent="0.25">
      <c r="A173" s="1" t="s">
        <v>5748</v>
      </c>
      <c r="B173" s="1" t="s">
        <v>2652</v>
      </c>
      <c r="C173" s="1" t="s">
        <v>5602</v>
      </c>
      <c r="D173" s="1" t="s">
        <v>5595</v>
      </c>
      <c r="E173" s="3">
        <v>45650</v>
      </c>
      <c r="F173" s="1">
        <v>30</v>
      </c>
      <c r="G173" s="1">
        <v>1</v>
      </c>
      <c r="H173" s="1">
        <f t="shared" si="2"/>
        <v>60</v>
      </c>
    </row>
    <row r="174" spans="1:8" ht="18" customHeight="1" x14ac:dyDescent="0.25">
      <c r="A174" s="1" t="s">
        <v>5991</v>
      </c>
      <c r="B174" s="1" t="s">
        <v>3280</v>
      </c>
      <c r="C174" s="1" t="s">
        <v>5592</v>
      </c>
      <c r="D174" s="1" t="s">
        <v>5593</v>
      </c>
      <c r="E174" s="3">
        <v>45648</v>
      </c>
      <c r="F174" s="1">
        <v>30</v>
      </c>
      <c r="G174" s="1">
        <v>1</v>
      </c>
      <c r="H174" s="1">
        <f t="shared" si="2"/>
        <v>60</v>
      </c>
    </row>
    <row r="175" spans="1:8" ht="18" customHeight="1" x14ac:dyDescent="0.25">
      <c r="A175" s="1" t="s">
        <v>5947</v>
      </c>
      <c r="B175" s="1" t="s">
        <v>3205</v>
      </c>
      <c r="C175" s="1" t="s">
        <v>5597</v>
      </c>
      <c r="D175" s="1" t="s">
        <v>5593</v>
      </c>
      <c r="E175" s="3">
        <v>45646</v>
      </c>
      <c r="F175" s="1">
        <v>30</v>
      </c>
      <c r="G175" s="1">
        <v>1</v>
      </c>
      <c r="H175" s="1">
        <f t="shared" si="2"/>
        <v>60</v>
      </c>
    </row>
    <row r="176" spans="1:8" ht="18" customHeight="1" x14ac:dyDescent="0.25">
      <c r="A176" s="1" t="s">
        <v>5978</v>
      </c>
      <c r="B176" s="1" t="s">
        <v>3259</v>
      </c>
      <c r="C176" s="1" t="s">
        <v>5592</v>
      </c>
      <c r="D176" s="1" t="s">
        <v>5590</v>
      </c>
      <c r="E176" s="3">
        <v>45636</v>
      </c>
      <c r="F176" s="1">
        <v>30</v>
      </c>
      <c r="G176" s="1">
        <v>1</v>
      </c>
      <c r="H176" s="1">
        <f t="shared" si="2"/>
        <v>60</v>
      </c>
    </row>
    <row r="177" spans="1:8" ht="18" customHeight="1" x14ac:dyDescent="0.25">
      <c r="A177" s="1" t="s">
        <v>6014</v>
      </c>
      <c r="B177" s="1" t="s">
        <v>3320</v>
      </c>
      <c r="C177" s="1" t="s">
        <v>5602</v>
      </c>
      <c r="D177" s="1" t="s">
        <v>5595</v>
      </c>
      <c r="E177" s="3">
        <v>45635</v>
      </c>
      <c r="F177" s="1">
        <v>30</v>
      </c>
      <c r="G177" s="1">
        <v>1</v>
      </c>
      <c r="H177" s="1">
        <f t="shared" si="2"/>
        <v>60</v>
      </c>
    </row>
    <row r="178" spans="1:8" ht="18" customHeight="1" x14ac:dyDescent="0.25">
      <c r="A178" s="1" t="s">
        <v>5771</v>
      </c>
      <c r="B178" s="1" t="s">
        <v>2755</v>
      </c>
      <c r="C178" s="1" t="s">
        <v>5589</v>
      </c>
      <c r="D178" s="1" t="s">
        <v>5595</v>
      </c>
      <c r="E178" s="3">
        <v>45632</v>
      </c>
      <c r="F178" s="1">
        <v>30</v>
      </c>
      <c r="G178" s="1">
        <v>1</v>
      </c>
      <c r="H178" s="1">
        <f t="shared" si="2"/>
        <v>60</v>
      </c>
    </row>
    <row r="179" spans="1:8" ht="18" customHeight="1" x14ac:dyDescent="0.25">
      <c r="A179" s="1" t="s">
        <v>5751</v>
      </c>
      <c r="B179" s="1" t="s">
        <v>2660</v>
      </c>
      <c r="C179" s="1" t="s">
        <v>5602</v>
      </c>
      <c r="D179" s="1" t="s">
        <v>5598</v>
      </c>
      <c r="E179" s="3">
        <v>45630</v>
      </c>
      <c r="F179" s="1">
        <v>30</v>
      </c>
      <c r="G179" s="1">
        <v>1</v>
      </c>
      <c r="H179" s="1">
        <f t="shared" si="2"/>
        <v>60</v>
      </c>
    </row>
    <row r="180" spans="1:8" ht="18" customHeight="1" x14ac:dyDescent="0.25">
      <c r="A180" s="1" t="s">
        <v>5967</v>
      </c>
      <c r="B180" s="1" t="s">
        <v>3241</v>
      </c>
      <c r="C180" s="1" t="s">
        <v>5592</v>
      </c>
      <c r="D180" s="1" t="s">
        <v>5593</v>
      </c>
      <c r="E180" s="3">
        <v>45630</v>
      </c>
      <c r="F180" s="1">
        <v>30</v>
      </c>
      <c r="G180" s="1">
        <v>1</v>
      </c>
      <c r="H180" s="1">
        <f t="shared" si="2"/>
        <v>60</v>
      </c>
    </row>
    <row r="181" spans="1:8" ht="18" customHeight="1" x14ac:dyDescent="0.25">
      <c r="A181" s="1" t="s">
        <v>5876</v>
      </c>
      <c r="B181" s="1" t="s">
        <v>3075</v>
      </c>
      <c r="C181" s="1" t="s">
        <v>5589</v>
      </c>
      <c r="D181" s="1" t="s">
        <v>5593</v>
      </c>
      <c r="E181" s="3">
        <v>45627</v>
      </c>
      <c r="F181" s="1">
        <v>30</v>
      </c>
      <c r="G181" s="1">
        <v>1</v>
      </c>
      <c r="H181" s="1">
        <f t="shared" si="2"/>
        <v>60</v>
      </c>
    </row>
    <row r="182" spans="1:8" ht="18" customHeight="1" x14ac:dyDescent="0.25">
      <c r="A182" s="1" t="s">
        <v>5922</v>
      </c>
      <c r="B182" s="1" t="s">
        <v>3164</v>
      </c>
      <c r="C182" s="1" t="s">
        <v>5589</v>
      </c>
      <c r="D182" s="1" t="s">
        <v>5590</v>
      </c>
      <c r="E182" s="3">
        <v>45619</v>
      </c>
      <c r="F182" s="1">
        <v>30</v>
      </c>
      <c r="G182" s="1">
        <v>1</v>
      </c>
      <c r="H182" s="1">
        <f t="shared" si="2"/>
        <v>60</v>
      </c>
    </row>
    <row r="183" spans="1:8" ht="18" customHeight="1" x14ac:dyDescent="0.25">
      <c r="A183" s="1" t="s">
        <v>5989</v>
      </c>
      <c r="B183" s="1" t="s">
        <v>3277</v>
      </c>
      <c r="C183" s="1" t="s">
        <v>5602</v>
      </c>
      <c r="D183" s="1" t="s">
        <v>5595</v>
      </c>
      <c r="E183" s="3">
        <v>45619</v>
      </c>
      <c r="F183" s="1">
        <v>30</v>
      </c>
      <c r="G183" s="1">
        <v>1</v>
      </c>
      <c r="H183" s="1">
        <f t="shared" si="2"/>
        <v>60</v>
      </c>
    </row>
    <row r="184" spans="1:8" ht="18" customHeight="1" x14ac:dyDescent="0.25">
      <c r="A184" s="1" t="s">
        <v>6021</v>
      </c>
      <c r="B184" s="1" t="s">
        <v>3330</v>
      </c>
      <c r="C184" s="1" t="s">
        <v>5597</v>
      </c>
      <c r="D184" s="1" t="s">
        <v>5593</v>
      </c>
      <c r="E184" s="3">
        <v>45616</v>
      </c>
      <c r="F184" s="1">
        <v>30</v>
      </c>
      <c r="G184" s="1">
        <v>1</v>
      </c>
      <c r="H184" s="1">
        <f t="shared" si="2"/>
        <v>60</v>
      </c>
    </row>
    <row r="185" spans="1:8" ht="18" customHeight="1" x14ac:dyDescent="0.25">
      <c r="A185" s="1" t="s">
        <v>5713</v>
      </c>
      <c r="B185" s="1" t="s">
        <v>2535</v>
      </c>
      <c r="C185" s="1" t="s">
        <v>5597</v>
      </c>
      <c r="D185" s="1" t="s">
        <v>5598</v>
      </c>
      <c r="E185" s="3">
        <v>45614</v>
      </c>
      <c r="F185" s="1">
        <v>30</v>
      </c>
      <c r="G185" s="1">
        <v>1</v>
      </c>
      <c r="H185" s="1">
        <f t="shared" si="2"/>
        <v>60</v>
      </c>
    </row>
    <row r="186" spans="1:8" ht="18" customHeight="1" x14ac:dyDescent="0.25">
      <c r="A186" s="1" t="s">
        <v>5914</v>
      </c>
      <c r="B186" s="1" t="s">
        <v>3149</v>
      </c>
      <c r="C186" s="1" t="s">
        <v>5602</v>
      </c>
      <c r="D186" s="1" t="s">
        <v>5595</v>
      </c>
      <c r="E186" s="3">
        <v>45613</v>
      </c>
      <c r="F186" s="1">
        <v>30</v>
      </c>
      <c r="G186" s="1">
        <v>1</v>
      </c>
      <c r="H186" s="1">
        <f t="shared" si="2"/>
        <v>60</v>
      </c>
    </row>
    <row r="187" spans="1:8" ht="18" customHeight="1" x14ac:dyDescent="0.25">
      <c r="A187" s="1" t="s">
        <v>5934</v>
      </c>
      <c r="B187" s="1" t="s">
        <v>3185</v>
      </c>
      <c r="C187" s="1" t="s">
        <v>5592</v>
      </c>
      <c r="D187" s="1" t="s">
        <v>5598</v>
      </c>
      <c r="E187" s="3">
        <v>45594</v>
      </c>
      <c r="F187" s="1">
        <v>30</v>
      </c>
      <c r="G187" s="1">
        <v>1</v>
      </c>
      <c r="H187" s="1">
        <f t="shared" si="2"/>
        <v>60</v>
      </c>
    </row>
    <row r="188" spans="1:8" ht="18" customHeight="1" x14ac:dyDescent="0.25">
      <c r="A188" s="1" t="s">
        <v>5633</v>
      </c>
      <c r="B188" s="1" t="s">
        <v>2262</v>
      </c>
      <c r="C188" s="1" t="s">
        <v>5597</v>
      </c>
      <c r="D188" s="1" t="s">
        <v>5593</v>
      </c>
      <c r="E188" s="3">
        <v>45590</v>
      </c>
      <c r="F188" s="1">
        <v>30</v>
      </c>
      <c r="G188" s="1">
        <v>1</v>
      </c>
      <c r="H188" s="1">
        <f t="shared" si="2"/>
        <v>60</v>
      </c>
    </row>
    <row r="189" spans="1:8" ht="18" customHeight="1" x14ac:dyDescent="0.25">
      <c r="A189" s="1" t="s">
        <v>5941</v>
      </c>
      <c r="B189" s="1" t="s">
        <v>3197</v>
      </c>
      <c r="C189" s="1" t="s">
        <v>5592</v>
      </c>
      <c r="D189" s="1" t="s">
        <v>5590</v>
      </c>
      <c r="E189" s="3">
        <v>45590</v>
      </c>
      <c r="F189" s="1">
        <v>30</v>
      </c>
      <c r="G189" s="1">
        <v>1</v>
      </c>
      <c r="H189" s="1">
        <f t="shared" si="2"/>
        <v>60</v>
      </c>
    </row>
    <row r="190" spans="1:8" ht="18" customHeight="1" x14ac:dyDescent="0.25">
      <c r="A190" s="1" t="s">
        <v>5734</v>
      </c>
      <c r="B190" s="1" t="s">
        <v>2610</v>
      </c>
      <c r="C190" s="1" t="s">
        <v>5589</v>
      </c>
      <c r="D190" s="1" t="s">
        <v>5590</v>
      </c>
      <c r="E190" s="3">
        <v>45589</v>
      </c>
      <c r="F190" s="1">
        <v>30</v>
      </c>
      <c r="G190" s="1">
        <v>1</v>
      </c>
      <c r="H190" s="1">
        <f t="shared" si="2"/>
        <v>60</v>
      </c>
    </row>
    <row r="191" spans="1:8" ht="18" customHeight="1" x14ac:dyDescent="0.25">
      <c r="A191" s="1" t="s">
        <v>5865</v>
      </c>
      <c r="B191" s="1" t="s">
        <v>3053</v>
      </c>
      <c r="C191" s="1" t="s">
        <v>5597</v>
      </c>
      <c r="D191" s="1" t="s">
        <v>5598</v>
      </c>
      <c r="E191" s="3">
        <v>45584</v>
      </c>
      <c r="F191" s="1">
        <v>30</v>
      </c>
      <c r="G191" s="1">
        <v>1</v>
      </c>
      <c r="H191" s="1">
        <f t="shared" si="2"/>
        <v>60</v>
      </c>
    </row>
    <row r="192" spans="1:8" ht="18" customHeight="1" x14ac:dyDescent="0.25">
      <c r="A192" s="1" t="s">
        <v>5971</v>
      </c>
      <c r="B192" s="1" t="s">
        <v>3247</v>
      </c>
      <c r="C192" s="1" t="s">
        <v>5589</v>
      </c>
      <c r="D192" s="1" t="s">
        <v>5598</v>
      </c>
      <c r="E192" s="3">
        <v>45584</v>
      </c>
      <c r="F192" s="1">
        <v>30</v>
      </c>
      <c r="G192" s="1">
        <v>1</v>
      </c>
      <c r="H192" s="1">
        <f t="shared" si="2"/>
        <v>60</v>
      </c>
    </row>
    <row r="193" spans="1:8" ht="18" customHeight="1" x14ac:dyDescent="0.25">
      <c r="A193" s="1" t="s">
        <v>5679</v>
      </c>
      <c r="B193" s="1" t="s">
        <v>2424</v>
      </c>
      <c r="C193" s="1" t="s">
        <v>5602</v>
      </c>
      <c r="D193" s="1" t="s">
        <v>5593</v>
      </c>
      <c r="E193" s="3">
        <v>45571</v>
      </c>
      <c r="F193" s="1">
        <v>30</v>
      </c>
      <c r="G193" s="1">
        <v>1</v>
      </c>
      <c r="H193" s="1">
        <f t="shared" si="2"/>
        <v>60</v>
      </c>
    </row>
    <row r="194" spans="1:8" ht="18" customHeight="1" x14ac:dyDescent="0.25">
      <c r="A194" s="1" t="s">
        <v>6040</v>
      </c>
      <c r="B194" s="1" t="s">
        <v>3361</v>
      </c>
      <c r="C194" s="1" t="s">
        <v>5602</v>
      </c>
      <c r="D194" s="1" t="s">
        <v>5593</v>
      </c>
      <c r="E194" s="3">
        <v>45569</v>
      </c>
      <c r="F194" s="1">
        <v>30</v>
      </c>
      <c r="G194" s="1">
        <v>1</v>
      </c>
      <c r="H194" s="1">
        <f t="shared" ref="H194:H257" si="3">F194*(G194+1)</f>
        <v>60</v>
      </c>
    </row>
    <row r="195" spans="1:8" ht="18" customHeight="1" x14ac:dyDescent="0.25">
      <c r="A195" s="1" t="s">
        <v>5658</v>
      </c>
      <c r="B195" s="1" t="s">
        <v>2354</v>
      </c>
      <c r="C195" s="1" t="s">
        <v>5592</v>
      </c>
      <c r="D195" s="1" t="s">
        <v>5595</v>
      </c>
      <c r="E195" s="3">
        <v>45568</v>
      </c>
      <c r="F195" s="1">
        <v>30</v>
      </c>
      <c r="G195" s="1">
        <v>1</v>
      </c>
      <c r="H195" s="1">
        <f t="shared" si="3"/>
        <v>60</v>
      </c>
    </row>
    <row r="196" spans="1:8" ht="18" customHeight="1" x14ac:dyDescent="0.25">
      <c r="A196" s="1" t="s">
        <v>5744</v>
      </c>
      <c r="B196" s="1" t="s">
        <v>2641</v>
      </c>
      <c r="C196" s="1" t="s">
        <v>5589</v>
      </c>
      <c r="D196" s="1" t="s">
        <v>5593</v>
      </c>
      <c r="E196" s="3">
        <v>45568</v>
      </c>
      <c r="F196" s="1">
        <v>30</v>
      </c>
      <c r="G196" s="1">
        <v>1</v>
      </c>
      <c r="H196" s="1">
        <f t="shared" si="3"/>
        <v>60</v>
      </c>
    </row>
    <row r="197" spans="1:8" ht="18" customHeight="1" x14ac:dyDescent="0.25">
      <c r="A197" s="1" t="s">
        <v>5854</v>
      </c>
      <c r="B197" s="1" t="s">
        <v>3020</v>
      </c>
      <c r="C197" s="1" t="s">
        <v>5602</v>
      </c>
      <c r="D197" s="1" t="s">
        <v>5590</v>
      </c>
      <c r="E197" s="3">
        <v>45550</v>
      </c>
      <c r="F197" s="1">
        <v>30</v>
      </c>
      <c r="G197" s="1">
        <v>1</v>
      </c>
      <c r="H197" s="1">
        <f t="shared" si="3"/>
        <v>60</v>
      </c>
    </row>
    <row r="198" spans="1:8" ht="18" customHeight="1" x14ac:dyDescent="0.25">
      <c r="A198" s="1" t="s">
        <v>5731</v>
      </c>
      <c r="B198" s="1" t="s">
        <v>2590</v>
      </c>
      <c r="C198" s="1" t="s">
        <v>5589</v>
      </c>
      <c r="D198" s="1" t="s">
        <v>5598</v>
      </c>
      <c r="E198" s="3">
        <v>45546</v>
      </c>
      <c r="F198" s="1">
        <v>30</v>
      </c>
      <c r="G198" s="1">
        <v>1</v>
      </c>
      <c r="H198" s="1">
        <f t="shared" si="3"/>
        <v>60</v>
      </c>
    </row>
    <row r="199" spans="1:8" ht="18" customHeight="1" x14ac:dyDescent="0.25">
      <c r="A199" s="1" t="s">
        <v>5977</v>
      </c>
      <c r="B199" s="1" t="s">
        <v>3257</v>
      </c>
      <c r="C199" s="1" t="s">
        <v>5592</v>
      </c>
      <c r="D199" s="1" t="s">
        <v>5598</v>
      </c>
      <c r="E199" s="3">
        <v>45543</v>
      </c>
      <c r="F199" s="1">
        <v>30</v>
      </c>
      <c r="G199" s="1">
        <v>1</v>
      </c>
      <c r="H199" s="1">
        <f t="shared" si="3"/>
        <v>60</v>
      </c>
    </row>
    <row r="200" spans="1:8" ht="18" customHeight="1" x14ac:dyDescent="0.25">
      <c r="A200" s="1" t="s">
        <v>6024</v>
      </c>
      <c r="B200" s="1" t="s">
        <v>3335</v>
      </c>
      <c r="C200" s="1" t="s">
        <v>5597</v>
      </c>
      <c r="D200" s="1" t="s">
        <v>5595</v>
      </c>
      <c r="E200" s="3">
        <v>45542</v>
      </c>
      <c r="F200" s="1">
        <v>30</v>
      </c>
      <c r="G200" s="1">
        <v>1</v>
      </c>
      <c r="H200" s="1">
        <f t="shared" si="3"/>
        <v>60</v>
      </c>
    </row>
    <row r="201" spans="1:8" ht="18" customHeight="1" x14ac:dyDescent="0.25">
      <c r="A201" s="1" t="s">
        <v>6094</v>
      </c>
      <c r="B201" s="1" t="s">
        <v>3449</v>
      </c>
      <c r="C201" s="1" t="s">
        <v>5592</v>
      </c>
      <c r="D201" s="1" t="s">
        <v>5593</v>
      </c>
      <c r="E201" s="3">
        <v>45542</v>
      </c>
      <c r="F201" s="1">
        <v>30</v>
      </c>
      <c r="G201" s="1">
        <v>1</v>
      </c>
      <c r="H201" s="1">
        <f t="shared" si="3"/>
        <v>60</v>
      </c>
    </row>
    <row r="202" spans="1:8" ht="18" customHeight="1" x14ac:dyDescent="0.25">
      <c r="A202" s="1" t="s">
        <v>5792</v>
      </c>
      <c r="B202" s="1" t="s">
        <v>2820</v>
      </c>
      <c r="C202" s="1" t="s">
        <v>5592</v>
      </c>
      <c r="D202" s="1" t="s">
        <v>5590</v>
      </c>
      <c r="E202" s="3">
        <v>45539</v>
      </c>
      <c r="F202" s="1">
        <v>30</v>
      </c>
      <c r="G202" s="1">
        <v>1</v>
      </c>
      <c r="H202" s="1">
        <f t="shared" si="3"/>
        <v>60</v>
      </c>
    </row>
    <row r="203" spans="1:8" ht="18" customHeight="1" x14ac:dyDescent="0.25">
      <c r="A203" s="1" t="s">
        <v>5645</v>
      </c>
      <c r="B203" s="1" t="s">
        <v>2306</v>
      </c>
      <c r="C203" s="1" t="s">
        <v>5589</v>
      </c>
      <c r="D203" s="1" t="s">
        <v>5590</v>
      </c>
      <c r="E203" s="3">
        <v>45537</v>
      </c>
      <c r="F203" s="1">
        <v>30</v>
      </c>
      <c r="G203" s="1">
        <v>1</v>
      </c>
      <c r="H203" s="1">
        <f t="shared" si="3"/>
        <v>60</v>
      </c>
    </row>
    <row r="204" spans="1:8" ht="18" customHeight="1" x14ac:dyDescent="0.25">
      <c r="A204" s="1" t="s">
        <v>5846</v>
      </c>
      <c r="B204" s="1" t="s">
        <v>2992</v>
      </c>
      <c r="C204" s="1" t="s">
        <v>5602</v>
      </c>
      <c r="D204" s="1" t="s">
        <v>5598</v>
      </c>
      <c r="E204" s="3">
        <v>45528</v>
      </c>
      <c r="F204" s="1">
        <v>30</v>
      </c>
      <c r="G204" s="1">
        <v>1</v>
      </c>
      <c r="H204" s="1">
        <f t="shared" si="3"/>
        <v>60</v>
      </c>
    </row>
    <row r="205" spans="1:8" ht="18" customHeight="1" x14ac:dyDescent="0.25">
      <c r="A205" s="1" t="s">
        <v>5937</v>
      </c>
      <c r="B205" s="1" t="s">
        <v>3190</v>
      </c>
      <c r="C205" s="1" t="s">
        <v>5597</v>
      </c>
      <c r="D205" s="1" t="s">
        <v>5598</v>
      </c>
      <c r="E205" s="3">
        <v>45518</v>
      </c>
      <c r="F205" s="1">
        <v>30</v>
      </c>
      <c r="G205" s="1">
        <v>1</v>
      </c>
      <c r="H205" s="1">
        <f t="shared" si="3"/>
        <v>60</v>
      </c>
    </row>
    <row r="206" spans="1:8" ht="18" customHeight="1" x14ac:dyDescent="0.25">
      <c r="A206" s="1" t="s">
        <v>5773</v>
      </c>
      <c r="B206" s="1" t="s">
        <v>2761</v>
      </c>
      <c r="C206" s="1" t="s">
        <v>5597</v>
      </c>
      <c r="D206" s="1" t="s">
        <v>5595</v>
      </c>
      <c r="E206" s="3">
        <v>45516</v>
      </c>
      <c r="F206" s="1">
        <v>30</v>
      </c>
      <c r="G206" s="1">
        <v>1</v>
      </c>
      <c r="H206" s="1">
        <f t="shared" si="3"/>
        <v>60</v>
      </c>
    </row>
    <row r="207" spans="1:8" ht="18" customHeight="1" x14ac:dyDescent="0.25">
      <c r="A207" s="1" t="s">
        <v>5788</v>
      </c>
      <c r="B207" s="1" t="s">
        <v>2809</v>
      </c>
      <c r="C207" s="1" t="s">
        <v>5597</v>
      </c>
      <c r="D207" s="1" t="s">
        <v>5593</v>
      </c>
      <c r="E207" s="3">
        <v>45516</v>
      </c>
      <c r="F207" s="1">
        <v>30</v>
      </c>
      <c r="G207" s="1">
        <v>1</v>
      </c>
      <c r="H207" s="1">
        <f t="shared" si="3"/>
        <v>60</v>
      </c>
    </row>
    <row r="208" spans="1:8" ht="18" customHeight="1" x14ac:dyDescent="0.25">
      <c r="A208" s="1" t="s">
        <v>5668</v>
      </c>
      <c r="B208" s="1" t="s">
        <v>2390</v>
      </c>
      <c r="C208" s="1" t="s">
        <v>5597</v>
      </c>
      <c r="D208" s="1" t="s">
        <v>5595</v>
      </c>
      <c r="E208" s="3">
        <v>45513</v>
      </c>
      <c r="F208" s="1">
        <v>30</v>
      </c>
      <c r="G208" s="1">
        <v>1</v>
      </c>
      <c r="H208" s="1">
        <f t="shared" si="3"/>
        <v>60</v>
      </c>
    </row>
    <row r="209" spans="1:8" ht="18" customHeight="1" x14ac:dyDescent="0.25">
      <c r="A209" s="1" t="s">
        <v>5666</v>
      </c>
      <c r="B209" s="1" t="s">
        <v>2382</v>
      </c>
      <c r="C209" s="1" t="s">
        <v>5597</v>
      </c>
      <c r="D209" s="1" t="s">
        <v>5595</v>
      </c>
      <c r="E209" s="3">
        <v>45510</v>
      </c>
      <c r="F209" s="1">
        <v>30</v>
      </c>
      <c r="G209" s="1">
        <v>1</v>
      </c>
      <c r="H209" s="1">
        <f t="shared" si="3"/>
        <v>60</v>
      </c>
    </row>
    <row r="210" spans="1:8" ht="18" customHeight="1" x14ac:dyDescent="0.25">
      <c r="A210" s="1" t="s">
        <v>6022</v>
      </c>
      <c r="B210" s="1" t="s">
        <v>3332</v>
      </c>
      <c r="C210" s="1" t="s">
        <v>5597</v>
      </c>
      <c r="D210" s="1" t="s">
        <v>5595</v>
      </c>
      <c r="E210" s="3">
        <v>45507</v>
      </c>
      <c r="F210" s="1">
        <v>30</v>
      </c>
      <c r="G210" s="1">
        <v>1</v>
      </c>
      <c r="H210" s="1">
        <f t="shared" si="3"/>
        <v>60</v>
      </c>
    </row>
    <row r="211" spans="1:8" ht="18" customHeight="1" x14ac:dyDescent="0.25">
      <c r="A211" s="1" t="s">
        <v>5621</v>
      </c>
      <c r="B211" s="1" t="s">
        <v>2205</v>
      </c>
      <c r="C211" s="1" t="s">
        <v>5589</v>
      </c>
      <c r="D211" s="1" t="s">
        <v>5590</v>
      </c>
      <c r="E211" s="3">
        <v>45504</v>
      </c>
      <c r="F211" s="1">
        <v>30</v>
      </c>
      <c r="G211" s="1">
        <v>1</v>
      </c>
      <c r="H211" s="1">
        <f t="shared" si="3"/>
        <v>60</v>
      </c>
    </row>
    <row r="212" spans="1:8" ht="18" customHeight="1" x14ac:dyDescent="0.25">
      <c r="A212" s="1" t="s">
        <v>5701</v>
      </c>
      <c r="B212" s="1" t="s">
        <v>2502</v>
      </c>
      <c r="C212" s="1" t="s">
        <v>5597</v>
      </c>
      <c r="D212" s="1" t="s">
        <v>5590</v>
      </c>
      <c r="E212" s="3">
        <v>45504</v>
      </c>
      <c r="F212" s="1">
        <v>30</v>
      </c>
      <c r="G212" s="1">
        <v>1</v>
      </c>
      <c r="H212" s="1">
        <f t="shared" si="3"/>
        <v>60</v>
      </c>
    </row>
    <row r="213" spans="1:8" ht="18" customHeight="1" x14ac:dyDescent="0.25">
      <c r="A213" s="1" t="s">
        <v>6086</v>
      </c>
      <c r="B213" s="1" t="s">
        <v>3434</v>
      </c>
      <c r="C213" s="1" t="s">
        <v>5592</v>
      </c>
      <c r="D213" s="1" t="s">
        <v>5598</v>
      </c>
      <c r="E213" s="3">
        <v>45502</v>
      </c>
      <c r="F213" s="1">
        <v>30</v>
      </c>
      <c r="G213" s="1">
        <v>1</v>
      </c>
      <c r="H213" s="1">
        <f t="shared" si="3"/>
        <v>60</v>
      </c>
    </row>
    <row r="214" spans="1:8" ht="18" customHeight="1" x14ac:dyDescent="0.25">
      <c r="A214" s="1" t="s">
        <v>5878</v>
      </c>
      <c r="B214" s="1" t="s">
        <v>3079</v>
      </c>
      <c r="C214" s="1" t="s">
        <v>5597</v>
      </c>
      <c r="D214" s="1" t="s">
        <v>5590</v>
      </c>
      <c r="E214" s="3">
        <v>45500</v>
      </c>
      <c r="F214" s="1">
        <v>30</v>
      </c>
      <c r="G214" s="1">
        <v>1</v>
      </c>
      <c r="H214" s="1">
        <f t="shared" si="3"/>
        <v>60</v>
      </c>
    </row>
    <row r="215" spans="1:8" ht="18" customHeight="1" x14ac:dyDescent="0.25">
      <c r="A215" s="1" t="s">
        <v>5929</v>
      </c>
      <c r="B215" s="1" t="s">
        <v>3177</v>
      </c>
      <c r="C215" s="1" t="s">
        <v>5597</v>
      </c>
      <c r="D215" s="1" t="s">
        <v>5595</v>
      </c>
      <c r="E215" s="3">
        <v>45500</v>
      </c>
      <c r="F215" s="1">
        <v>30</v>
      </c>
      <c r="G215" s="1">
        <v>1</v>
      </c>
      <c r="H215" s="1">
        <f t="shared" si="3"/>
        <v>60</v>
      </c>
    </row>
    <row r="216" spans="1:8" ht="18" customHeight="1" x14ac:dyDescent="0.25">
      <c r="A216" s="1" t="s">
        <v>5838</v>
      </c>
      <c r="B216" s="1" t="s">
        <v>2969</v>
      </c>
      <c r="C216" s="1" t="s">
        <v>5597</v>
      </c>
      <c r="D216" s="1" t="s">
        <v>5590</v>
      </c>
      <c r="E216" s="3">
        <v>45494</v>
      </c>
      <c r="F216" s="1">
        <v>30</v>
      </c>
      <c r="G216" s="1">
        <v>1</v>
      </c>
      <c r="H216" s="1">
        <f t="shared" si="3"/>
        <v>60</v>
      </c>
    </row>
    <row r="217" spans="1:8" ht="18" customHeight="1" x14ac:dyDescent="0.25">
      <c r="A217" s="1" t="s">
        <v>5676</v>
      </c>
      <c r="B217" s="1" t="s">
        <v>2418</v>
      </c>
      <c r="C217" s="1" t="s">
        <v>5589</v>
      </c>
      <c r="D217" s="1" t="s">
        <v>5593</v>
      </c>
      <c r="E217" s="3">
        <v>45490</v>
      </c>
      <c r="F217" s="1">
        <v>30</v>
      </c>
      <c r="G217" s="1">
        <v>1</v>
      </c>
      <c r="H217" s="1">
        <f t="shared" si="3"/>
        <v>60</v>
      </c>
    </row>
    <row r="218" spans="1:8" ht="18" customHeight="1" x14ac:dyDescent="0.25">
      <c r="A218" s="1" t="s">
        <v>5938</v>
      </c>
      <c r="B218" s="1" t="s">
        <v>3192</v>
      </c>
      <c r="C218" s="1" t="s">
        <v>5592</v>
      </c>
      <c r="D218" s="1" t="s">
        <v>5593</v>
      </c>
      <c r="E218" s="3">
        <v>45488</v>
      </c>
      <c r="F218" s="1">
        <v>30</v>
      </c>
      <c r="G218" s="1">
        <v>1</v>
      </c>
      <c r="H218" s="1">
        <f t="shared" si="3"/>
        <v>60</v>
      </c>
    </row>
    <row r="219" spans="1:8" ht="18" customHeight="1" x14ac:dyDescent="0.25">
      <c r="A219" s="1" t="s">
        <v>5923</v>
      </c>
      <c r="B219" s="1" t="s">
        <v>3166</v>
      </c>
      <c r="C219" s="1" t="s">
        <v>5597</v>
      </c>
      <c r="D219" s="1" t="s">
        <v>5593</v>
      </c>
      <c r="E219" s="3">
        <v>45476</v>
      </c>
      <c r="F219" s="1">
        <v>30</v>
      </c>
      <c r="G219" s="1">
        <v>1</v>
      </c>
      <c r="H219" s="1">
        <f t="shared" si="3"/>
        <v>60</v>
      </c>
    </row>
    <row r="220" spans="1:8" ht="18" customHeight="1" x14ac:dyDescent="0.25">
      <c r="A220" s="1" t="s">
        <v>5853</v>
      </c>
      <c r="B220" s="1" t="s">
        <v>3016</v>
      </c>
      <c r="C220" s="1" t="s">
        <v>5602</v>
      </c>
      <c r="D220" s="1" t="s">
        <v>5590</v>
      </c>
      <c r="E220" s="3">
        <v>45472</v>
      </c>
      <c r="F220" s="1">
        <v>30</v>
      </c>
      <c r="G220" s="1">
        <v>1</v>
      </c>
      <c r="H220" s="1">
        <f t="shared" si="3"/>
        <v>60</v>
      </c>
    </row>
    <row r="221" spans="1:8" ht="18" customHeight="1" x14ac:dyDescent="0.25">
      <c r="A221" s="1" t="s">
        <v>5807</v>
      </c>
      <c r="B221" s="1" t="s">
        <v>2866</v>
      </c>
      <c r="C221" s="1" t="s">
        <v>5602</v>
      </c>
      <c r="D221" s="1" t="s">
        <v>5593</v>
      </c>
      <c r="E221" s="3">
        <v>45467</v>
      </c>
      <c r="F221" s="1">
        <v>30</v>
      </c>
      <c r="G221" s="1">
        <v>1</v>
      </c>
      <c r="H221" s="1">
        <f t="shared" si="3"/>
        <v>60</v>
      </c>
    </row>
    <row r="222" spans="1:8" ht="18" customHeight="1" x14ac:dyDescent="0.25">
      <c r="A222" s="1" t="s">
        <v>5829</v>
      </c>
      <c r="B222" s="1" t="s">
        <v>2933</v>
      </c>
      <c r="C222" s="1" t="s">
        <v>5602</v>
      </c>
      <c r="D222" s="1" t="s">
        <v>5590</v>
      </c>
      <c r="E222" s="3">
        <v>45467</v>
      </c>
      <c r="F222" s="1">
        <v>30</v>
      </c>
      <c r="G222" s="1">
        <v>1</v>
      </c>
      <c r="H222" s="1">
        <f t="shared" si="3"/>
        <v>60</v>
      </c>
    </row>
    <row r="223" spans="1:8" ht="18" customHeight="1" x14ac:dyDescent="0.25">
      <c r="A223" s="1" t="s">
        <v>5776</v>
      </c>
      <c r="B223" s="1" t="s">
        <v>2768</v>
      </c>
      <c r="C223" s="1" t="s">
        <v>5589</v>
      </c>
      <c r="D223" s="1" t="s">
        <v>5598</v>
      </c>
      <c r="E223" s="3">
        <v>45463</v>
      </c>
      <c r="F223" s="1">
        <v>30</v>
      </c>
      <c r="G223" s="1">
        <v>1</v>
      </c>
      <c r="H223" s="1">
        <f t="shared" si="3"/>
        <v>60</v>
      </c>
    </row>
    <row r="224" spans="1:8" ht="18" customHeight="1" x14ac:dyDescent="0.25">
      <c r="A224" s="1" t="s">
        <v>5725</v>
      </c>
      <c r="B224" s="1" t="s">
        <v>2578</v>
      </c>
      <c r="C224" s="1" t="s">
        <v>5592</v>
      </c>
      <c r="D224" s="1" t="s">
        <v>5598</v>
      </c>
      <c r="E224" s="3">
        <v>45462</v>
      </c>
      <c r="F224" s="1">
        <v>30</v>
      </c>
      <c r="G224" s="1">
        <v>1</v>
      </c>
      <c r="H224" s="1">
        <f t="shared" si="3"/>
        <v>60</v>
      </c>
    </row>
    <row r="225" spans="1:8" ht="18" customHeight="1" x14ac:dyDescent="0.25">
      <c r="A225" s="1" t="s">
        <v>5928</v>
      </c>
      <c r="B225" s="1" t="s">
        <v>3175</v>
      </c>
      <c r="C225" s="1" t="s">
        <v>5592</v>
      </c>
      <c r="D225" s="1" t="s">
        <v>5590</v>
      </c>
      <c r="E225" s="3">
        <v>45457</v>
      </c>
      <c r="F225" s="1">
        <v>30</v>
      </c>
      <c r="G225" s="1">
        <v>1</v>
      </c>
      <c r="H225" s="1">
        <f t="shared" si="3"/>
        <v>60</v>
      </c>
    </row>
    <row r="226" spans="1:8" ht="18" customHeight="1" x14ac:dyDescent="0.25">
      <c r="A226" s="1" t="s">
        <v>6018</v>
      </c>
      <c r="B226" s="1" t="s">
        <v>3326</v>
      </c>
      <c r="C226" s="1" t="s">
        <v>5589</v>
      </c>
      <c r="D226" s="1" t="s">
        <v>5598</v>
      </c>
      <c r="E226" s="3">
        <v>45444</v>
      </c>
      <c r="F226" s="1">
        <v>30</v>
      </c>
      <c r="G226" s="1">
        <v>1</v>
      </c>
      <c r="H226" s="1">
        <f t="shared" si="3"/>
        <v>60</v>
      </c>
    </row>
    <row r="227" spans="1:8" ht="18" customHeight="1" x14ac:dyDescent="0.25">
      <c r="A227" s="1" t="s">
        <v>6042</v>
      </c>
      <c r="B227" s="1" t="s">
        <v>3364</v>
      </c>
      <c r="C227" s="1" t="s">
        <v>5589</v>
      </c>
      <c r="D227" s="1" t="s">
        <v>5595</v>
      </c>
      <c r="E227" s="3">
        <v>45434</v>
      </c>
      <c r="F227" s="1">
        <v>30</v>
      </c>
      <c r="G227" s="1">
        <v>1</v>
      </c>
      <c r="H227" s="1">
        <f t="shared" si="3"/>
        <v>60</v>
      </c>
    </row>
    <row r="228" spans="1:8" ht="18" customHeight="1" x14ac:dyDescent="0.25">
      <c r="A228" s="1" t="s">
        <v>6006</v>
      </c>
      <c r="B228" s="1" t="s">
        <v>3306</v>
      </c>
      <c r="C228" s="1" t="s">
        <v>5592</v>
      </c>
      <c r="D228" s="1" t="s">
        <v>5595</v>
      </c>
      <c r="E228" s="3">
        <v>45429</v>
      </c>
      <c r="F228" s="1">
        <v>30</v>
      </c>
      <c r="G228" s="1">
        <v>1</v>
      </c>
      <c r="H228" s="1">
        <f t="shared" si="3"/>
        <v>60</v>
      </c>
    </row>
    <row r="229" spans="1:8" ht="18" customHeight="1" x14ac:dyDescent="0.25">
      <c r="A229" s="1" t="s">
        <v>5702</v>
      </c>
      <c r="B229" s="1" t="s">
        <v>2503</v>
      </c>
      <c r="C229" s="1" t="s">
        <v>5589</v>
      </c>
      <c r="D229" s="1" t="s">
        <v>5598</v>
      </c>
      <c r="E229" s="3">
        <v>45425</v>
      </c>
      <c r="F229" s="1">
        <v>30</v>
      </c>
      <c r="G229" s="1">
        <v>1</v>
      </c>
      <c r="H229" s="1">
        <f t="shared" si="3"/>
        <v>60</v>
      </c>
    </row>
    <row r="230" spans="1:8" ht="18" customHeight="1" x14ac:dyDescent="0.25">
      <c r="A230" s="1" t="s">
        <v>5873</v>
      </c>
      <c r="B230" s="1" t="s">
        <v>3069</v>
      </c>
      <c r="C230" s="1" t="s">
        <v>5602</v>
      </c>
      <c r="D230" s="1" t="s">
        <v>5590</v>
      </c>
      <c r="E230" s="3">
        <v>45407</v>
      </c>
      <c r="F230" s="1">
        <v>30</v>
      </c>
      <c r="G230" s="1">
        <v>1</v>
      </c>
      <c r="H230" s="1">
        <f t="shared" si="3"/>
        <v>60</v>
      </c>
    </row>
    <row r="231" spans="1:8" ht="18" customHeight="1" x14ac:dyDescent="0.25">
      <c r="A231" s="1" t="s">
        <v>5785</v>
      </c>
      <c r="B231" s="1" t="s">
        <v>2796</v>
      </c>
      <c r="C231" s="1" t="s">
        <v>5597</v>
      </c>
      <c r="D231" s="1" t="s">
        <v>5595</v>
      </c>
      <c r="E231" s="3">
        <v>45403</v>
      </c>
      <c r="F231" s="1">
        <v>30</v>
      </c>
      <c r="G231" s="1">
        <v>1</v>
      </c>
      <c r="H231" s="1">
        <f t="shared" si="3"/>
        <v>60</v>
      </c>
    </row>
    <row r="232" spans="1:8" ht="18" customHeight="1" x14ac:dyDescent="0.25">
      <c r="A232" s="1" t="s">
        <v>6016</v>
      </c>
      <c r="B232" s="1" t="s">
        <v>3324</v>
      </c>
      <c r="C232" s="1" t="s">
        <v>5597</v>
      </c>
      <c r="D232" s="1" t="s">
        <v>5598</v>
      </c>
      <c r="E232" s="3">
        <v>45403</v>
      </c>
      <c r="F232" s="1">
        <v>30</v>
      </c>
      <c r="G232" s="1">
        <v>1</v>
      </c>
      <c r="H232" s="1">
        <f t="shared" si="3"/>
        <v>60</v>
      </c>
    </row>
    <row r="233" spans="1:8" ht="18" customHeight="1" x14ac:dyDescent="0.25">
      <c r="A233" s="1" t="s">
        <v>6009</v>
      </c>
      <c r="B233" s="1" t="s">
        <v>3311</v>
      </c>
      <c r="C233" s="1" t="s">
        <v>5597</v>
      </c>
      <c r="D233" s="1" t="s">
        <v>5598</v>
      </c>
      <c r="E233" s="3">
        <v>45402</v>
      </c>
      <c r="F233" s="1">
        <v>30</v>
      </c>
      <c r="G233" s="1">
        <v>1</v>
      </c>
      <c r="H233" s="1">
        <f t="shared" si="3"/>
        <v>60</v>
      </c>
    </row>
    <row r="234" spans="1:8" ht="18" customHeight="1" x14ac:dyDescent="0.25">
      <c r="A234" s="1" t="s">
        <v>5675</v>
      </c>
      <c r="B234" s="1" t="s">
        <v>2416</v>
      </c>
      <c r="C234" s="1" t="s">
        <v>5597</v>
      </c>
      <c r="D234" s="1" t="s">
        <v>5598</v>
      </c>
      <c r="E234" s="3">
        <v>45400</v>
      </c>
      <c r="F234" s="1">
        <v>30</v>
      </c>
      <c r="G234" s="1">
        <v>1</v>
      </c>
      <c r="H234" s="1">
        <f t="shared" si="3"/>
        <v>60</v>
      </c>
    </row>
    <row r="235" spans="1:8" ht="18" customHeight="1" x14ac:dyDescent="0.25">
      <c r="A235" s="1" t="s">
        <v>5905</v>
      </c>
      <c r="B235" s="1" t="s">
        <v>3133</v>
      </c>
      <c r="C235" s="1" t="s">
        <v>5589</v>
      </c>
      <c r="D235" s="1" t="s">
        <v>5590</v>
      </c>
      <c r="E235" s="3">
        <v>45394</v>
      </c>
      <c r="F235" s="1">
        <v>30</v>
      </c>
      <c r="G235" s="1">
        <v>1</v>
      </c>
      <c r="H235" s="1">
        <f t="shared" si="3"/>
        <v>60</v>
      </c>
    </row>
    <row r="236" spans="1:8" ht="18" customHeight="1" x14ac:dyDescent="0.25">
      <c r="A236" s="1" t="s">
        <v>5902</v>
      </c>
      <c r="B236" s="1" t="s">
        <v>3127</v>
      </c>
      <c r="C236" s="1" t="s">
        <v>5597</v>
      </c>
      <c r="D236" s="1" t="s">
        <v>5590</v>
      </c>
      <c r="E236" s="3">
        <v>45393</v>
      </c>
      <c r="F236" s="1">
        <v>30</v>
      </c>
      <c r="G236" s="1">
        <v>1</v>
      </c>
      <c r="H236" s="1">
        <f t="shared" si="3"/>
        <v>60</v>
      </c>
    </row>
    <row r="237" spans="1:8" ht="18" customHeight="1" x14ac:dyDescent="0.25">
      <c r="A237" s="1" t="s">
        <v>5635</v>
      </c>
      <c r="B237" s="1" t="s">
        <v>2266</v>
      </c>
      <c r="C237" s="1" t="s">
        <v>5597</v>
      </c>
      <c r="D237" s="1" t="s">
        <v>5598</v>
      </c>
      <c r="E237" s="3">
        <v>45385</v>
      </c>
      <c r="F237" s="1">
        <v>30</v>
      </c>
      <c r="G237" s="1">
        <v>1</v>
      </c>
      <c r="H237" s="1">
        <f t="shared" si="3"/>
        <v>60</v>
      </c>
    </row>
    <row r="238" spans="1:8" ht="18" customHeight="1" x14ac:dyDescent="0.25">
      <c r="A238" s="1" t="s">
        <v>5856</v>
      </c>
      <c r="B238" s="1" t="s">
        <v>3024</v>
      </c>
      <c r="C238" s="1" t="s">
        <v>5592</v>
      </c>
      <c r="D238" s="1" t="s">
        <v>5595</v>
      </c>
      <c r="E238" s="3">
        <v>45382</v>
      </c>
      <c r="F238" s="1">
        <v>30</v>
      </c>
      <c r="G238" s="1">
        <v>1</v>
      </c>
      <c r="H238" s="1">
        <f t="shared" si="3"/>
        <v>60</v>
      </c>
    </row>
    <row r="239" spans="1:8" ht="18" customHeight="1" x14ac:dyDescent="0.25">
      <c r="A239" s="1" t="s">
        <v>5952</v>
      </c>
      <c r="B239" s="1" t="s">
        <v>3213</v>
      </c>
      <c r="C239" s="1" t="s">
        <v>5589</v>
      </c>
      <c r="D239" s="1" t="s">
        <v>5598</v>
      </c>
      <c r="E239" s="3">
        <v>45382</v>
      </c>
      <c r="F239" s="1">
        <v>30</v>
      </c>
      <c r="G239" s="1">
        <v>1</v>
      </c>
      <c r="H239" s="1">
        <f t="shared" si="3"/>
        <v>60</v>
      </c>
    </row>
    <row r="240" spans="1:8" ht="18" customHeight="1" x14ac:dyDescent="0.25">
      <c r="A240" s="1" t="s">
        <v>6029</v>
      </c>
      <c r="B240" s="1" t="s">
        <v>3344</v>
      </c>
      <c r="C240" s="1" t="s">
        <v>5589</v>
      </c>
      <c r="D240" s="1" t="s">
        <v>5598</v>
      </c>
      <c r="E240" s="3">
        <v>45382</v>
      </c>
      <c r="F240" s="1">
        <v>30</v>
      </c>
      <c r="G240" s="1">
        <v>1</v>
      </c>
      <c r="H240" s="1">
        <f t="shared" si="3"/>
        <v>60</v>
      </c>
    </row>
    <row r="241" spans="1:8" ht="18" customHeight="1" x14ac:dyDescent="0.25">
      <c r="A241" s="1" t="s">
        <v>6038</v>
      </c>
      <c r="B241" s="1" t="s">
        <v>3358</v>
      </c>
      <c r="C241" s="1" t="s">
        <v>5597</v>
      </c>
      <c r="D241" s="1" t="s">
        <v>5590</v>
      </c>
      <c r="E241" s="3">
        <v>45382</v>
      </c>
      <c r="F241" s="1">
        <v>30</v>
      </c>
      <c r="G241" s="1">
        <v>1</v>
      </c>
      <c r="H241" s="1">
        <f t="shared" si="3"/>
        <v>60</v>
      </c>
    </row>
    <row r="242" spans="1:8" ht="18" customHeight="1" x14ac:dyDescent="0.25">
      <c r="A242" s="1" t="s">
        <v>5695</v>
      </c>
      <c r="B242" s="1" t="s">
        <v>2488</v>
      </c>
      <c r="C242" s="1" t="s">
        <v>5597</v>
      </c>
      <c r="D242" s="1" t="s">
        <v>5593</v>
      </c>
      <c r="E242" s="3">
        <v>45373</v>
      </c>
      <c r="F242" s="1">
        <v>30</v>
      </c>
      <c r="G242" s="1">
        <v>1</v>
      </c>
      <c r="H242" s="1">
        <f t="shared" si="3"/>
        <v>60</v>
      </c>
    </row>
    <row r="243" spans="1:8" ht="18" customHeight="1" x14ac:dyDescent="0.25">
      <c r="A243" s="1" t="s">
        <v>5810</v>
      </c>
      <c r="B243" s="1" t="s">
        <v>2871</v>
      </c>
      <c r="C243" s="1" t="s">
        <v>5597</v>
      </c>
      <c r="D243" s="1" t="s">
        <v>5590</v>
      </c>
      <c r="E243" s="3">
        <v>45363</v>
      </c>
      <c r="F243" s="1">
        <v>30</v>
      </c>
      <c r="G243" s="1">
        <v>1</v>
      </c>
      <c r="H243" s="1">
        <f t="shared" si="3"/>
        <v>60</v>
      </c>
    </row>
    <row r="244" spans="1:8" ht="18" customHeight="1" x14ac:dyDescent="0.25">
      <c r="A244" s="1" t="s">
        <v>5682</v>
      </c>
      <c r="B244" s="1" t="s">
        <v>2447</v>
      </c>
      <c r="C244" s="1" t="s">
        <v>5597</v>
      </c>
      <c r="D244" s="1" t="s">
        <v>5598</v>
      </c>
      <c r="E244" s="3">
        <v>45362</v>
      </c>
      <c r="F244" s="1">
        <v>30</v>
      </c>
      <c r="G244" s="1">
        <v>1</v>
      </c>
      <c r="H244" s="1">
        <f t="shared" si="3"/>
        <v>60</v>
      </c>
    </row>
    <row r="245" spans="1:8" ht="18" customHeight="1" x14ac:dyDescent="0.25">
      <c r="A245" s="1" t="s">
        <v>5817</v>
      </c>
      <c r="B245" s="1" t="s">
        <v>2890</v>
      </c>
      <c r="C245" s="1" t="s">
        <v>5602</v>
      </c>
      <c r="D245" s="1" t="s">
        <v>5590</v>
      </c>
      <c r="E245" s="3">
        <v>45361</v>
      </c>
      <c r="F245" s="1">
        <v>30</v>
      </c>
      <c r="G245" s="1">
        <v>1</v>
      </c>
      <c r="H245" s="1">
        <f t="shared" si="3"/>
        <v>60</v>
      </c>
    </row>
    <row r="246" spans="1:8" ht="18" customHeight="1" x14ac:dyDescent="0.25">
      <c r="A246" s="1" t="s">
        <v>6023</v>
      </c>
      <c r="B246" s="1" t="s">
        <v>3333</v>
      </c>
      <c r="C246" s="1" t="s">
        <v>5589</v>
      </c>
      <c r="D246" s="1" t="s">
        <v>5590</v>
      </c>
      <c r="E246" s="3">
        <v>45358</v>
      </c>
      <c r="F246" s="1">
        <v>30</v>
      </c>
      <c r="G246" s="1">
        <v>1</v>
      </c>
      <c r="H246" s="1">
        <f t="shared" si="3"/>
        <v>60</v>
      </c>
    </row>
    <row r="247" spans="1:8" ht="18" customHeight="1" x14ac:dyDescent="0.25">
      <c r="A247" s="1" t="s">
        <v>5685</v>
      </c>
      <c r="B247" s="1" t="s">
        <v>2455</v>
      </c>
      <c r="C247" s="1" t="s">
        <v>5597</v>
      </c>
      <c r="D247" s="1" t="s">
        <v>5595</v>
      </c>
      <c r="E247" s="3">
        <v>45355</v>
      </c>
      <c r="F247" s="1">
        <v>30</v>
      </c>
      <c r="G247" s="1">
        <v>1</v>
      </c>
      <c r="H247" s="1">
        <f t="shared" si="3"/>
        <v>60</v>
      </c>
    </row>
    <row r="248" spans="1:8" ht="18" customHeight="1" x14ac:dyDescent="0.25">
      <c r="A248" s="1" t="s">
        <v>5820</v>
      </c>
      <c r="B248" s="1" t="s">
        <v>2899</v>
      </c>
      <c r="C248" s="1" t="s">
        <v>5589</v>
      </c>
      <c r="D248" s="1" t="s">
        <v>5593</v>
      </c>
      <c r="E248" s="3">
        <v>45348</v>
      </c>
      <c r="F248" s="1">
        <v>30</v>
      </c>
      <c r="G248" s="1">
        <v>1</v>
      </c>
      <c r="H248" s="1">
        <f t="shared" si="3"/>
        <v>60</v>
      </c>
    </row>
    <row r="249" spans="1:8" ht="18" customHeight="1" x14ac:dyDescent="0.25">
      <c r="A249" s="1" t="s">
        <v>5911</v>
      </c>
      <c r="B249" s="1" t="s">
        <v>3143</v>
      </c>
      <c r="C249" s="1" t="s">
        <v>5597</v>
      </c>
      <c r="D249" s="1" t="s">
        <v>5595</v>
      </c>
      <c r="E249" s="3">
        <v>45347</v>
      </c>
      <c r="F249" s="1">
        <v>30</v>
      </c>
      <c r="G249" s="1">
        <v>1</v>
      </c>
      <c r="H249" s="1">
        <f t="shared" si="3"/>
        <v>60</v>
      </c>
    </row>
    <row r="250" spans="1:8" ht="18" customHeight="1" x14ac:dyDescent="0.25">
      <c r="A250" s="1" t="s">
        <v>5834</v>
      </c>
      <c r="B250" s="1" t="s">
        <v>2951</v>
      </c>
      <c r="C250" s="1" t="s">
        <v>5589</v>
      </c>
      <c r="D250" s="1" t="s">
        <v>5595</v>
      </c>
      <c r="E250" s="3">
        <v>45345</v>
      </c>
      <c r="F250" s="1">
        <v>30</v>
      </c>
      <c r="G250" s="1">
        <v>1</v>
      </c>
      <c r="H250" s="1">
        <f t="shared" si="3"/>
        <v>60</v>
      </c>
    </row>
    <row r="251" spans="1:8" ht="18" customHeight="1" x14ac:dyDescent="0.25">
      <c r="A251" s="1" t="s">
        <v>5851</v>
      </c>
      <c r="B251" s="1" t="s">
        <v>3013</v>
      </c>
      <c r="C251" s="1" t="s">
        <v>5589</v>
      </c>
      <c r="D251" s="1" t="s">
        <v>5598</v>
      </c>
      <c r="E251" s="3">
        <v>45345</v>
      </c>
      <c r="F251" s="1">
        <v>30</v>
      </c>
      <c r="G251" s="1">
        <v>1</v>
      </c>
      <c r="H251" s="1">
        <f t="shared" si="3"/>
        <v>60</v>
      </c>
    </row>
    <row r="252" spans="1:8" ht="18" customHeight="1" x14ac:dyDescent="0.25">
      <c r="A252" s="1" t="s">
        <v>5684</v>
      </c>
      <c r="B252" s="1" t="s">
        <v>2453</v>
      </c>
      <c r="C252" s="1" t="s">
        <v>5597</v>
      </c>
      <c r="D252" s="1" t="s">
        <v>5598</v>
      </c>
      <c r="E252" s="3">
        <v>45344</v>
      </c>
      <c r="F252" s="1">
        <v>30</v>
      </c>
      <c r="G252" s="1">
        <v>1</v>
      </c>
      <c r="H252" s="1">
        <f t="shared" si="3"/>
        <v>60</v>
      </c>
    </row>
    <row r="253" spans="1:8" ht="18" customHeight="1" x14ac:dyDescent="0.25">
      <c r="A253" s="1" t="s">
        <v>5907</v>
      </c>
      <c r="B253" s="1" t="s">
        <v>3137</v>
      </c>
      <c r="C253" s="1" t="s">
        <v>5592</v>
      </c>
      <c r="D253" s="1" t="s">
        <v>5593</v>
      </c>
      <c r="E253" s="3">
        <v>45343</v>
      </c>
      <c r="F253" s="1">
        <v>30</v>
      </c>
      <c r="G253" s="1">
        <v>1</v>
      </c>
      <c r="H253" s="1">
        <f t="shared" si="3"/>
        <v>60</v>
      </c>
    </row>
    <row r="254" spans="1:8" ht="18" customHeight="1" x14ac:dyDescent="0.25">
      <c r="A254" s="1" t="s">
        <v>6052</v>
      </c>
      <c r="B254" s="1" t="s">
        <v>3379</v>
      </c>
      <c r="C254" s="1" t="s">
        <v>5602</v>
      </c>
      <c r="D254" s="1" t="s">
        <v>5595</v>
      </c>
      <c r="E254" s="3">
        <v>45343</v>
      </c>
      <c r="F254" s="1">
        <v>30</v>
      </c>
      <c r="G254" s="1">
        <v>1</v>
      </c>
      <c r="H254" s="1">
        <f t="shared" si="3"/>
        <v>60</v>
      </c>
    </row>
    <row r="255" spans="1:8" ht="18" customHeight="1" x14ac:dyDescent="0.25">
      <c r="A255" s="1" t="s">
        <v>5784</v>
      </c>
      <c r="B255" s="1" t="s">
        <v>2791</v>
      </c>
      <c r="C255" s="1" t="s">
        <v>5592</v>
      </c>
      <c r="D255" s="1" t="s">
        <v>5595</v>
      </c>
      <c r="E255" s="3">
        <v>45342</v>
      </c>
      <c r="F255" s="1">
        <v>30</v>
      </c>
      <c r="G255" s="1">
        <v>1</v>
      </c>
      <c r="H255" s="1">
        <f t="shared" si="3"/>
        <v>60</v>
      </c>
    </row>
    <row r="256" spans="1:8" ht="18" customHeight="1" x14ac:dyDescent="0.25">
      <c r="A256" s="1" t="s">
        <v>5756</v>
      </c>
      <c r="B256" s="1" t="s">
        <v>2682</v>
      </c>
      <c r="C256" s="1" t="s">
        <v>5592</v>
      </c>
      <c r="D256" s="1" t="s">
        <v>5590</v>
      </c>
      <c r="E256" s="3">
        <v>45341</v>
      </c>
      <c r="F256" s="1">
        <v>30</v>
      </c>
      <c r="G256" s="1">
        <v>1</v>
      </c>
      <c r="H256" s="1">
        <f t="shared" si="3"/>
        <v>60</v>
      </c>
    </row>
    <row r="257" spans="1:8" ht="18" customHeight="1" x14ac:dyDescent="0.25">
      <c r="A257" s="1" t="s">
        <v>5988</v>
      </c>
      <c r="B257" s="1" t="s">
        <v>3276</v>
      </c>
      <c r="C257" s="1" t="s">
        <v>5602</v>
      </c>
      <c r="D257" s="1" t="s">
        <v>5598</v>
      </c>
      <c r="E257" s="3">
        <v>45341</v>
      </c>
      <c r="F257" s="1">
        <v>30</v>
      </c>
      <c r="G257" s="1">
        <v>1</v>
      </c>
      <c r="H257" s="1">
        <f t="shared" si="3"/>
        <v>60</v>
      </c>
    </row>
    <row r="258" spans="1:8" ht="18" customHeight="1" x14ac:dyDescent="0.25">
      <c r="A258" s="1" t="s">
        <v>5954</v>
      </c>
      <c r="B258" s="1" t="s">
        <v>3216</v>
      </c>
      <c r="C258" s="1" t="s">
        <v>5592</v>
      </c>
      <c r="D258" s="1" t="s">
        <v>5590</v>
      </c>
      <c r="E258" s="3">
        <v>45331</v>
      </c>
      <c r="F258" s="1">
        <v>30</v>
      </c>
      <c r="G258" s="1">
        <v>1</v>
      </c>
      <c r="H258" s="1">
        <f t="shared" ref="H258:H321" si="4">F258*(G258+1)</f>
        <v>60</v>
      </c>
    </row>
    <row r="259" spans="1:8" ht="18" customHeight="1" x14ac:dyDescent="0.25">
      <c r="A259" s="1" t="s">
        <v>6074</v>
      </c>
      <c r="B259" s="1" t="s">
        <v>3414</v>
      </c>
      <c r="C259" s="1" t="s">
        <v>5597</v>
      </c>
      <c r="D259" s="1" t="s">
        <v>5598</v>
      </c>
      <c r="E259" s="3">
        <v>45329</v>
      </c>
      <c r="F259" s="1">
        <v>30</v>
      </c>
      <c r="G259" s="1">
        <v>1</v>
      </c>
      <c r="H259" s="1">
        <f t="shared" si="4"/>
        <v>60</v>
      </c>
    </row>
    <row r="260" spans="1:8" ht="18" customHeight="1" x14ac:dyDescent="0.25">
      <c r="A260" s="1" t="s">
        <v>5717</v>
      </c>
      <c r="B260" s="1" t="s">
        <v>2554</v>
      </c>
      <c r="C260" s="1" t="s">
        <v>5589</v>
      </c>
      <c r="D260" s="1" t="s">
        <v>5598</v>
      </c>
      <c r="E260" s="3">
        <v>45321</v>
      </c>
      <c r="F260" s="1">
        <v>30</v>
      </c>
      <c r="G260" s="1">
        <v>1</v>
      </c>
      <c r="H260" s="1">
        <f t="shared" si="4"/>
        <v>60</v>
      </c>
    </row>
    <row r="261" spans="1:8" ht="18" customHeight="1" x14ac:dyDescent="0.25">
      <c r="A261" s="1" t="s">
        <v>6059</v>
      </c>
      <c r="B261" s="1" t="s">
        <v>3391</v>
      </c>
      <c r="C261" s="1" t="s">
        <v>5589</v>
      </c>
      <c r="D261" s="1" t="s">
        <v>5598</v>
      </c>
      <c r="E261" s="3">
        <v>45320</v>
      </c>
      <c r="F261" s="1">
        <v>30</v>
      </c>
      <c r="G261" s="1">
        <v>1</v>
      </c>
      <c r="H261" s="1">
        <f t="shared" si="4"/>
        <v>60</v>
      </c>
    </row>
    <row r="262" spans="1:8" ht="18" customHeight="1" x14ac:dyDescent="0.25">
      <c r="A262" s="1" t="s">
        <v>5599</v>
      </c>
      <c r="B262" s="1" t="s">
        <v>2112</v>
      </c>
      <c r="C262" s="1" t="s">
        <v>5592</v>
      </c>
      <c r="D262" s="1" t="s">
        <v>5593</v>
      </c>
      <c r="E262" s="3">
        <v>45318</v>
      </c>
      <c r="F262" s="1">
        <v>30</v>
      </c>
      <c r="G262" s="1">
        <v>1</v>
      </c>
      <c r="H262" s="1">
        <f t="shared" si="4"/>
        <v>60</v>
      </c>
    </row>
    <row r="263" spans="1:8" ht="18" customHeight="1" x14ac:dyDescent="0.25">
      <c r="A263" s="1" t="s">
        <v>5610</v>
      </c>
      <c r="B263" s="1" t="s">
        <v>2154</v>
      </c>
      <c r="C263" s="1" t="s">
        <v>5589</v>
      </c>
      <c r="D263" s="1" t="s">
        <v>5593</v>
      </c>
      <c r="E263" s="3">
        <v>45315</v>
      </c>
      <c r="F263" s="1">
        <v>30</v>
      </c>
      <c r="G263" s="1">
        <v>1</v>
      </c>
      <c r="H263" s="1">
        <f t="shared" si="4"/>
        <v>60</v>
      </c>
    </row>
    <row r="264" spans="1:8" ht="18" customHeight="1" x14ac:dyDescent="0.25">
      <c r="A264" s="1" t="s">
        <v>5972</v>
      </c>
      <c r="B264" s="1" t="s">
        <v>3248</v>
      </c>
      <c r="C264" s="1" t="s">
        <v>5597</v>
      </c>
      <c r="D264" s="1" t="s">
        <v>5590</v>
      </c>
      <c r="E264" s="3">
        <v>45311</v>
      </c>
      <c r="F264" s="1">
        <v>30</v>
      </c>
      <c r="G264" s="1">
        <v>1</v>
      </c>
      <c r="H264" s="1">
        <f t="shared" si="4"/>
        <v>60</v>
      </c>
    </row>
    <row r="265" spans="1:8" ht="18" customHeight="1" x14ac:dyDescent="0.25">
      <c r="A265" s="1" t="s">
        <v>5976</v>
      </c>
      <c r="B265" s="1" t="s">
        <v>3256</v>
      </c>
      <c r="C265" s="1" t="s">
        <v>5589</v>
      </c>
      <c r="D265" s="1" t="s">
        <v>5595</v>
      </c>
      <c r="E265" s="3">
        <v>45311</v>
      </c>
      <c r="F265" s="1">
        <v>30</v>
      </c>
      <c r="G265" s="1">
        <v>1</v>
      </c>
      <c r="H265" s="1">
        <f t="shared" si="4"/>
        <v>60</v>
      </c>
    </row>
    <row r="266" spans="1:8" ht="18" customHeight="1" x14ac:dyDescent="0.25">
      <c r="A266" s="1" t="s">
        <v>6030</v>
      </c>
      <c r="B266" s="1" t="s">
        <v>3345</v>
      </c>
      <c r="C266" s="1" t="s">
        <v>5592</v>
      </c>
      <c r="D266" s="1" t="s">
        <v>5590</v>
      </c>
      <c r="E266" s="3">
        <v>45311</v>
      </c>
      <c r="F266" s="1">
        <v>30</v>
      </c>
      <c r="G266" s="1">
        <v>1</v>
      </c>
      <c r="H266" s="1">
        <f t="shared" si="4"/>
        <v>60</v>
      </c>
    </row>
    <row r="267" spans="1:8" ht="18" customHeight="1" x14ac:dyDescent="0.25">
      <c r="A267" s="1" t="s">
        <v>5683</v>
      </c>
      <c r="B267" s="1" t="s">
        <v>2449</v>
      </c>
      <c r="C267" s="1" t="s">
        <v>5589</v>
      </c>
      <c r="D267" s="1" t="s">
        <v>5590</v>
      </c>
      <c r="E267" s="3">
        <v>45309</v>
      </c>
      <c r="F267" s="1">
        <v>30</v>
      </c>
      <c r="G267" s="1">
        <v>1</v>
      </c>
      <c r="H267" s="1">
        <f t="shared" si="4"/>
        <v>60</v>
      </c>
    </row>
    <row r="268" spans="1:8" ht="18" customHeight="1" x14ac:dyDescent="0.25">
      <c r="A268" s="1" t="s">
        <v>5994</v>
      </c>
      <c r="B268" s="1" t="s">
        <v>3285</v>
      </c>
      <c r="C268" s="1" t="s">
        <v>5592</v>
      </c>
      <c r="D268" s="1" t="s">
        <v>5593</v>
      </c>
      <c r="E268" s="3">
        <v>45304</v>
      </c>
      <c r="F268" s="1">
        <v>30</v>
      </c>
      <c r="G268" s="1">
        <v>1</v>
      </c>
      <c r="H268" s="1">
        <f t="shared" si="4"/>
        <v>60</v>
      </c>
    </row>
    <row r="269" spans="1:8" ht="18" customHeight="1" x14ac:dyDescent="0.25">
      <c r="A269" s="1" t="s">
        <v>5604</v>
      </c>
      <c r="B269" s="1" t="s">
        <v>2122</v>
      </c>
      <c r="C269" s="1" t="s">
        <v>5592</v>
      </c>
      <c r="D269" s="1" t="s">
        <v>5595</v>
      </c>
      <c r="E269" s="3">
        <v>45302</v>
      </c>
      <c r="F269" s="1">
        <v>30</v>
      </c>
      <c r="G269" s="1">
        <v>1</v>
      </c>
      <c r="H269" s="1">
        <f t="shared" si="4"/>
        <v>60</v>
      </c>
    </row>
    <row r="270" spans="1:8" ht="18" customHeight="1" x14ac:dyDescent="0.25">
      <c r="A270" s="1" t="s">
        <v>5673</v>
      </c>
      <c r="B270" s="1" t="s">
        <v>2404</v>
      </c>
      <c r="C270" s="1" t="s">
        <v>5602</v>
      </c>
      <c r="D270" s="1" t="s">
        <v>5590</v>
      </c>
      <c r="E270" s="3">
        <v>45300</v>
      </c>
      <c r="F270" s="1">
        <v>30</v>
      </c>
      <c r="G270" s="1">
        <v>1</v>
      </c>
      <c r="H270" s="1">
        <f t="shared" si="4"/>
        <v>60</v>
      </c>
    </row>
    <row r="271" spans="1:8" ht="18" customHeight="1" x14ac:dyDescent="0.25">
      <c r="A271" s="1" t="s">
        <v>5968</v>
      </c>
      <c r="B271" s="1" t="s">
        <v>3242</v>
      </c>
      <c r="C271" s="1" t="s">
        <v>5597</v>
      </c>
      <c r="D271" s="1" t="s">
        <v>5590</v>
      </c>
      <c r="E271" s="3">
        <v>45298</v>
      </c>
      <c r="F271" s="1">
        <v>30</v>
      </c>
      <c r="G271" s="1">
        <v>1</v>
      </c>
      <c r="H271" s="1">
        <f t="shared" si="4"/>
        <v>60</v>
      </c>
    </row>
    <row r="272" spans="1:8" ht="18" customHeight="1" x14ac:dyDescent="0.25">
      <c r="A272" s="1" t="s">
        <v>5674</v>
      </c>
      <c r="B272" s="1" t="s">
        <v>2412</v>
      </c>
      <c r="C272" s="1" t="s">
        <v>5597</v>
      </c>
      <c r="D272" s="1" t="s">
        <v>5595</v>
      </c>
      <c r="E272" s="3">
        <v>45293</v>
      </c>
      <c r="F272" s="1">
        <v>30</v>
      </c>
      <c r="G272" s="1">
        <v>1</v>
      </c>
      <c r="H272" s="1">
        <f t="shared" si="4"/>
        <v>60</v>
      </c>
    </row>
    <row r="273" spans="1:8" ht="18" customHeight="1" x14ac:dyDescent="0.25">
      <c r="A273" s="1" t="s">
        <v>6060</v>
      </c>
      <c r="B273" s="1" t="s">
        <v>3393</v>
      </c>
      <c r="C273" s="1" t="s">
        <v>5597</v>
      </c>
      <c r="D273" s="1" t="s">
        <v>5593</v>
      </c>
      <c r="E273" s="3">
        <v>45292</v>
      </c>
      <c r="F273" s="1">
        <v>30</v>
      </c>
      <c r="G273" s="1">
        <v>1</v>
      </c>
      <c r="H273" s="1">
        <f t="shared" si="4"/>
        <v>60</v>
      </c>
    </row>
    <row r="274" spans="1:8" ht="18" customHeight="1" x14ac:dyDescent="0.25">
      <c r="A274" s="1" t="s">
        <v>5809</v>
      </c>
      <c r="B274" s="1" t="s">
        <v>2869</v>
      </c>
      <c r="C274" s="1" t="s">
        <v>5602</v>
      </c>
      <c r="D274" s="1" t="s">
        <v>5595</v>
      </c>
      <c r="E274" s="3">
        <v>45291</v>
      </c>
      <c r="F274" s="1">
        <v>30</v>
      </c>
      <c r="G274" s="1">
        <v>1</v>
      </c>
      <c r="H274" s="1">
        <f t="shared" si="4"/>
        <v>60</v>
      </c>
    </row>
    <row r="275" spans="1:8" ht="18" customHeight="1" x14ac:dyDescent="0.25">
      <c r="A275" s="1" t="s">
        <v>5857</v>
      </c>
      <c r="B275" s="1" t="s">
        <v>3026</v>
      </c>
      <c r="C275" s="1" t="s">
        <v>5602</v>
      </c>
      <c r="D275" s="1" t="s">
        <v>5598</v>
      </c>
      <c r="E275" s="3">
        <v>45282</v>
      </c>
      <c r="F275" s="1">
        <v>30</v>
      </c>
      <c r="G275" s="1">
        <v>1</v>
      </c>
      <c r="H275" s="1">
        <f t="shared" si="4"/>
        <v>60</v>
      </c>
    </row>
    <row r="276" spans="1:8" ht="18" customHeight="1" x14ac:dyDescent="0.25">
      <c r="A276" s="1" t="s">
        <v>5791</v>
      </c>
      <c r="B276" s="1" t="s">
        <v>2818</v>
      </c>
      <c r="C276" s="1" t="s">
        <v>5602</v>
      </c>
      <c r="D276" s="1" t="s">
        <v>5590</v>
      </c>
      <c r="E276" s="3">
        <v>45279</v>
      </c>
      <c r="F276" s="1">
        <v>30</v>
      </c>
      <c r="G276" s="1">
        <v>1</v>
      </c>
      <c r="H276" s="1">
        <f t="shared" si="4"/>
        <v>60</v>
      </c>
    </row>
    <row r="277" spans="1:8" ht="18" customHeight="1" x14ac:dyDescent="0.25">
      <c r="A277" s="1" t="s">
        <v>5706</v>
      </c>
      <c r="B277" s="1" t="s">
        <v>2513</v>
      </c>
      <c r="C277" s="1" t="s">
        <v>5597</v>
      </c>
      <c r="D277" s="1" t="s">
        <v>5593</v>
      </c>
      <c r="E277" s="3">
        <v>45278</v>
      </c>
      <c r="F277" s="1">
        <v>30</v>
      </c>
      <c r="G277" s="1">
        <v>1</v>
      </c>
      <c r="H277" s="1">
        <f t="shared" si="4"/>
        <v>60</v>
      </c>
    </row>
    <row r="278" spans="1:8" ht="18" customHeight="1" x14ac:dyDescent="0.25">
      <c r="A278" s="1" t="s">
        <v>5654</v>
      </c>
      <c r="B278" s="1" t="s">
        <v>2336</v>
      </c>
      <c r="C278" s="1" t="s">
        <v>5589</v>
      </c>
      <c r="D278" s="1" t="s">
        <v>5590</v>
      </c>
      <c r="E278" s="3">
        <v>45277</v>
      </c>
      <c r="F278" s="1">
        <v>30</v>
      </c>
      <c r="G278" s="1">
        <v>1</v>
      </c>
      <c r="H278" s="1">
        <f t="shared" si="4"/>
        <v>60</v>
      </c>
    </row>
    <row r="279" spans="1:8" ht="18" customHeight="1" x14ac:dyDescent="0.25">
      <c r="A279" s="1" t="s">
        <v>5614</v>
      </c>
      <c r="B279" s="1" t="s">
        <v>2177</v>
      </c>
      <c r="C279" s="1" t="s">
        <v>5589</v>
      </c>
      <c r="D279" s="1" t="s">
        <v>5595</v>
      </c>
      <c r="E279" s="3">
        <v>45276</v>
      </c>
      <c r="F279" s="1">
        <v>30</v>
      </c>
      <c r="G279" s="1">
        <v>1</v>
      </c>
      <c r="H279" s="1">
        <f t="shared" si="4"/>
        <v>60</v>
      </c>
    </row>
    <row r="280" spans="1:8" ht="18" customHeight="1" x14ac:dyDescent="0.25">
      <c r="A280" s="1" t="s">
        <v>6048</v>
      </c>
      <c r="B280" s="1" t="s">
        <v>3374</v>
      </c>
      <c r="C280" s="1" t="s">
        <v>5597</v>
      </c>
      <c r="D280" s="1" t="s">
        <v>5595</v>
      </c>
      <c r="E280" s="3">
        <v>45276</v>
      </c>
      <c r="F280" s="1">
        <v>30</v>
      </c>
      <c r="G280" s="1">
        <v>1</v>
      </c>
      <c r="H280" s="1">
        <f t="shared" si="4"/>
        <v>60</v>
      </c>
    </row>
    <row r="281" spans="1:8" ht="18" customHeight="1" x14ac:dyDescent="0.25">
      <c r="A281" s="1" t="s">
        <v>5936</v>
      </c>
      <c r="B281" s="1" t="s">
        <v>3188</v>
      </c>
      <c r="C281" s="1" t="s">
        <v>5589</v>
      </c>
      <c r="D281" s="1" t="s">
        <v>5598</v>
      </c>
      <c r="E281" s="3">
        <v>45274</v>
      </c>
      <c r="F281" s="1">
        <v>30</v>
      </c>
      <c r="G281" s="1">
        <v>1</v>
      </c>
      <c r="H281" s="1">
        <f t="shared" si="4"/>
        <v>60</v>
      </c>
    </row>
    <row r="282" spans="1:8" ht="18" customHeight="1" x14ac:dyDescent="0.25">
      <c r="A282" s="1" t="s">
        <v>5979</v>
      </c>
      <c r="B282" s="1" t="s">
        <v>3261</v>
      </c>
      <c r="C282" s="1" t="s">
        <v>5597</v>
      </c>
      <c r="D282" s="1" t="s">
        <v>5595</v>
      </c>
      <c r="E282" s="3">
        <v>45268</v>
      </c>
      <c r="F282" s="1">
        <v>30</v>
      </c>
      <c r="G282" s="1">
        <v>1</v>
      </c>
      <c r="H282" s="1">
        <f t="shared" si="4"/>
        <v>60</v>
      </c>
    </row>
    <row r="283" spans="1:8" ht="18" customHeight="1" x14ac:dyDescent="0.25">
      <c r="A283" s="1" t="s">
        <v>5984</v>
      </c>
      <c r="B283" s="1" t="s">
        <v>3268</v>
      </c>
      <c r="C283" s="1" t="s">
        <v>5597</v>
      </c>
      <c r="D283" s="1" t="s">
        <v>5590</v>
      </c>
      <c r="E283" s="3">
        <v>45266</v>
      </c>
      <c r="F283" s="1">
        <v>30</v>
      </c>
      <c r="G283" s="1">
        <v>1</v>
      </c>
      <c r="H283" s="1">
        <f t="shared" si="4"/>
        <v>60</v>
      </c>
    </row>
    <row r="284" spans="1:8" ht="18" customHeight="1" x14ac:dyDescent="0.25">
      <c r="A284" s="1" t="s">
        <v>5632</v>
      </c>
      <c r="B284" s="1" t="s">
        <v>2251</v>
      </c>
      <c r="C284" s="1" t="s">
        <v>5589</v>
      </c>
      <c r="D284" s="1" t="s">
        <v>5593</v>
      </c>
      <c r="E284" s="3">
        <v>45265</v>
      </c>
      <c r="F284" s="1">
        <v>30</v>
      </c>
      <c r="G284" s="1">
        <v>1</v>
      </c>
      <c r="H284" s="1">
        <f t="shared" si="4"/>
        <v>60</v>
      </c>
    </row>
    <row r="285" spans="1:8" ht="18" customHeight="1" x14ac:dyDescent="0.25">
      <c r="A285" s="1" t="s">
        <v>5704</v>
      </c>
      <c r="B285" s="1" t="s">
        <v>2507</v>
      </c>
      <c r="C285" s="1" t="s">
        <v>5592</v>
      </c>
      <c r="D285" s="1" t="s">
        <v>5590</v>
      </c>
      <c r="E285" s="3">
        <v>45263</v>
      </c>
      <c r="F285" s="1">
        <v>30</v>
      </c>
      <c r="G285" s="1">
        <v>1</v>
      </c>
      <c r="H285" s="1">
        <f t="shared" si="4"/>
        <v>60</v>
      </c>
    </row>
    <row r="286" spans="1:8" ht="18" customHeight="1" x14ac:dyDescent="0.25">
      <c r="A286" s="1" t="s">
        <v>5588</v>
      </c>
      <c r="B286" s="1" t="s">
        <v>2090</v>
      </c>
      <c r="C286" s="1" t="s">
        <v>5589</v>
      </c>
      <c r="D286" s="1" t="s">
        <v>5590</v>
      </c>
      <c r="E286" s="3">
        <v>45260</v>
      </c>
      <c r="F286" s="1">
        <v>30</v>
      </c>
      <c r="G286" s="1">
        <v>1</v>
      </c>
      <c r="H286" s="1">
        <f t="shared" si="4"/>
        <v>60</v>
      </c>
    </row>
    <row r="287" spans="1:8" ht="18" customHeight="1" x14ac:dyDescent="0.25">
      <c r="A287" s="1" t="s">
        <v>5896</v>
      </c>
      <c r="B287" s="1" t="s">
        <v>3114</v>
      </c>
      <c r="C287" s="1" t="s">
        <v>5597</v>
      </c>
      <c r="D287" s="1" t="s">
        <v>5593</v>
      </c>
      <c r="E287" s="3">
        <v>45258</v>
      </c>
      <c r="F287" s="1">
        <v>30</v>
      </c>
      <c r="G287" s="1">
        <v>1</v>
      </c>
      <c r="H287" s="1">
        <f t="shared" si="4"/>
        <v>60</v>
      </c>
    </row>
    <row r="288" spans="1:8" ht="18" customHeight="1" x14ac:dyDescent="0.25">
      <c r="A288" s="1" t="s">
        <v>5768</v>
      </c>
      <c r="B288" s="1" t="s">
        <v>2742</v>
      </c>
      <c r="C288" s="1" t="s">
        <v>5602</v>
      </c>
      <c r="D288" s="1" t="s">
        <v>5595</v>
      </c>
      <c r="E288" s="3">
        <v>45253</v>
      </c>
      <c r="F288" s="1">
        <v>30</v>
      </c>
      <c r="G288" s="1">
        <v>1</v>
      </c>
      <c r="H288" s="1">
        <f t="shared" si="4"/>
        <v>60</v>
      </c>
    </row>
    <row r="289" spans="1:8" ht="18" customHeight="1" x14ac:dyDescent="0.25">
      <c r="A289" s="1" t="s">
        <v>5939</v>
      </c>
      <c r="B289" s="1" t="s">
        <v>3194</v>
      </c>
      <c r="C289" s="1" t="s">
        <v>5597</v>
      </c>
      <c r="D289" s="1" t="s">
        <v>5593</v>
      </c>
      <c r="E289" s="3">
        <v>45253</v>
      </c>
      <c r="F289" s="1">
        <v>30</v>
      </c>
      <c r="G289" s="1">
        <v>1</v>
      </c>
      <c r="H289" s="1">
        <f t="shared" si="4"/>
        <v>60</v>
      </c>
    </row>
    <row r="290" spans="1:8" ht="18" customHeight="1" x14ac:dyDescent="0.25">
      <c r="A290" s="1" t="s">
        <v>5760</v>
      </c>
      <c r="B290" s="1" t="s">
        <v>2696</v>
      </c>
      <c r="C290" s="1" t="s">
        <v>5602</v>
      </c>
      <c r="D290" s="1" t="s">
        <v>5593</v>
      </c>
      <c r="E290" s="3">
        <v>45250</v>
      </c>
      <c r="F290" s="1">
        <v>30</v>
      </c>
      <c r="G290" s="1">
        <v>1</v>
      </c>
      <c r="H290" s="1">
        <f t="shared" si="4"/>
        <v>60</v>
      </c>
    </row>
    <row r="291" spans="1:8" ht="18" customHeight="1" x14ac:dyDescent="0.25">
      <c r="A291" s="1" t="s">
        <v>5622</v>
      </c>
      <c r="B291" s="1" t="s">
        <v>2207</v>
      </c>
      <c r="C291" s="1" t="s">
        <v>5589</v>
      </c>
      <c r="D291" s="1" t="s">
        <v>5595</v>
      </c>
      <c r="E291" s="3">
        <v>45248</v>
      </c>
      <c r="F291" s="1">
        <v>30</v>
      </c>
      <c r="G291" s="1">
        <v>1</v>
      </c>
      <c r="H291" s="1">
        <f t="shared" si="4"/>
        <v>60</v>
      </c>
    </row>
    <row r="292" spans="1:8" ht="18" customHeight="1" x14ac:dyDescent="0.25">
      <c r="A292" s="1" t="s">
        <v>5665</v>
      </c>
      <c r="B292" s="1" t="s">
        <v>2374</v>
      </c>
      <c r="C292" s="1" t="s">
        <v>5597</v>
      </c>
      <c r="D292" s="1" t="s">
        <v>5590</v>
      </c>
      <c r="E292" s="3">
        <v>45243</v>
      </c>
      <c r="F292" s="1">
        <v>30</v>
      </c>
      <c r="G292" s="1">
        <v>1</v>
      </c>
      <c r="H292" s="1">
        <f t="shared" si="4"/>
        <v>60</v>
      </c>
    </row>
    <row r="293" spans="1:8" ht="18" customHeight="1" x14ac:dyDescent="0.25">
      <c r="A293" s="1" t="s">
        <v>5963</v>
      </c>
      <c r="B293" s="1" t="s">
        <v>3233</v>
      </c>
      <c r="C293" s="1" t="s">
        <v>5592</v>
      </c>
      <c r="D293" s="1" t="s">
        <v>5593</v>
      </c>
      <c r="E293" s="3">
        <v>45242</v>
      </c>
      <c r="F293" s="1">
        <v>30</v>
      </c>
      <c r="G293" s="1">
        <v>1</v>
      </c>
      <c r="H293" s="1">
        <f t="shared" si="4"/>
        <v>60</v>
      </c>
    </row>
    <row r="294" spans="1:8" ht="18" customHeight="1" x14ac:dyDescent="0.25">
      <c r="A294" s="1" t="s">
        <v>5688</v>
      </c>
      <c r="B294" s="1" t="s">
        <v>2469</v>
      </c>
      <c r="C294" s="1" t="s">
        <v>5597</v>
      </c>
      <c r="D294" s="1" t="s">
        <v>5590</v>
      </c>
      <c r="E294" s="3">
        <v>45239</v>
      </c>
      <c r="F294" s="1">
        <v>30</v>
      </c>
      <c r="G294" s="1">
        <v>1</v>
      </c>
      <c r="H294" s="1">
        <f t="shared" si="4"/>
        <v>60</v>
      </c>
    </row>
    <row r="295" spans="1:8" ht="18" customHeight="1" x14ac:dyDescent="0.25">
      <c r="A295" s="1" t="s">
        <v>5795</v>
      </c>
      <c r="B295" s="1" t="s">
        <v>2831</v>
      </c>
      <c r="C295" s="1" t="s">
        <v>5597</v>
      </c>
      <c r="D295" s="1" t="s">
        <v>5598</v>
      </c>
      <c r="E295" s="3">
        <v>45239</v>
      </c>
      <c r="F295" s="1">
        <v>30</v>
      </c>
      <c r="G295" s="1">
        <v>1</v>
      </c>
      <c r="H295" s="1">
        <f t="shared" si="4"/>
        <v>60</v>
      </c>
    </row>
    <row r="296" spans="1:8" ht="18" customHeight="1" x14ac:dyDescent="0.25">
      <c r="A296" s="1" t="s">
        <v>5637</v>
      </c>
      <c r="B296" s="1" t="s">
        <v>2273</v>
      </c>
      <c r="C296" s="1" t="s">
        <v>5589</v>
      </c>
      <c r="D296" s="1" t="s">
        <v>5590</v>
      </c>
      <c r="E296" s="3">
        <v>45238</v>
      </c>
      <c r="F296" s="1">
        <v>30</v>
      </c>
      <c r="G296" s="1">
        <v>1</v>
      </c>
      <c r="H296" s="1">
        <f t="shared" si="4"/>
        <v>60</v>
      </c>
    </row>
    <row r="297" spans="1:8" ht="18" customHeight="1" x14ac:dyDescent="0.25">
      <c r="A297" s="1" t="s">
        <v>5745</v>
      </c>
      <c r="B297" s="1" t="s">
        <v>2642</v>
      </c>
      <c r="C297" s="1" t="s">
        <v>5589</v>
      </c>
      <c r="D297" s="1" t="s">
        <v>5593</v>
      </c>
      <c r="E297" s="3">
        <v>45234</v>
      </c>
      <c r="F297" s="1">
        <v>30</v>
      </c>
      <c r="G297" s="1">
        <v>1</v>
      </c>
      <c r="H297" s="1">
        <f t="shared" si="4"/>
        <v>60</v>
      </c>
    </row>
    <row r="298" spans="1:8" ht="18" customHeight="1" x14ac:dyDescent="0.25">
      <c r="A298" s="1" t="s">
        <v>5992</v>
      </c>
      <c r="B298" s="1" t="s">
        <v>3282</v>
      </c>
      <c r="C298" s="1" t="s">
        <v>5602</v>
      </c>
      <c r="D298" s="1" t="s">
        <v>5593</v>
      </c>
      <c r="E298" s="3">
        <v>45233</v>
      </c>
      <c r="F298" s="1">
        <v>30</v>
      </c>
      <c r="G298" s="1">
        <v>1</v>
      </c>
      <c r="H298" s="1">
        <f t="shared" si="4"/>
        <v>60</v>
      </c>
    </row>
    <row r="299" spans="1:8" ht="18" customHeight="1" x14ac:dyDescent="0.25">
      <c r="A299" s="1" t="s">
        <v>5858</v>
      </c>
      <c r="B299" s="1" t="s">
        <v>3028</v>
      </c>
      <c r="C299" s="1" t="s">
        <v>5592</v>
      </c>
      <c r="D299" s="1" t="s">
        <v>5598</v>
      </c>
      <c r="E299" s="3">
        <v>45228</v>
      </c>
      <c r="F299" s="1">
        <v>30</v>
      </c>
      <c r="G299" s="1">
        <v>1</v>
      </c>
      <c r="H299" s="1">
        <f t="shared" si="4"/>
        <v>60</v>
      </c>
    </row>
    <row r="300" spans="1:8" ht="18" customHeight="1" x14ac:dyDescent="0.25">
      <c r="A300" s="1" t="s">
        <v>5686</v>
      </c>
      <c r="B300" s="1" t="s">
        <v>2457</v>
      </c>
      <c r="C300" s="1" t="s">
        <v>5589</v>
      </c>
      <c r="D300" s="1" t="s">
        <v>5598</v>
      </c>
      <c r="E300" s="3">
        <v>45226</v>
      </c>
      <c r="F300" s="1">
        <v>30</v>
      </c>
      <c r="G300" s="1">
        <v>1</v>
      </c>
      <c r="H300" s="1">
        <f t="shared" si="4"/>
        <v>60</v>
      </c>
    </row>
    <row r="301" spans="1:8" ht="18" customHeight="1" x14ac:dyDescent="0.25">
      <c r="A301" s="1" t="s">
        <v>6025</v>
      </c>
      <c r="B301" s="1" t="s">
        <v>3337</v>
      </c>
      <c r="C301" s="1" t="s">
        <v>5602</v>
      </c>
      <c r="D301" s="1" t="s">
        <v>5595</v>
      </c>
      <c r="E301" s="3">
        <v>45224</v>
      </c>
      <c r="F301" s="1">
        <v>30</v>
      </c>
      <c r="G301" s="1">
        <v>1</v>
      </c>
      <c r="H301" s="1">
        <f t="shared" si="4"/>
        <v>60</v>
      </c>
    </row>
    <row r="302" spans="1:8" ht="18" customHeight="1" x14ac:dyDescent="0.25">
      <c r="A302" s="1" t="s">
        <v>5753</v>
      </c>
      <c r="B302" s="1" t="s">
        <v>2670</v>
      </c>
      <c r="C302" s="1" t="s">
        <v>5592</v>
      </c>
      <c r="D302" s="1" t="s">
        <v>5595</v>
      </c>
      <c r="E302" s="3">
        <v>45222</v>
      </c>
      <c r="F302" s="1">
        <v>30</v>
      </c>
      <c r="G302" s="1">
        <v>1</v>
      </c>
      <c r="H302" s="1">
        <f t="shared" si="4"/>
        <v>60</v>
      </c>
    </row>
    <row r="303" spans="1:8" ht="18" customHeight="1" x14ac:dyDescent="0.25">
      <c r="A303" s="1" t="s">
        <v>5782</v>
      </c>
      <c r="B303" s="1" t="s">
        <v>2784</v>
      </c>
      <c r="C303" s="1" t="s">
        <v>5597</v>
      </c>
      <c r="D303" s="1" t="s">
        <v>5598</v>
      </c>
      <c r="E303" s="3">
        <v>45222</v>
      </c>
      <c r="F303" s="1">
        <v>30</v>
      </c>
      <c r="G303" s="1">
        <v>1</v>
      </c>
      <c r="H303" s="1">
        <f t="shared" si="4"/>
        <v>60</v>
      </c>
    </row>
    <row r="304" spans="1:8" ht="18" customHeight="1" x14ac:dyDescent="0.25">
      <c r="A304" s="1" t="s">
        <v>6071</v>
      </c>
      <c r="B304" s="1" t="s">
        <v>3409</v>
      </c>
      <c r="C304" s="1" t="s">
        <v>5602</v>
      </c>
      <c r="D304" s="1" t="s">
        <v>5598</v>
      </c>
      <c r="E304" s="3">
        <v>45211</v>
      </c>
      <c r="F304" s="1">
        <v>30</v>
      </c>
      <c r="G304" s="1">
        <v>1</v>
      </c>
      <c r="H304" s="1">
        <f t="shared" si="4"/>
        <v>60</v>
      </c>
    </row>
    <row r="305" spans="1:8" ht="18" customHeight="1" x14ac:dyDescent="0.25">
      <c r="A305" s="1" t="s">
        <v>5657</v>
      </c>
      <c r="B305" s="1" t="s">
        <v>2346</v>
      </c>
      <c r="C305" s="1" t="s">
        <v>5602</v>
      </c>
      <c r="D305" s="1" t="s">
        <v>5598</v>
      </c>
      <c r="E305" s="3">
        <v>45206</v>
      </c>
      <c r="F305" s="1">
        <v>30</v>
      </c>
      <c r="G305" s="1">
        <v>1</v>
      </c>
      <c r="H305" s="1">
        <f t="shared" si="4"/>
        <v>60</v>
      </c>
    </row>
    <row r="306" spans="1:8" ht="18" customHeight="1" x14ac:dyDescent="0.25">
      <c r="A306" s="1" t="s">
        <v>5966</v>
      </c>
      <c r="B306" s="1" t="s">
        <v>3239</v>
      </c>
      <c r="C306" s="1" t="s">
        <v>5602</v>
      </c>
      <c r="D306" s="1" t="s">
        <v>5593</v>
      </c>
      <c r="E306" s="3">
        <v>45205</v>
      </c>
      <c r="F306" s="1">
        <v>30</v>
      </c>
      <c r="G306" s="1">
        <v>1</v>
      </c>
      <c r="H306" s="1">
        <f t="shared" si="4"/>
        <v>60</v>
      </c>
    </row>
    <row r="307" spans="1:8" ht="18" customHeight="1" x14ac:dyDescent="0.25">
      <c r="A307" s="1" t="s">
        <v>5732</v>
      </c>
      <c r="B307" s="1" t="s">
        <v>2596</v>
      </c>
      <c r="C307" s="1" t="s">
        <v>5597</v>
      </c>
      <c r="D307" s="1" t="s">
        <v>5593</v>
      </c>
      <c r="E307" s="3">
        <v>45203</v>
      </c>
      <c r="F307" s="1">
        <v>30</v>
      </c>
      <c r="G307" s="1">
        <v>1</v>
      </c>
      <c r="H307" s="1">
        <f t="shared" si="4"/>
        <v>60</v>
      </c>
    </row>
    <row r="308" spans="1:8" ht="18" customHeight="1" x14ac:dyDescent="0.25">
      <c r="A308" s="1" t="s">
        <v>5767</v>
      </c>
      <c r="B308" s="1" t="s">
        <v>2735</v>
      </c>
      <c r="C308" s="1" t="s">
        <v>5589</v>
      </c>
      <c r="D308" s="1" t="s">
        <v>5595</v>
      </c>
      <c r="E308" s="3">
        <v>45200</v>
      </c>
      <c r="F308" s="1">
        <v>30</v>
      </c>
      <c r="G308" s="1">
        <v>1</v>
      </c>
      <c r="H308" s="1">
        <f t="shared" si="4"/>
        <v>60</v>
      </c>
    </row>
    <row r="309" spans="1:8" ht="18" customHeight="1" x14ac:dyDescent="0.25">
      <c r="A309" s="1" t="s">
        <v>5822</v>
      </c>
      <c r="B309" s="1" t="s">
        <v>2903</v>
      </c>
      <c r="C309" s="1" t="s">
        <v>5597</v>
      </c>
      <c r="D309" s="1" t="s">
        <v>5590</v>
      </c>
      <c r="E309" s="3">
        <v>45192</v>
      </c>
      <c r="F309" s="1">
        <v>30</v>
      </c>
      <c r="G309" s="1">
        <v>1</v>
      </c>
      <c r="H309" s="1">
        <f t="shared" si="4"/>
        <v>60</v>
      </c>
    </row>
    <row r="310" spans="1:8" ht="18" customHeight="1" x14ac:dyDescent="0.25">
      <c r="A310" s="1" t="s">
        <v>5741</v>
      </c>
      <c r="B310" s="1" t="s">
        <v>2635</v>
      </c>
      <c r="C310" s="1" t="s">
        <v>5589</v>
      </c>
      <c r="D310" s="1" t="s">
        <v>5595</v>
      </c>
      <c r="E310" s="3">
        <v>45188</v>
      </c>
      <c r="F310" s="1">
        <v>30</v>
      </c>
      <c r="G310" s="1">
        <v>1</v>
      </c>
      <c r="H310" s="1">
        <f t="shared" si="4"/>
        <v>60</v>
      </c>
    </row>
    <row r="311" spans="1:8" ht="18" customHeight="1" x14ac:dyDescent="0.25">
      <c r="A311" s="1" t="s">
        <v>6075</v>
      </c>
      <c r="B311" s="1" t="s">
        <v>3415</v>
      </c>
      <c r="C311" s="1" t="s">
        <v>5597</v>
      </c>
      <c r="D311" s="1" t="s">
        <v>5593</v>
      </c>
      <c r="E311" s="3">
        <v>45188</v>
      </c>
      <c r="F311" s="1">
        <v>30</v>
      </c>
      <c r="G311" s="1">
        <v>1</v>
      </c>
      <c r="H311" s="1">
        <f t="shared" si="4"/>
        <v>60</v>
      </c>
    </row>
    <row r="312" spans="1:8" ht="18" customHeight="1" x14ac:dyDescent="0.25">
      <c r="A312" s="1" t="s">
        <v>5609</v>
      </c>
      <c r="B312" s="1" t="s">
        <v>2151</v>
      </c>
      <c r="C312" s="1" t="s">
        <v>5602</v>
      </c>
      <c r="D312" s="1" t="s">
        <v>5590</v>
      </c>
      <c r="E312" s="3">
        <v>45185</v>
      </c>
      <c r="F312" s="1">
        <v>30</v>
      </c>
      <c r="G312" s="1">
        <v>1</v>
      </c>
      <c r="H312" s="1">
        <f t="shared" si="4"/>
        <v>60</v>
      </c>
    </row>
    <row r="313" spans="1:8" ht="18" customHeight="1" x14ac:dyDescent="0.25">
      <c r="A313" s="1" t="s">
        <v>5723</v>
      </c>
      <c r="B313" s="1" t="s">
        <v>2572</v>
      </c>
      <c r="C313" s="1" t="s">
        <v>5602</v>
      </c>
      <c r="D313" s="1" t="s">
        <v>5595</v>
      </c>
      <c r="E313" s="3">
        <v>45182</v>
      </c>
      <c r="F313" s="1">
        <v>30</v>
      </c>
      <c r="G313" s="1">
        <v>1</v>
      </c>
      <c r="H313" s="1">
        <f t="shared" si="4"/>
        <v>60</v>
      </c>
    </row>
    <row r="314" spans="1:8" ht="18" customHeight="1" x14ac:dyDescent="0.25">
      <c r="A314" s="1" t="s">
        <v>5758</v>
      </c>
      <c r="B314" s="1" t="s">
        <v>2689</v>
      </c>
      <c r="C314" s="1" t="s">
        <v>5602</v>
      </c>
      <c r="D314" s="1" t="s">
        <v>5593</v>
      </c>
      <c r="E314" s="3">
        <v>45182</v>
      </c>
      <c r="F314" s="1">
        <v>30</v>
      </c>
      <c r="G314" s="1">
        <v>1</v>
      </c>
      <c r="H314" s="1">
        <f t="shared" si="4"/>
        <v>60</v>
      </c>
    </row>
    <row r="315" spans="1:8" ht="18" customHeight="1" x14ac:dyDescent="0.25">
      <c r="A315" s="1" t="s">
        <v>5892</v>
      </c>
      <c r="B315" s="1" t="s">
        <v>3106</v>
      </c>
      <c r="C315" s="1" t="s">
        <v>5597</v>
      </c>
      <c r="D315" s="1" t="s">
        <v>5595</v>
      </c>
      <c r="E315" s="3">
        <v>45178</v>
      </c>
      <c r="F315" s="1">
        <v>30</v>
      </c>
      <c r="G315" s="1">
        <v>1</v>
      </c>
      <c r="H315" s="1">
        <f t="shared" si="4"/>
        <v>60</v>
      </c>
    </row>
    <row r="316" spans="1:8" ht="18" customHeight="1" x14ac:dyDescent="0.25">
      <c r="A316" s="1" t="s">
        <v>5898</v>
      </c>
      <c r="B316" s="1" t="s">
        <v>3118</v>
      </c>
      <c r="C316" s="1" t="s">
        <v>5592</v>
      </c>
      <c r="D316" s="1" t="s">
        <v>5595</v>
      </c>
      <c r="E316" s="3">
        <v>45172</v>
      </c>
      <c r="F316" s="1">
        <v>30</v>
      </c>
      <c r="G316" s="1">
        <v>1</v>
      </c>
      <c r="H316" s="1">
        <f t="shared" si="4"/>
        <v>60</v>
      </c>
    </row>
    <row r="317" spans="1:8" ht="18" customHeight="1" x14ac:dyDescent="0.25">
      <c r="A317" s="1" t="s">
        <v>6011</v>
      </c>
      <c r="B317" s="1" t="s">
        <v>3315</v>
      </c>
      <c r="C317" s="1" t="s">
        <v>5597</v>
      </c>
      <c r="D317" s="1" t="s">
        <v>5598</v>
      </c>
      <c r="E317" s="3">
        <v>45172</v>
      </c>
      <c r="F317" s="1">
        <v>30</v>
      </c>
      <c r="G317" s="1">
        <v>1</v>
      </c>
      <c r="H317" s="1">
        <f t="shared" si="4"/>
        <v>60</v>
      </c>
    </row>
    <row r="318" spans="1:8" ht="18" customHeight="1" x14ac:dyDescent="0.25">
      <c r="A318" s="1" t="s">
        <v>6000</v>
      </c>
      <c r="B318" s="1" t="s">
        <v>3296</v>
      </c>
      <c r="C318" s="1" t="s">
        <v>5592</v>
      </c>
      <c r="D318" s="1" t="s">
        <v>5590</v>
      </c>
      <c r="E318" s="3">
        <v>45169</v>
      </c>
      <c r="F318" s="1">
        <v>30</v>
      </c>
      <c r="G318" s="1">
        <v>1</v>
      </c>
      <c r="H318" s="1">
        <f t="shared" si="4"/>
        <v>60</v>
      </c>
    </row>
    <row r="319" spans="1:8" ht="18" customHeight="1" x14ac:dyDescent="0.25">
      <c r="A319" s="1" t="s">
        <v>5774</v>
      </c>
      <c r="B319" s="1" t="s">
        <v>2763</v>
      </c>
      <c r="C319" s="1" t="s">
        <v>5602</v>
      </c>
      <c r="D319" s="1" t="s">
        <v>5593</v>
      </c>
      <c r="E319" s="3">
        <v>45168</v>
      </c>
      <c r="F319" s="1">
        <v>30</v>
      </c>
      <c r="G319" s="1">
        <v>1</v>
      </c>
      <c r="H319" s="1">
        <f t="shared" si="4"/>
        <v>60</v>
      </c>
    </row>
    <row r="320" spans="1:8" ht="18" customHeight="1" x14ac:dyDescent="0.25">
      <c r="A320" s="1" t="s">
        <v>5642</v>
      </c>
      <c r="B320" s="1" t="s">
        <v>2294</v>
      </c>
      <c r="C320" s="1" t="s">
        <v>5602</v>
      </c>
      <c r="D320" s="1" t="s">
        <v>5590</v>
      </c>
      <c r="E320" s="3">
        <v>45162</v>
      </c>
      <c r="F320" s="1">
        <v>30</v>
      </c>
      <c r="G320" s="1">
        <v>1</v>
      </c>
      <c r="H320" s="1">
        <f t="shared" si="4"/>
        <v>60</v>
      </c>
    </row>
    <row r="321" spans="1:8" ht="18" customHeight="1" x14ac:dyDescent="0.25">
      <c r="A321" s="1" t="s">
        <v>5738</v>
      </c>
      <c r="B321" s="1" t="s">
        <v>2629</v>
      </c>
      <c r="C321" s="1" t="s">
        <v>5592</v>
      </c>
      <c r="D321" s="1" t="s">
        <v>5595</v>
      </c>
      <c r="E321" s="3">
        <v>45159</v>
      </c>
      <c r="F321" s="1">
        <v>30</v>
      </c>
      <c r="G321" s="1">
        <v>1</v>
      </c>
      <c r="H321" s="1">
        <f t="shared" si="4"/>
        <v>60</v>
      </c>
    </row>
    <row r="322" spans="1:8" ht="18" customHeight="1" x14ac:dyDescent="0.25">
      <c r="A322" s="1" t="s">
        <v>5877</v>
      </c>
      <c r="B322" s="1" t="s">
        <v>3077</v>
      </c>
      <c r="C322" s="1" t="s">
        <v>5602</v>
      </c>
      <c r="D322" s="1" t="s">
        <v>5598</v>
      </c>
      <c r="E322" s="3">
        <v>45157</v>
      </c>
      <c r="F322" s="1">
        <v>30</v>
      </c>
      <c r="G322" s="1">
        <v>1</v>
      </c>
      <c r="H322" s="1">
        <f t="shared" ref="H322:H385" si="5">F322*(G322+1)</f>
        <v>60</v>
      </c>
    </row>
    <row r="323" spans="1:8" ht="18" customHeight="1" x14ac:dyDescent="0.25">
      <c r="A323" s="1" t="s">
        <v>5649</v>
      </c>
      <c r="B323" s="1" t="s">
        <v>2321</v>
      </c>
      <c r="C323" s="1" t="s">
        <v>5602</v>
      </c>
      <c r="D323" s="1" t="s">
        <v>5598</v>
      </c>
      <c r="E323" s="3">
        <v>45147</v>
      </c>
      <c r="F323" s="1">
        <v>30</v>
      </c>
      <c r="G323" s="1">
        <v>1</v>
      </c>
      <c r="H323" s="1">
        <f t="shared" si="5"/>
        <v>60</v>
      </c>
    </row>
    <row r="324" spans="1:8" ht="18" customHeight="1" x14ac:dyDescent="0.25">
      <c r="A324" s="1" t="s">
        <v>5824</v>
      </c>
      <c r="B324" s="1" t="s">
        <v>2909</v>
      </c>
      <c r="C324" s="1" t="s">
        <v>5589</v>
      </c>
      <c r="D324" s="1" t="s">
        <v>5590</v>
      </c>
      <c r="E324" s="3">
        <v>45139</v>
      </c>
      <c r="F324" s="1">
        <v>30</v>
      </c>
      <c r="G324" s="1">
        <v>1</v>
      </c>
      <c r="H324" s="1">
        <f t="shared" si="5"/>
        <v>60</v>
      </c>
    </row>
    <row r="325" spans="1:8" ht="18" customHeight="1" x14ac:dyDescent="0.25">
      <c r="A325" s="1" t="s">
        <v>5747</v>
      </c>
      <c r="B325" s="1" t="s">
        <v>2650</v>
      </c>
      <c r="C325" s="1" t="s">
        <v>5597</v>
      </c>
      <c r="D325" s="1" t="s">
        <v>5598</v>
      </c>
      <c r="E325" s="3">
        <v>45136</v>
      </c>
      <c r="F325" s="1">
        <v>30</v>
      </c>
      <c r="G325" s="1">
        <v>1</v>
      </c>
      <c r="H325" s="1">
        <f t="shared" si="5"/>
        <v>60</v>
      </c>
    </row>
    <row r="326" spans="1:8" ht="18" customHeight="1" x14ac:dyDescent="0.25">
      <c r="A326" s="1" t="s">
        <v>5935</v>
      </c>
      <c r="B326" s="1" t="s">
        <v>3187</v>
      </c>
      <c r="C326" s="1" t="s">
        <v>5589</v>
      </c>
      <c r="D326" s="1" t="s">
        <v>5598</v>
      </c>
      <c r="E326" s="3">
        <v>45136</v>
      </c>
      <c r="F326" s="1">
        <v>30</v>
      </c>
      <c r="G326" s="1">
        <v>1</v>
      </c>
      <c r="H326" s="1">
        <f t="shared" si="5"/>
        <v>60</v>
      </c>
    </row>
    <row r="327" spans="1:8" ht="18" customHeight="1" x14ac:dyDescent="0.25">
      <c r="A327" s="1" t="s">
        <v>5959</v>
      </c>
      <c r="B327" s="1" t="s">
        <v>3225</v>
      </c>
      <c r="C327" s="1" t="s">
        <v>5589</v>
      </c>
      <c r="D327" s="1" t="s">
        <v>5595</v>
      </c>
      <c r="E327" s="3">
        <v>45135</v>
      </c>
      <c r="F327" s="1">
        <v>30</v>
      </c>
      <c r="G327" s="1">
        <v>1</v>
      </c>
      <c r="H327" s="1">
        <f t="shared" si="5"/>
        <v>60</v>
      </c>
    </row>
    <row r="328" spans="1:8" ht="18" customHeight="1" x14ac:dyDescent="0.25">
      <c r="A328" s="1" t="s">
        <v>5849</v>
      </c>
      <c r="B328" s="1" t="s">
        <v>3006</v>
      </c>
      <c r="C328" s="1" t="s">
        <v>5592</v>
      </c>
      <c r="D328" s="1" t="s">
        <v>5598</v>
      </c>
      <c r="E328" s="3">
        <v>45134</v>
      </c>
      <c r="F328" s="1">
        <v>30</v>
      </c>
      <c r="G328" s="1">
        <v>1</v>
      </c>
      <c r="H328" s="1">
        <f t="shared" si="5"/>
        <v>60</v>
      </c>
    </row>
    <row r="329" spans="1:8" ht="18" customHeight="1" x14ac:dyDescent="0.25">
      <c r="A329" s="1" t="s">
        <v>6037</v>
      </c>
      <c r="B329" s="1" t="s">
        <v>3356</v>
      </c>
      <c r="C329" s="1" t="s">
        <v>5592</v>
      </c>
      <c r="D329" s="1" t="s">
        <v>5590</v>
      </c>
      <c r="E329" s="3">
        <v>45128</v>
      </c>
      <c r="F329" s="1">
        <v>30</v>
      </c>
      <c r="G329" s="1">
        <v>1</v>
      </c>
      <c r="H329" s="1">
        <f t="shared" si="5"/>
        <v>60</v>
      </c>
    </row>
    <row r="330" spans="1:8" ht="18" customHeight="1" x14ac:dyDescent="0.25">
      <c r="A330" s="1" t="s">
        <v>5697</v>
      </c>
      <c r="B330" s="1" t="s">
        <v>2492</v>
      </c>
      <c r="C330" s="1" t="s">
        <v>5602</v>
      </c>
      <c r="D330" s="1" t="s">
        <v>5595</v>
      </c>
      <c r="E330" s="3">
        <v>45125</v>
      </c>
      <c r="F330" s="1">
        <v>30</v>
      </c>
      <c r="G330" s="1">
        <v>1</v>
      </c>
      <c r="H330" s="1">
        <f t="shared" si="5"/>
        <v>60</v>
      </c>
    </row>
    <row r="331" spans="1:8" ht="18" customHeight="1" x14ac:dyDescent="0.25">
      <c r="A331" s="1" t="s">
        <v>6080</v>
      </c>
      <c r="B331" s="1" t="s">
        <v>3423</v>
      </c>
      <c r="C331" s="1" t="s">
        <v>5589</v>
      </c>
      <c r="D331" s="1" t="s">
        <v>5595</v>
      </c>
      <c r="E331" s="3">
        <v>45122</v>
      </c>
      <c r="F331" s="1">
        <v>30</v>
      </c>
      <c r="G331" s="1">
        <v>1</v>
      </c>
      <c r="H331" s="1">
        <f t="shared" si="5"/>
        <v>60</v>
      </c>
    </row>
    <row r="332" spans="1:8" ht="18" customHeight="1" x14ac:dyDescent="0.25">
      <c r="A332" s="1" t="s">
        <v>5964</v>
      </c>
      <c r="B332" s="1" t="s">
        <v>3235</v>
      </c>
      <c r="C332" s="1" t="s">
        <v>5602</v>
      </c>
      <c r="D332" s="1" t="s">
        <v>5598</v>
      </c>
      <c r="E332" s="3">
        <v>45118</v>
      </c>
      <c r="F332" s="1">
        <v>30</v>
      </c>
      <c r="G332" s="1">
        <v>1</v>
      </c>
      <c r="H332" s="1">
        <f t="shared" si="5"/>
        <v>60</v>
      </c>
    </row>
    <row r="333" spans="1:8" ht="18" customHeight="1" x14ac:dyDescent="0.25">
      <c r="A333" s="1" t="s">
        <v>6087</v>
      </c>
      <c r="B333" s="1" t="s">
        <v>3436</v>
      </c>
      <c r="C333" s="1" t="s">
        <v>5592</v>
      </c>
      <c r="D333" s="1" t="s">
        <v>5595</v>
      </c>
      <c r="E333" s="3">
        <v>45115</v>
      </c>
      <c r="F333" s="1">
        <v>30</v>
      </c>
      <c r="G333" s="1">
        <v>1</v>
      </c>
      <c r="H333" s="1">
        <f t="shared" si="5"/>
        <v>60</v>
      </c>
    </row>
    <row r="334" spans="1:8" ht="18" customHeight="1" x14ac:dyDescent="0.25">
      <c r="A334" s="1" t="s">
        <v>5693</v>
      </c>
      <c r="B334" s="1" t="s">
        <v>2482</v>
      </c>
      <c r="C334" s="1" t="s">
        <v>5592</v>
      </c>
      <c r="D334" s="1" t="s">
        <v>5595</v>
      </c>
      <c r="E334" s="3">
        <v>45114</v>
      </c>
      <c r="F334" s="1">
        <v>30</v>
      </c>
      <c r="G334" s="1">
        <v>1</v>
      </c>
      <c r="H334" s="1">
        <f t="shared" si="5"/>
        <v>60</v>
      </c>
    </row>
    <row r="335" spans="1:8" ht="18" customHeight="1" x14ac:dyDescent="0.25">
      <c r="A335" s="1" t="s">
        <v>6019</v>
      </c>
      <c r="B335" s="1" t="s">
        <v>3328</v>
      </c>
      <c r="C335" s="1" t="s">
        <v>5592</v>
      </c>
      <c r="D335" s="1" t="s">
        <v>5598</v>
      </c>
      <c r="E335" s="3">
        <v>45114</v>
      </c>
      <c r="F335" s="1">
        <v>30</v>
      </c>
      <c r="G335" s="1">
        <v>1</v>
      </c>
      <c r="H335" s="1">
        <f t="shared" si="5"/>
        <v>60</v>
      </c>
    </row>
    <row r="336" spans="1:8" ht="18" customHeight="1" x14ac:dyDescent="0.25">
      <c r="A336" s="1" t="s">
        <v>5798</v>
      </c>
      <c r="B336" s="1" t="s">
        <v>2843</v>
      </c>
      <c r="C336" s="1" t="s">
        <v>5602</v>
      </c>
      <c r="D336" s="1" t="s">
        <v>5598</v>
      </c>
      <c r="E336" s="3">
        <v>45113</v>
      </c>
      <c r="F336" s="1">
        <v>30</v>
      </c>
      <c r="G336" s="1">
        <v>1</v>
      </c>
      <c r="H336" s="1">
        <f t="shared" si="5"/>
        <v>60</v>
      </c>
    </row>
    <row r="337" spans="1:8" ht="18" customHeight="1" x14ac:dyDescent="0.25">
      <c r="A337" s="1" t="s">
        <v>5848</v>
      </c>
      <c r="B337" s="1" t="s">
        <v>2996</v>
      </c>
      <c r="C337" s="1" t="s">
        <v>5589</v>
      </c>
      <c r="D337" s="1" t="s">
        <v>5595</v>
      </c>
      <c r="E337" s="3">
        <v>45104</v>
      </c>
      <c r="F337" s="1">
        <v>30</v>
      </c>
      <c r="G337" s="1">
        <v>1</v>
      </c>
      <c r="H337" s="1">
        <f t="shared" si="5"/>
        <v>60</v>
      </c>
    </row>
    <row r="338" spans="1:8" ht="18" customHeight="1" x14ac:dyDescent="0.25">
      <c r="A338" s="1" t="s">
        <v>5625</v>
      </c>
      <c r="B338" s="1" t="s">
        <v>2218</v>
      </c>
      <c r="C338" s="1" t="s">
        <v>5602</v>
      </c>
      <c r="D338" s="1" t="s">
        <v>5590</v>
      </c>
      <c r="E338" s="3">
        <v>45100</v>
      </c>
      <c r="F338" s="1">
        <v>30</v>
      </c>
      <c r="G338" s="1">
        <v>1</v>
      </c>
      <c r="H338" s="1">
        <f t="shared" si="5"/>
        <v>60</v>
      </c>
    </row>
    <row r="339" spans="1:8" ht="18" customHeight="1" x14ac:dyDescent="0.25">
      <c r="A339" s="1" t="s">
        <v>5671</v>
      </c>
      <c r="B339" s="1" t="s">
        <v>2399</v>
      </c>
      <c r="C339" s="1" t="s">
        <v>5602</v>
      </c>
      <c r="D339" s="1" t="s">
        <v>5593</v>
      </c>
      <c r="E339" s="3">
        <v>45100</v>
      </c>
      <c r="F339" s="1">
        <v>30</v>
      </c>
      <c r="G339" s="1">
        <v>1</v>
      </c>
      <c r="H339" s="1">
        <f t="shared" si="5"/>
        <v>60</v>
      </c>
    </row>
    <row r="340" spans="1:8" ht="18" customHeight="1" x14ac:dyDescent="0.25">
      <c r="A340" s="1" t="s">
        <v>5815</v>
      </c>
      <c r="B340" s="1" t="s">
        <v>2882</v>
      </c>
      <c r="C340" s="1" t="s">
        <v>5602</v>
      </c>
      <c r="D340" s="1" t="s">
        <v>5593</v>
      </c>
      <c r="E340" s="3">
        <v>45092</v>
      </c>
      <c r="F340" s="1">
        <v>30</v>
      </c>
      <c r="G340" s="1">
        <v>1</v>
      </c>
      <c r="H340" s="1">
        <f t="shared" si="5"/>
        <v>60</v>
      </c>
    </row>
    <row r="341" spans="1:8" ht="18" customHeight="1" x14ac:dyDescent="0.25">
      <c r="A341" s="1" t="s">
        <v>5692</v>
      </c>
      <c r="B341" s="1" t="s">
        <v>2481</v>
      </c>
      <c r="C341" s="1" t="s">
        <v>5589</v>
      </c>
      <c r="D341" s="1" t="s">
        <v>5595</v>
      </c>
      <c r="E341" s="3">
        <v>45091</v>
      </c>
      <c r="F341" s="1">
        <v>30</v>
      </c>
      <c r="G341" s="1">
        <v>1</v>
      </c>
      <c r="H341" s="1">
        <f t="shared" si="5"/>
        <v>60</v>
      </c>
    </row>
    <row r="342" spans="1:8" ht="18" customHeight="1" x14ac:dyDescent="0.25">
      <c r="A342" s="1" t="s">
        <v>5895</v>
      </c>
      <c r="B342" s="1" t="s">
        <v>3112</v>
      </c>
      <c r="C342" s="1" t="s">
        <v>5589</v>
      </c>
      <c r="D342" s="1" t="s">
        <v>5598</v>
      </c>
      <c r="E342" s="3">
        <v>45090</v>
      </c>
      <c r="F342" s="1">
        <v>30</v>
      </c>
      <c r="G342" s="1">
        <v>1</v>
      </c>
      <c r="H342" s="1">
        <f t="shared" si="5"/>
        <v>60</v>
      </c>
    </row>
    <row r="343" spans="1:8" ht="18" customHeight="1" x14ac:dyDescent="0.25">
      <c r="A343" s="1" t="s">
        <v>5630</v>
      </c>
      <c r="B343" s="1" t="s">
        <v>2240</v>
      </c>
      <c r="C343" s="1" t="s">
        <v>5597</v>
      </c>
      <c r="D343" s="1" t="s">
        <v>5595</v>
      </c>
      <c r="E343" s="3">
        <v>45085</v>
      </c>
      <c r="F343" s="1">
        <v>30</v>
      </c>
      <c r="G343" s="1">
        <v>1</v>
      </c>
      <c r="H343" s="1">
        <f t="shared" si="5"/>
        <v>60</v>
      </c>
    </row>
    <row r="344" spans="1:8" ht="18" customHeight="1" x14ac:dyDescent="0.25">
      <c r="A344" s="1" t="s">
        <v>5727</v>
      </c>
      <c r="B344" s="1" t="s">
        <v>2582</v>
      </c>
      <c r="C344" s="1" t="s">
        <v>5597</v>
      </c>
      <c r="D344" s="1" t="s">
        <v>5595</v>
      </c>
      <c r="E344" s="3">
        <v>45085</v>
      </c>
      <c r="F344" s="1">
        <v>30</v>
      </c>
      <c r="G344" s="1">
        <v>1</v>
      </c>
      <c r="H344" s="1">
        <f t="shared" si="5"/>
        <v>60</v>
      </c>
    </row>
    <row r="345" spans="1:8" ht="18" customHeight="1" x14ac:dyDescent="0.25">
      <c r="A345" s="1" t="s">
        <v>5840</v>
      </c>
      <c r="B345" s="1" t="s">
        <v>2978</v>
      </c>
      <c r="C345" s="1" t="s">
        <v>5592</v>
      </c>
      <c r="D345" s="1" t="s">
        <v>5590</v>
      </c>
      <c r="E345" s="3">
        <v>45083</v>
      </c>
      <c r="F345" s="1">
        <v>30</v>
      </c>
      <c r="G345" s="1">
        <v>1</v>
      </c>
      <c r="H345" s="1">
        <f t="shared" si="5"/>
        <v>60</v>
      </c>
    </row>
    <row r="346" spans="1:8" ht="18" customHeight="1" x14ac:dyDescent="0.25">
      <c r="A346" s="1" t="s">
        <v>5912</v>
      </c>
      <c r="B346" s="1" t="s">
        <v>3145</v>
      </c>
      <c r="C346" s="1" t="s">
        <v>5597</v>
      </c>
      <c r="D346" s="1" t="s">
        <v>5598</v>
      </c>
      <c r="E346" s="3">
        <v>45082</v>
      </c>
      <c r="F346" s="1">
        <v>30</v>
      </c>
      <c r="G346" s="1">
        <v>1</v>
      </c>
      <c r="H346" s="1">
        <f t="shared" si="5"/>
        <v>60</v>
      </c>
    </row>
    <row r="347" spans="1:8" ht="18" customHeight="1" x14ac:dyDescent="0.25">
      <c r="A347" s="1" t="s">
        <v>5764</v>
      </c>
      <c r="B347" s="1" t="s">
        <v>2710</v>
      </c>
      <c r="C347" s="1" t="s">
        <v>5602</v>
      </c>
      <c r="D347" s="1" t="s">
        <v>5593</v>
      </c>
      <c r="E347" s="3">
        <v>45076</v>
      </c>
      <c r="F347" s="1">
        <v>30</v>
      </c>
      <c r="G347" s="1">
        <v>1</v>
      </c>
      <c r="H347" s="1">
        <f t="shared" si="5"/>
        <v>60</v>
      </c>
    </row>
    <row r="348" spans="1:8" ht="18" customHeight="1" x14ac:dyDescent="0.25">
      <c r="A348" s="1" t="s">
        <v>5766</v>
      </c>
      <c r="B348" s="1" t="s">
        <v>2724</v>
      </c>
      <c r="C348" s="1" t="s">
        <v>5597</v>
      </c>
      <c r="D348" s="1" t="s">
        <v>5595</v>
      </c>
      <c r="E348" s="3">
        <v>45074</v>
      </c>
      <c r="F348" s="1">
        <v>30</v>
      </c>
      <c r="G348" s="1">
        <v>1</v>
      </c>
      <c r="H348" s="1">
        <f t="shared" si="5"/>
        <v>60</v>
      </c>
    </row>
    <row r="349" spans="1:8" ht="18" customHeight="1" x14ac:dyDescent="0.25">
      <c r="A349" s="1" t="s">
        <v>5662</v>
      </c>
      <c r="B349" s="1" t="s">
        <v>2365</v>
      </c>
      <c r="C349" s="1" t="s">
        <v>5592</v>
      </c>
      <c r="D349" s="1" t="s">
        <v>5595</v>
      </c>
      <c r="E349" s="3">
        <v>45071</v>
      </c>
      <c r="F349" s="1">
        <v>30</v>
      </c>
      <c r="G349" s="1">
        <v>1</v>
      </c>
      <c r="H349" s="1">
        <f t="shared" si="5"/>
        <v>60</v>
      </c>
    </row>
    <row r="350" spans="1:8" ht="18" customHeight="1" x14ac:dyDescent="0.25">
      <c r="A350" s="1" t="s">
        <v>5886</v>
      </c>
      <c r="B350" s="1" t="s">
        <v>3095</v>
      </c>
      <c r="C350" s="1" t="s">
        <v>5592</v>
      </c>
      <c r="D350" s="1" t="s">
        <v>5593</v>
      </c>
      <c r="E350" s="3">
        <v>45052</v>
      </c>
      <c r="F350" s="1">
        <v>30</v>
      </c>
      <c r="G350" s="1">
        <v>1</v>
      </c>
      <c r="H350" s="1">
        <f t="shared" si="5"/>
        <v>60</v>
      </c>
    </row>
    <row r="351" spans="1:8" ht="18" customHeight="1" x14ac:dyDescent="0.25">
      <c r="A351" s="1" t="s">
        <v>6062</v>
      </c>
      <c r="B351" s="1" t="s">
        <v>3396</v>
      </c>
      <c r="C351" s="1" t="s">
        <v>5589</v>
      </c>
      <c r="D351" s="1" t="s">
        <v>5590</v>
      </c>
      <c r="E351" s="3">
        <v>45052</v>
      </c>
      <c r="F351" s="1">
        <v>30</v>
      </c>
      <c r="G351" s="1">
        <v>1</v>
      </c>
      <c r="H351" s="1">
        <f t="shared" si="5"/>
        <v>60</v>
      </c>
    </row>
    <row r="352" spans="1:8" ht="18" customHeight="1" x14ac:dyDescent="0.25">
      <c r="A352" s="1" t="s">
        <v>6091</v>
      </c>
      <c r="B352" s="1" t="s">
        <v>3443</v>
      </c>
      <c r="C352" s="1" t="s">
        <v>5597</v>
      </c>
      <c r="D352" s="1" t="s">
        <v>5595</v>
      </c>
      <c r="E352" s="3">
        <v>45047</v>
      </c>
      <c r="F352" s="1">
        <v>30</v>
      </c>
      <c r="G352" s="1">
        <v>1</v>
      </c>
      <c r="H352" s="1">
        <f t="shared" si="5"/>
        <v>60</v>
      </c>
    </row>
    <row r="353" spans="1:8" ht="18" customHeight="1" x14ac:dyDescent="0.25">
      <c r="A353" s="1" t="s">
        <v>6082</v>
      </c>
      <c r="B353" s="1" t="s">
        <v>3427</v>
      </c>
      <c r="C353" s="1" t="s">
        <v>5602</v>
      </c>
      <c r="D353" s="1" t="s">
        <v>5590</v>
      </c>
      <c r="E353" s="3">
        <v>45046</v>
      </c>
      <c r="F353" s="1">
        <v>30</v>
      </c>
      <c r="G353" s="1">
        <v>1</v>
      </c>
      <c r="H353" s="1">
        <f t="shared" si="5"/>
        <v>60</v>
      </c>
    </row>
    <row r="354" spans="1:8" ht="18" customHeight="1" x14ac:dyDescent="0.25">
      <c r="A354" s="1" t="s">
        <v>5836</v>
      </c>
      <c r="B354" s="1" t="s">
        <v>2959</v>
      </c>
      <c r="C354" s="1" t="s">
        <v>5592</v>
      </c>
      <c r="D354" s="1" t="s">
        <v>5590</v>
      </c>
      <c r="E354" s="3">
        <v>45045</v>
      </c>
      <c r="F354" s="1">
        <v>30</v>
      </c>
      <c r="G354" s="1">
        <v>1</v>
      </c>
      <c r="H354" s="1">
        <f t="shared" si="5"/>
        <v>60</v>
      </c>
    </row>
    <row r="355" spans="1:8" ht="18" customHeight="1" x14ac:dyDescent="0.25">
      <c r="A355" s="1" t="s">
        <v>6057</v>
      </c>
      <c r="B355" s="1" t="s">
        <v>3387</v>
      </c>
      <c r="C355" s="1" t="s">
        <v>5597</v>
      </c>
      <c r="D355" s="1" t="s">
        <v>5598</v>
      </c>
      <c r="E355" s="3">
        <v>45044</v>
      </c>
      <c r="F355" s="1">
        <v>30</v>
      </c>
      <c r="G355" s="1">
        <v>1</v>
      </c>
      <c r="H355" s="1">
        <f t="shared" si="5"/>
        <v>60</v>
      </c>
    </row>
    <row r="356" spans="1:8" ht="18" customHeight="1" x14ac:dyDescent="0.25">
      <c r="A356" s="1" t="s">
        <v>5901</v>
      </c>
      <c r="B356" s="1" t="s">
        <v>3125</v>
      </c>
      <c r="C356" s="1" t="s">
        <v>5597</v>
      </c>
      <c r="D356" s="1" t="s">
        <v>5595</v>
      </c>
      <c r="E356" s="3">
        <v>45043</v>
      </c>
      <c r="F356" s="1">
        <v>30</v>
      </c>
      <c r="G356" s="1">
        <v>1</v>
      </c>
      <c r="H356" s="1">
        <f t="shared" si="5"/>
        <v>60</v>
      </c>
    </row>
    <row r="357" spans="1:8" ht="18" customHeight="1" x14ac:dyDescent="0.25">
      <c r="A357" s="1" t="s">
        <v>5889</v>
      </c>
      <c r="B357" s="1" t="s">
        <v>3101</v>
      </c>
      <c r="C357" s="1" t="s">
        <v>5597</v>
      </c>
      <c r="D357" s="1" t="s">
        <v>5590</v>
      </c>
      <c r="E357" s="3">
        <v>45042</v>
      </c>
      <c r="F357" s="1">
        <v>30</v>
      </c>
      <c r="G357" s="1">
        <v>1</v>
      </c>
      <c r="H357" s="1">
        <f t="shared" si="5"/>
        <v>60</v>
      </c>
    </row>
    <row r="358" spans="1:8" ht="18" customHeight="1" x14ac:dyDescent="0.25">
      <c r="A358" s="1" t="s">
        <v>5925</v>
      </c>
      <c r="B358" s="1" t="s">
        <v>3169</v>
      </c>
      <c r="C358" s="1" t="s">
        <v>5597</v>
      </c>
      <c r="D358" s="1" t="s">
        <v>5590</v>
      </c>
      <c r="E358" s="3">
        <v>45038</v>
      </c>
      <c r="F358" s="1">
        <v>30</v>
      </c>
      <c r="G358" s="1">
        <v>1</v>
      </c>
      <c r="H358" s="1">
        <f t="shared" si="5"/>
        <v>60</v>
      </c>
    </row>
    <row r="359" spans="1:8" ht="18" customHeight="1" x14ac:dyDescent="0.25">
      <c r="A359" s="1" t="s">
        <v>5612</v>
      </c>
      <c r="B359" s="1" t="s">
        <v>2166</v>
      </c>
      <c r="C359" s="1" t="s">
        <v>5589</v>
      </c>
      <c r="D359" s="1" t="s">
        <v>5593</v>
      </c>
      <c r="E359" s="3">
        <v>45037</v>
      </c>
      <c r="F359" s="1">
        <v>30</v>
      </c>
      <c r="G359" s="1">
        <v>1</v>
      </c>
      <c r="H359" s="1">
        <f t="shared" si="5"/>
        <v>60</v>
      </c>
    </row>
    <row r="360" spans="1:8" ht="18" customHeight="1" x14ac:dyDescent="0.25">
      <c r="A360" s="1" t="s">
        <v>5961</v>
      </c>
      <c r="B360" s="1" t="s">
        <v>3229</v>
      </c>
      <c r="C360" s="1" t="s">
        <v>5597</v>
      </c>
      <c r="D360" s="1" t="s">
        <v>5593</v>
      </c>
      <c r="E360" s="3">
        <v>45035</v>
      </c>
      <c r="F360" s="1">
        <v>30</v>
      </c>
      <c r="G360" s="1">
        <v>1</v>
      </c>
      <c r="H360" s="1">
        <f t="shared" si="5"/>
        <v>60</v>
      </c>
    </row>
    <row r="361" spans="1:8" ht="18" customHeight="1" x14ac:dyDescent="0.25">
      <c r="A361" s="1" t="s">
        <v>5945</v>
      </c>
      <c r="B361" s="1" t="s">
        <v>3201</v>
      </c>
      <c r="C361" s="1" t="s">
        <v>5589</v>
      </c>
      <c r="D361" s="1" t="s">
        <v>5593</v>
      </c>
      <c r="E361" s="3">
        <v>45033</v>
      </c>
      <c r="F361" s="1">
        <v>30</v>
      </c>
      <c r="G361" s="1">
        <v>1</v>
      </c>
      <c r="H361" s="1">
        <f t="shared" si="5"/>
        <v>60</v>
      </c>
    </row>
    <row r="362" spans="1:8" ht="18" customHeight="1" x14ac:dyDescent="0.25">
      <c r="A362" s="1" t="s">
        <v>5709</v>
      </c>
      <c r="B362" s="1" t="s">
        <v>2519</v>
      </c>
      <c r="C362" s="1" t="s">
        <v>5602</v>
      </c>
      <c r="D362" s="1" t="s">
        <v>5595</v>
      </c>
      <c r="E362" s="3">
        <v>45029</v>
      </c>
      <c r="F362" s="1">
        <v>30</v>
      </c>
      <c r="G362" s="1">
        <v>1</v>
      </c>
      <c r="H362" s="1">
        <f t="shared" si="5"/>
        <v>60</v>
      </c>
    </row>
    <row r="363" spans="1:8" ht="18" customHeight="1" x14ac:dyDescent="0.25">
      <c r="A363" s="1" t="s">
        <v>5796</v>
      </c>
      <c r="B363" s="1" t="s">
        <v>2832</v>
      </c>
      <c r="C363" s="1" t="s">
        <v>5597</v>
      </c>
      <c r="D363" s="1" t="s">
        <v>5593</v>
      </c>
      <c r="E363" s="3">
        <v>45026</v>
      </c>
      <c r="F363" s="1">
        <v>30</v>
      </c>
      <c r="G363" s="1">
        <v>1</v>
      </c>
      <c r="H363" s="1">
        <f t="shared" si="5"/>
        <v>60</v>
      </c>
    </row>
    <row r="364" spans="1:8" ht="18" customHeight="1" x14ac:dyDescent="0.25">
      <c r="A364" s="1" t="s">
        <v>6036</v>
      </c>
      <c r="B364" s="1" t="s">
        <v>3355</v>
      </c>
      <c r="C364" s="1" t="s">
        <v>5597</v>
      </c>
      <c r="D364" s="1" t="s">
        <v>5590</v>
      </c>
      <c r="E364" s="3">
        <v>45026</v>
      </c>
      <c r="F364" s="1">
        <v>30</v>
      </c>
      <c r="G364" s="1">
        <v>1</v>
      </c>
      <c r="H364" s="1">
        <f t="shared" si="5"/>
        <v>60</v>
      </c>
    </row>
    <row r="365" spans="1:8" ht="18" customHeight="1" x14ac:dyDescent="0.25">
      <c r="A365" s="1" t="s">
        <v>5832</v>
      </c>
      <c r="B365" s="1" t="s">
        <v>2942</v>
      </c>
      <c r="C365" s="1" t="s">
        <v>5592</v>
      </c>
      <c r="D365" s="1" t="s">
        <v>5595</v>
      </c>
      <c r="E365" s="3">
        <v>45022</v>
      </c>
      <c r="F365" s="1">
        <v>30</v>
      </c>
      <c r="G365" s="1">
        <v>1</v>
      </c>
      <c r="H365" s="1">
        <f t="shared" si="5"/>
        <v>60</v>
      </c>
    </row>
    <row r="366" spans="1:8" ht="18" customHeight="1" x14ac:dyDescent="0.25">
      <c r="A366" s="1" t="s">
        <v>5678</v>
      </c>
      <c r="B366" s="1" t="s">
        <v>2422</v>
      </c>
      <c r="C366" s="1" t="s">
        <v>5597</v>
      </c>
      <c r="D366" s="1" t="s">
        <v>5595</v>
      </c>
      <c r="E366" s="3">
        <v>45012</v>
      </c>
      <c r="F366" s="1">
        <v>30</v>
      </c>
      <c r="G366" s="1">
        <v>1</v>
      </c>
      <c r="H366" s="1">
        <f t="shared" si="5"/>
        <v>60</v>
      </c>
    </row>
    <row r="367" spans="1:8" ht="18" customHeight="1" x14ac:dyDescent="0.25">
      <c r="A367" s="1" t="s">
        <v>5700</v>
      </c>
      <c r="B367" s="1" t="s">
        <v>2501</v>
      </c>
      <c r="C367" s="1" t="s">
        <v>5589</v>
      </c>
      <c r="D367" s="1" t="s">
        <v>5595</v>
      </c>
      <c r="E367" s="3">
        <v>45012</v>
      </c>
      <c r="F367" s="1">
        <v>30</v>
      </c>
      <c r="G367" s="1">
        <v>1</v>
      </c>
      <c r="H367" s="1">
        <f t="shared" si="5"/>
        <v>60</v>
      </c>
    </row>
    <row r="368" spans="1:8" ht="18" customHeight="1" x14ac:dyDescent="0.25">
      <c r="A368" s="1" t="s">
        <v>5719</v>
      </c>
      <c r="B368" s="1" t="s">
        <v>2560</v>
      </c>
      <c r="C368" s="1" t="s">
        <v>5597</v>
      </c>
      <c r="D368" s="1" t="s">
        <v>5593</v>
      </c>
      <c r="E368" s="3">
        <v>45007</v>
      </c>
      <c r="F368" s="1">
        <v>30</v>
      </c>
      <c r="G368" s="1">
        <v>1</v>
      </c>
      <c r="H368" s="1">
        <f t="shared" si="5"/>
        <v>60</v>
      </c>
    </row>
    <row r="369" spans="1:8" ht="18" customHeight="1" x14ac:dyDescent="0.25">
      <c r="A369" s="1" t="s">
        <v>5831</v>
      </c>
      <c r="B369" s="1" t="s">
        <v>2937</v>
      </c>
      <c r="C369" s="1" t="s">
        <v>5592</v>
      </c>
      <c r="D369" s="1" t="s">
        <v>5598</v>
      </c>
      <c r="E369" s="3">
        <v>45007</v>
      </c>
      <c r="F369" s="1">
        <v>30</v>
      </c>
      <c r="G369" s="1">
        <v>1</v>
      </c>
      <c r="H369" s="1">
        <f t="shared" si="5"/>
        <v>60</v>
      </c>
    </row>
    <row r="370" spans="1:8" ht="18" customHeight="1" x14ac:dyDescent="0.25">
      <c r="A370" s="1" t="s">
        <v>5739</v>
      </c>
      <c r="B370" s="1" t="s">
        <v>2631</v>
      </c>
      <c r="C370" s="1" t="s">
        <v>5589</v>
      </c>
      <c r="D370" s="1" t="s">
        <v>5593</v>
      </c>
      <c r="E370" s="3">
        <v>44981</v>
      </c>
      <c r="F370" s="1">
        <v>30</v>
      </c>
      <c r="G370" s="1">
        <v>1</v>
      </c>
      <c r="H370" s="1">
        <f t="shared" si="5"/>
        <v>60</v>
      </c>
    </row>
    <row r="371" spans="1:8" ht="18" customHeight="1" x14ac:dyDescent="0.25">
      <c r="A371" s="1" t="s">
        <v>5909</v>
      </c>
      <c r="B371" s="1" t="s">
        <v>3140</v>
      </c>
      <c r="C371" s="1" t="s">
        <v>5597</v>
      </c>
      <c r="D371" s="1" t="s">
        <v>5590</v>
      </c>
      <c r="E371" s="3">
        <v>44981</v>
      </c>
      <c r="F371" s="1">
        <v>30</v>
      </c>
      <c r="G371" s="1">
        <v>1</v>
      </c>
      <c r="H371" s="1">
        <f t="shared" si="5"/>
        <v>60</v>
      </c>
    </row>
    <row r="372" spans="1:8" ht="18" customHeight="1" x14ac:dyDescent="0.25">
      <c r="A372" s="1" t="s">
        <v>5616</v>
      </c>
      <c r="B372" s="1" t="s">
        <v>2184</v>
      </c>
      <c r="C372" s="1" t="s">
        <v>5602</v>
      </c>
      <c r="D372" s="1" t="s">
        <v>5593</v>
      </c>
      <c r="E372" s="3">
        <v>44980</v>
      </c>
      <c r="F372" s="1">
        <v>30</v>
      </c>
      <c r="G372" s="1">
        <v>1</v>
      </c>
      <c r="H372" s="1">
        <f t="shared" si="5"/>
        <v>60</v>
      </c>
    </row>
    <row r="373" spans="1:8" ht="18" customHeight="1" x14ac:dyDescent="0.25">
      <c r="A373" s="1" t="s">
        <v>5737</v>
      </c>
      <c r="B373" s="1" t="s">
        <v>2623</v>
      </c>
      <c r="C373" s="1" t="s">
        <v>5589</v>
      </c>
      <c r="D373" s="1" t="s">
        <v>5598</v>
      </c>
      <c r="E373" s="3">
        <v>44976</v>
      </c>
      <c r="F373" s="1">
        <v>30</v>
      </c>
      <c r="G373" s="1">
        <v>1</v>
      </c>
      <c r="H373" s="1">
        <f t="shared" si="5"/>
        <v>60</v>
      </c>
    </row>
    <row r="374" spans="1:8" ht="18" customHeight="1" x14ac:dyDescent="0.25">
      <c r="A374" s="1" t="s">
        <v>5828</v>
      </c>
      <c r="B374" s="1" t="s">
        <v>2925</v>
      </c>
      <c r="C374" s="1" t="s">
        <v>5597</v>
      </c>
      <c r="D374" s="1" t="s">
        <v>5598</v>
      </c>
      <c r="E374" s="3">
        <v>44974</v>
      </c>
      <c r="F374" s="1">
        <v>30</v>
      </c>
      <c r="G374" s="1">
        <v>1</v>
      </c>
      <c r="H374" s="1">
        <f t="shared" si="5"/>
        <v>60</v>
      </c>
    </row>
    <row r="375" spans="1:8" ht="18" customHeight="1" x14ac:dyDescent="0.25">
      <c r="A375" s="1" t="s">
        <v>5780</v>
      </c>
      <c r="B375" s="1" t="s">
        <v>2779</v>
      </c>
      <c r="C375" s="1" t="s">
        <v>5602</v>
      </c>
      <c r="D375" s="1" t="s">
        <v>5590</v>
      </c>
      <c r="E375" s="3">
        <v>44964</v>
      </c>
      <c r="F375" s="1">
        <v>30</v>
      </c>
      <c r="G375" s="1">
        <v>1</v>
      </c>
      <c r="H375" s="1">
        <f t="shared" si="5"/>
        <v>60</v>
      </c>
    </row>
    <row r="376" spans="1:8" ht="18" customHeight="1" x14ac:dyDescent="0.25">
      <c r="A376" s="1" t="s">
        <v>5735</v>
      </c>
      <c r="B376" s="1" t="s">
        <v>2612</v>
      </c>
      <c r="C376" s="1" t="s">
        <v>5597</v>
      </c>
      <c r="D376" s="1" t="s">
        <v>5598</v>
      </c>
      <c r="E376" s="3">
        <v>44963</v>
      </c>
      <c r="F376" s="1">
        <v>30</v>
      </c>
      <c r="G376" s="1">
        <v>1</v>
      </c>
      <c r="H376" s="1">
        <f t="shared" si="5"/>
        <v>60</v>
      </c>
    </row>
    <row r="377" spans="1:8" ht="18" customHeight="1" x14ac:dyDescent="0.25">
      <c r="A377" s="1" t="s">
        <v>5860</v>
      </c>
      <c r="B377" s="1" t="s">
        <v>3036</v>
      </c>
      <c r="C377" s="1" t="s">
        <v>5602</v>
      </c>
      <c r="D377" s="1" t="s">
        <v>5593</v>
      </c>
      <c r="E377" s="3">
        <v>44959</v>
      </c>
      <c r="F377" s="1">
        <v>30</v>
      </c>
      <c r="G377" s="1">
        <v>1</v>
      </c>
      <c r="H377" s="1">
        <f t="shared" si="5"/>
        <v>60</v>
      </c>
    </row>
    <row r="378" spans="1:8" ht="18" customHeight="1" x14ac:dyDescent="0.25">
      <c r="A378" s="1" t="s">
        <v>5648</v>
      </c>
      <c r="B378" s="1" t="s">
        <v>2319</v>
      </c>
      <c r="C378" s="1" t="s">
        <v>5589</v>
      </c>
      <c r="D378" s="1" t="s">
        <v>5598</v>
      </c>
      <c r="E378" s="3">
        <v>44957</v>
      </c>
      <c r="F378" s="1">
        <v>30</v>
      </c>
      <c r="G378" s="1">
        <v>1</v>
      </c>
      <c r="H378" s="1">
        <f t="shared" si="5"/>
        <v>60</v>
      </c>
    </row>
    <row r="379" spans="1:8" ht="18" customHeight="1" x14ac:dyDescent="0.25">
      <c r="A379" s="1" t="s">
        <v>5804</v>
      </c>
      <c r="B379" s="1" t="s">
        <v>2855</v>
      </c>
      <c r="C379" s="1" t="s">
        <v>5602</v>
      </c>
      <c r="D379" s="1" t="s">
        <v>5590</v>
      </c>
      <c r="E379" s="3">
        <v>44949</v>
      </c>
      <c r="F379" s="1">
        <v>30</v>
      </c>
      <c r="G379" s="1">
        <v>1</v>
      </c>
      <c r="H379" s="1">
        <f t="shared" si="5"/>
        <v>60</v>
      </c>
    </row>
    <row r="380" spans="1:8" ht="18" customHeight="1" x14ac:dyDescent="0.25">
      <c r="A380" s="1" t="s">
        <v>5615</v>
      </c>
      <c r="B380" s="1" t="s">
        <v>2179</v>
      </c>
      <c r="C380" s="1" t="s">
        <v>5597</v>
      </c>
      <c r="D380" s="1" t="s">
        <v>5593</v>
      </c>
      <c r="E380" s="3">
        <v>44948</v>
      </c>
      <c r="F380" s="1">
        <v>30</v>
      </c>
      <c r="G380" s="1">
        <v>1</v>
      </c>
      <c r="H380" s="1">
        <f t="shared" si="5"/>
        <v>60</v>
      </c>
    </row>
    <row r="381" spans="1:8" ht="18" customHeight="1" x14ac:dyDescent="0.25">
      <c r="A381" s="1" t="s">
        <v>6050</v>
      </c>
      <c r="B381" s="1" t="s">
        <v>3377</v>
      </c>
      <c r="C381" s="1" t="s">
        <v>5592</v>
      </c>
      <c r="D381" s="1" t="s">
        <v>5593</v>
      </c>
      <c r="E381" s="3">
        <v>44946</v>
      </c>
      <c r="F381" s="1">
        <v>30</v>
      </c>
      <c r="G381" s="1">
        <v>1</v>
      </c>
      <c r="H381" s="1">
        <f t="shared" si="5"/>
        <v>60</v>
      </c>
    </row>
    <row r="382" spans="1:8" ht="18" customHeight="1" x14ac:dyDescent="0.25">
      <c r="A382" s="1" t="s">
        <v>5652</v>
      </c>
      <c r="B382" s="1" t="s">
        <v>2332</v>
      </c>
      <c r="C382" s="1" t="s">
        <v>5592</v>
      </c>
      <c r="D382" s="1" t="s">
        <v>5598</v>
      </c>
      <c r="E382" s="3">
        <v>44945</v>
      </c>
      <c r="F382" s="1">
        <v>30</v>
      </c>
      <c r="G382" s="1">
        <v>1</v>
      </c>
      <c r="H382" s="1">
        <f t="shared" si="5"/>
        <v>60</v>
      </c>
    </row>
    <row r="383" spans="1:8" ht="18" customHeight="1" x14ac:dyDescent="0.25">
      <c r="A383" s="1" t="s">
        <v>5819</v>
      </c>
      <c r="B383" s="1" t="s">
        <v>2895</v>
      </c>
      <c r="C383" s="1" t="s">
        <v>5597</v>
      </c>
      <c r="D383" s="1" t="s">
        <v>5595</v>
      </c>
      <c r="E383" s="3">
        <v>44944</v>
      </c>
      <c r="F383" s="1">
        <v>30</v>
      </c>
      <c r="G383" s="1">
        <v>1</v>
      </c>
      <c r="H383" s="1">
        <f t="shared" si="5"/>
        <v>60</v>
      </c>
    </row>
    <row r="384" spans="1:8" ht="18" customHeight="1" x14ac:dyDescent="0.25">
      <c r="A384" s="1" t="s">
        <v>5863</v>
      </c>
      <c r="B384" s="1" t="s">
        <v>3049</v>
      </c>
      <c r="C384" s="1" t="s">
        <v>5592</v>
      </c>
      <c r="D384" s="1" t="s">
        <v>5590</v>
      </c>
      <c r="E384" s="3">
        <v>44942</v>
      </c>
      <c r="F384" s="1">
        <v>30</v>
      </c>
      <c r="G384" s="1">
        <v>1</v>
      </c>
      <c r="H384" s="1">
        <f t="shared" si="5"/>
        <v>60</v>
      </c>
    </row>
    <row r="385" spans="1:8" ht="18" customHeight="1" x14ac:dyDescent="0.25">
      <c r="A385" s="1" t="s">
        <v>6032</v>
      </c>
      <c r="B385" s="1" t="s">
        <v>3348</v>
      </c>
      <c r="C385" s="1" t="s">
        <v>5602</v>
      </c>
      <c r="D385" s="1" t="s">
        <v>5590</v>
      </c>
      <c r="E385" s="3">
        <v>44942</v>
      </c>
      <c r="F385" s="1">
        <v>30</v>
      </c>
      <c r="G385" s="1">
        <v>1</v>
      </c>
      <c r="H385" s="1">
        <f t="shared" si="5"/>
        <v>60</v>
      </c>
    </row>
    <row r="386" spans="1:8" ht="18" customHeight="1" x14ac:dyDescent="0.25">
      <c r="A386" s="1" t="s">
        <v>6054</v>
      </c>
      <c r="B386" s="1" t="s">
        <v>3382</v>
      </c>
      <c r="C386" s="1" t="s">
        <v>5592</v>
      </c>
      <c r="D386" s="1" t="s">
        <v>5598</v>
      </c>
      <c r="E386" s="3">
        <v>44941</v>
      </c>
      <c r="F386" s="1">
        <v>30</v>
      </c>
      <c r="G386" s="1">
        <v>1</v>
      </c>
      <c r="H386" s="1">
        <f t="shared" ref="H386:H449" si="6">F386*(G386+1)</f>
        <v>60</v>
      </c>
    </row>
    <row r="387" spans="1:8" ht="18" customHeight="1" x14ac:dyDescent="0.25">
      <c r="A387" s="1" t="s">
        <v>5742</v>
      </c>
      <c r="B387" s="1" t="s">
        <v>2637</v>
      </c>
      <c r="C387" s="1" t="s">
        <v>5602</v>
      </c>
      <c r="D387" s="1" t="s">
        <v>5593</v>
      </c>
      <c r="E387" s="3">
        <v>44937</v>
      </c>
      <c r="F387" s="1">
        <v>30</v>
      </c>
      <c r="G387" s="1">
        <v>1</v>
      </c>
      <c r="H387" s="1">
        <f t="shared" si="6"/>
        <v>60</v>
      </c>
    </row>
    <row r="388" spans="1:8" ht="18" customHeight="1" x14ac:dyDescent="0.25">
      <c r="A388" s="1" t="s">
        <v>5667</v>
      </c>
      <c r="B388" s="1" t="s">
        <v>2386</v>
      </c>
      <c r="C388" s="1" t="s">
        <v>5597</v>
      </c>
      <c r="D388" s="1" t="s">
        <v>5590</v>
      </c>
      <c r="E388" s="3">
        <v>44936</v>
      </c>
      <c r="F388" s="1">
        <v>30</v>
      </c>
      <c r="G388" s="1">
        <v>1</v>
      </c>
      <c r="H388" s="1">
        <f t="shared" si="6"/>
        <v>60</v>
      </c>
    </row>
    <row r="389" spans="1:8" ht="18" customHeight="1" x14ac:dyDescent="0.25">
      <c r="A389" s="1" t="s">
        <v>5885</v>
      </c>
      <c r="B389" s="1" t="s">
        <v>3093</v>
      </c>
      <c r="C389" s="1" t="s">
        <v>5597</v>
      </c>
      <c r="D389" s="1" t="s">
        <v>5595</v>
      </c>
      <c r="E389" s="3">
        <v>44935</v>
      </c>
      <c r="F389" s="1">
        <v>30</v>
      </c>
      <c r="G389" s="1">
        <v>1</v>
      </c>
      <c r="H389" s="1">
        <f t="shared" si="6"/>
        <v>60</v>
      </c>
    </row>
    <row r="390" spans="1:8" ht="18" customHeight="1" x14ac:dyDescent="0.25">
      <c r="A390" s="1" t="s">
        <v>5786</v>
      </c>
      <c r="B390" s="1" t="s">
        <v>2798</v>
      </c>
      <c r="C390" s="1" t="s">
        <v>5592</v>
      </c>
      <c r="D390" s="1" t="s">
        <v>5598</v>
      </c>
      <c r="E390" s="3">
        <v>44933</v>
      </c>
      <c r="F390" s="1">
        <v>30</v>
      </c>
      <c r="G390" s="1">
        <v>1</v>
      </c>
      <c r="H390" s="1">
        <f t="shared" si="6"/>
        <v>60</v>
      </c>
    </row>
    <row r="391" spans="1:8" ht="18" customHeight="1" x14ac:dyDescent="0.25">
      <c r="A391" s="1" t="s">
        <v>5721</v>
      </c>
      <c r="B391" s="1" t="s">
        <v>2566</v>
      </c>
      <c r="C391" s="1" t="s">
        <v>5592</v>
      </c>
      <c r="D391" s="1" t="s">
        <v>5590</v>
      </c>
      <c r="E391" s="3">
        <v>44918</v>
      </c>
      <c r="F391" s="1">
        <v>30</v>
      </c>
      <c r="G391" s="1">
        <v>1</v>
      </c>
      <c r="H391" s="1">
        <f t="shared" si="6"/>
        <v>60</v>
      </c>
    </row>
    <row r="392" spans="1:8" ht="18" customHeight="1" x14ac:dyDescent="0.25">
      <c r="A392" s="1" t="s">
        <v>5800</v>
      </c>
      <c r="B392" s="1" t="s">
        <v>2847</v>
      </c>
      <c r="C392" s="1" t="s">
        <v>5589</v>
      </c>
      <c r="D392" s="1" t="s">
        <v>5590</v>
      </c>
      <c r="E392" s="3">
        <v>44917</v>
      </c>
      <c r="F392" s="1">
        <v>30</v>
      </c>
      <c r="G392" s="1">
        <v>1</v>
      </c>
      <c r="H392" s="1">
        <f t="shared" si="6"/>
        <v>60</v>
      </c>
    </row>
    <row r="393" spans="1:8" ht="18" customHeight="1" x14ac:dyDescent="0.25">
      <c r="A393" s="1" t="s">
        <v>5812</v>
      </c>
      <c r="B393" s="1" t="s">
        <v>2874</v>
      </c>
      <c r="C393" s="1" t="s">
        <v>5602</v>
      </c>
      <c r="D393" s="1" t="s">
        <v>5593</v>
      </c>
      <c r="E393" s="3">
        <v>44915</v>
      </c>
      <c r="F393" s="1">
        <v>30</v>
      </c>
      <c r="G393" s="1">
        <v>1</v>
      </c>
      <c r="H393" s="1">
        <f t="shared" si="6"/>
        <v>60</v>
      </c>
    </row>
    <row r="394" spans="1:8" ht="18" customHeight="1" x14ac:dyDescent="0.25">
      <c r="A394" s="1" t="s">
        <v>5680</v>
      </c>
      <c r="B394" s="1" t="s">
        <v>2433</v>
      </c>
      <c r="C394" s="1" t="s">
        <v>5602</v>
      </c>
      <c r="D394" s="1" t="s">
        <v>5590</v>
      </c>
      <c r="E394" s="3">
        <v>44913</v>
      </c>
      <c r="F394" s="1">
        <v>30</v>
      </c>
      <c r="G394" s="1">
        <v>1</v>
      </c>
      <c r="H394" s="1">
        <f t="shared" si="6"/>
        <v>60</v>
      </c>
    </row>
    <row r="395" spans="1:8" ht="18" customHeight="1" x14ac:dyDescent="0.25">
      <c r="A395" s="1" t="s">
        <v>5894</v>
      </c>
      <c r="B395" s="1" t="s">
        <v>3110</v>
      </c>
      <c r="C395" s="1" t="s">
        <v>5597</v>
      </c>
      <c r="D395" s="1" t="s">
        <v>5593</v>
      </c>
      <c r="E395" s="3">
        <v>44907</v>
      </c>
      <c r="F395" s="1">
        <v>30</v>
      </c>
      <c r="G395" s="1">
        <v>1</v>
      </c>
      <c r="H395" s="1">
        <f t="shared" si="6"/>
        <v>60</v>
      </c>
    </row>
    <row r="396" spans="1:8" ht="18" customHeight="1" x14ac:dyDescent="0.25">
      <c r="A396" s="1" t="s">
        <v>5696</v>
      </c>
      <c r="B396" s="1" t="s">
        <v>2490</v>
      </c>
      <c r="C396" s="1" t="s">
        <v>5597</v>
      </c>
      <c r="D396" s="1" t="s">
        <v>5598</v>
      </c>
      <c r="E396" s="3">
        <v>44906</v>
      </c>
      <c r="F396" s="1">
        <v>30</v>
      </c>
      <c r="G396" s="1">
        <v>1</v>
      </c>
      <c r="H396" s="1">
        <f t="shared" si="6"/>
        <v>60</v>
      </c>
    </row>
    <row r="397" spans="1:8" ht="18" customHeight="1" x14ac:dyDescent="0.25">
      <c r="A397" s="1" t="s">
        <v>6073</v>
      </c>
      <c r="B397" s="1" t="s">
        <v>3412</v>
      </c>
      <c r="C397" s="1" t="s">
        <v>5589</v>
      </c>
      <c r="D397" s="1" t="s">
        <v>5593</v>
      </c>
      <c r="E397" s="3">
        <v>44905</v>
      </c>
      <c r="F397" s="1">
        <v>30</v>
      </c>
      <c r="G397" s="1">
        <v>1</v>
      </c>
      <c r="H397" s="1">
        <f t="shared" si="6"/>
        <v>60</v>
      </c>
    </row>
    <row r="398" spans="1:8" ht="18" customHeight="1" x14ac:dyDescent="0.25">
      <c r="A398" s="1" t="s">
        <v>6056</v>
      </c>
      <c r="B398" s="1" t="s">
        <v>3385</v>
      </c>
      <c r="C398" s="1" t="s">
        <v>5597</v>
      </c>
      <c r="D398" s="1" t="s">
        <v>5590</v>
      </c>
      <c r="E398" s="3">
        <v>44901</v>
      </c>
      <c r="F398" s="1">
        <v>30</v>
      </c>
      <c r="G398" s="1">
        <v>1</v>
      </c>
      <c r="H398" s="1">
        <f t="shared" si="6"/>
        <v>60</v>
      </c>
    </row>
    <row r="399" spans="1:8" ht="18" customHeight="1" x14ac:dyDescent="0.25">
      <c r="A399" s="1" t="s">
        <v>5631</v>
      </c>
      <c r="B399" s="1" t="s">
        <v>2242</v>
      </c>
      <c r="C399" s="1" t="s">
        <v>5602</v>
      </c>
      <c r="D399" s="1" t="s">
        <v>5590</v>
      </c>
      <c r="E399" s="3">
        <v>44893</v>
      </c>
      <c r="F399" s="1">
        <v>30</v>
      </c>
      <c r="G399" s="1">
        <v>1</v>
      </c>
      <c r="H399" s="1">
        <f t="shared" si="6"/>
        <v>60</v>
      </c>
    </row>
    <row r="400" spans="1:8" ht="18" customHeight="1" x14ac:dyDescent="0.25">
      <c r="A400" s="1" t="s">
        <v>5705</v>
      </c>
      <c r="B400" s="1" t="s">
        <v>2511</v>
      </c>
      <c r="C400" s="1" t="s">
        <v>5597</v>
      </c>
      <c r="D400" s="1" t="s">
        <v>5595</v>
      </c>
      <c r="E400" s="3">
        <v>44891</v>
      </c>
      <c r="F400" s="1">
        <v>30</v>
      </c>
      <c r="G400" s="1">
        <v>1</v>
      </c>
      <c r="H400" s="1">
        <f t="shared" si="6"/>
        <v>60</v>
      </c>
    </row>
    <row r="401" spans="1:8" ht="18" customHeight="1" x14ac:dyDescent="0.25">
      <c r="A401" s="1" t="s">
        <v>5940</v>
      </c>
      <c r="B401" s="1" t="s">
        <v>3195</v>
      </c>
      <c r="C401" s="1" t="s">
        <v>5592</v>
      </c>
      <c r="D401" s="1" t="s">
        <v>5598</v>
      </c>
      <c r="E401" s="3">
        <v>44885</v>
      </c>
      <c r="F401" s="1">
        <v>30</v>
      </c>
      <c r="G401" s="1">
        <v>1</v>
      </c>
      <c r="H401" s="1">
        <f t="shared" si="6"/>
        <v>60</v>
      </c>
    </row>
    <row r="402" spans="1:8" ht="18" customHeight="1" x14ac:dyDescent="0.25">
      <c r="A402" s="1" t="s">
        <v>5949</v>
      </c>
      <c r="B402" s="1" t="s">
        <v>3208</v>
      </c>
      <c r="C402" s="1" t="s">
        <v>5592</v>
      </c>
      <c r="D402" s="1" t="s">
        <v>5593</v>
      </c>
      <c r="E402" s="3">
        <v>44885</v>
      </c>
      <c r="F402" s="1">
        <v>30</v>
      </c>
      <c r="G402" s="1">
        <v>1</v>
      </c>
      <c r="H402" s="1">
        <f t="shared" si="6"/>
        <v>60</v>
      </c>
    </row>
    <row r="403" spans="1:8" ht="18" customHeight="1" x14ac:dyDescent="0.25">
      <c r="A403" s="1" t="s">
        <v>6001</v>
      </c>
      <c r="B403" s="1" t="s">
        <v>3297</v>
      </c>
      <c r="C403" s="1" t="s">
        <v>5597</v>
      </c>
      <c r="D403" s="1" t="s">
        <v>5593</v>
      </c>
      <c r="E403" s="3">
        <v>44882</v>
      </c>
      <c r="F403" s="1">
        <v>30</v>
      </c>
      <c r="G403" s="1">
        <v>1</v>
      </c>
      <c r="H403" s="1">
        <f t="shared" si="6"/>
        <v>60</v>
      </c>
    </row>
    <row r="404" spans="1:8" ht="18" customHeight="1" x14ac:dyDescent="0.25">
      <c r="A404" s="1" t="s">
        <v>6012</v>
      </c>
      <c r="B404" s="1" t="s">
        <v>3316</v>
      </c>
      <c r="C404" s="1" t="s">
        <v>5592</v>
      </c>
      <c r="D404" s="1" t="s">
        <v>5595</v>
      </c>
      <c r="E404" s="3">
        <v>44879</v>
      </c>
      <c r="F404" s="1">
        <v>30</v>
      </c>
      <c r="G404" s="1">
        <v>1</v>
      </c>
      <c r="H404" s="1">
        <f t="shared" si="6"/>
        <v>60</v>
      </c>
    </row>
    <row r="405" spans="1:8" ht="18" customHeight="1" x14ac:dyDescent="0.25">
      <c r="A405" s="1" t="s">
        <v>5627</v>
      </c>
      <c r="B405" s="1" t="s">
        <v>2231</v>
      </c>
      <c r="C405" s="1" t="s">
        <v>5597</v>
      </c>
      <c r="D405" s="1" t="s">
        <v>5598</v>
      </c>
      <c r="E405" s="3">
        <v>44878</v>
      </c>
      <c r="F405" s="1">
        <v>30</v>
      </c>
      <c r="G405" s="1">
        <v>1</v>
      </c>
      <c r="H405" s="1">
        <f t="shared" si="6"/>
        <v>60</v>
      </c>
    </row>
    <row r="406" spans="1:8" ht="18" customHeight="1" x14ac:dyDescent="0.25">
      <c r="A406" s="1" t="s">
        <v>6092</v>
      </c>
      <c r="B406" s="1" t="s">
        <v>3445</v>
      </c>
      <c r="C406" s="1" t="s">
        <v>5592</v>
      </c>
      <c r="D406" s="1" t="s">
        <v>5598</v>
      </c>
      <c r="E406" s="3">
        <v>44872</v>
      </c>
      <c r="F406" s="1">
        <v>30</v>
      </c>
      <c r="G406" s="1">
        <v>1</v>
      </c>
      <c r="H406" s="1">
        <f t="shared" si="6"/>
        <v>60</v>
      </c>
    </row>
    <row r="407" spans="1:8" ht="18" customHeight="1" x14ac:dyDescent="0.25">
      <c r="A407" s="1" t="s">
        <v>5624</v>
      </c>
      <c r="B407" s="1" t="s">
        <v>2213</v>
      </c>
      <c r="C407" s="1" t="s">
        <v>5597</v>
      </c>
      <c r="D407" s="1" t="s">
        <v>5598</v>
      </c>
      <c r="E407" s="3">
        <v>44866</v>
      </c>
      <c r="F407" s="1">
        <v>30</v>
      </c>
      <c r="G407" s="1">
        <v>1</v>
      </c>
      <c r="H407" s="1">
        <f t="shared" si="6"/>
        <v>60</v>
      </c>
    </row>
    <row r="408" spans="1:8" ht="18" customHeight="1" x14ac:dyDescent="0.25">
      <c r="A408" s="1" t="s">
        <v>5880</v>
      </c>
      <c r="B408" s="1" t="s">
        <v>3085</v>
      </c>
      <c r="C408" s="1" t="s">
        <v>5589</v>
      </c>
      <c r="D408" s="1" t="s">
        <v>5598</v>
      </c>
      <c r="E408" s="3">
        <v>44855</v>
      </c>
      <c r="F408" s="1">
        <v>30</v>
      </c>
      <c r="G408" s="1">
        <v>1</v>
      </c>
      <c r="H408" s="1">
        <f t="shared" si="6"/>
        <v>60</v>
      </c>
    </row>
    <row r="409" spans="1:8" ht="18" customHeight="1" x14ac:dyDescent="0.25">
      <c r="A409" s="1" t="s">
        <v>5913</v>
      </c>
      <c r="B409" s="1" t="s">
        <v>3147</v>
      </c>
      <c r="C409" s="1" t="s">
        <v>5589</v>
      </c>
      <c r="D409" s="1" t="s">
        <v>5593</v>
      </c>
      <c r="E409" s="3">
        <v>44852</v>
      </c>
      <c r="F409" s="1">
        <v>30</v>
      </c>
      <c r="G409" s="1">
        <v>1</v>
      </c>
      <c r="H409" s="1">
        <f t="shared" si="6"/>
        <v>60</v>
      </c>
    </row>
    <row r="410" spans="1:8" ht="18" customHeight="1" x14ac:dyDescent="0.25">
      <c r="A410" s="1" t="s">
        <v>5591</v>
      </c>
      <c r="B410" s="1" t="s">
        <v>2094</v>
      </c>
      <c r="C410" s="1" t="s">
        <v>5592</v>
      </c>
      <c r="D410" s="1" t="s">
        <v>5593</v>
      </c>
      <c r="E410" s="3">
        <v>44851</v>
      </c>
      <c r="F410" s="1">
        <v>30</v>
      </c>
      <c r="G410" s="1">
        <v>1</v>
      </c>
      <c r="H410" s="1">
        <f t="shared" si="6"/>
        <v>60</v>
      </c>
    </row>
    <row r="411" spans="1:8" ht="18" customHeight="1" x14ac:dyDescent="0.25">
      <c r="A411" s="1" t="s">
        <v>6072</v>
      </c>
      <c r="B411" s="1" t="s">
        <v>3411</v>
      </c>
      <c r="C411" s="1" t="s">
        <v>5592</v>
      </c>
      <c r="D411" s="1" t="s">
        <v>5593</v>
      </c>
      <c r="E411" s="3">
        <v>44851</v>
      </c>
      <c r="F411" s="1">
        <v>30</v>
      </c>
      <c r="G411" s="1">
        <v>1</v>
      </c>
      <c r="H411" s="1">
        <f t="shared" si="6"/>
        <v>60</v>
      </c>
    </row>
    <row r="412" spans="1:8" ht="18" customHeight="1" x14ac:dyDescent="0.25">
      <c r="A412" s="1" t="s">
        <v>5772</v>
      </c>
      <c r="B412" s="1" t="s">
        <v>2757</v>
      </c>
      <c r="C412" s="1" t="s">
        <v>5597</v>
      </c>
      <c r="D412" s="1" t="s">
        <v>5590</v>
      </c>
      <c r="E412" s="3">
        <v>44848</v>
      </c>
      <c r="F412" s="1">
        <v>30</v>
      </c>
      <c r="G412" s="1">
        <v>1</v>
      </c>
      <c r="H412" s="1">
        <f t="shared" si="6"/>
        <v>60</v>
      </c>
    </row>
    <row r="413" spans="1:8" ht="18" customHeight="1" x14ac:dyDescent="0.25">
      <c r="A413" s="1" t="s">
        <v>5729</v>
      </c>
      <c r="B413" s="1" t="s">
        <v>2586</v>
      </c>
      <c r="C413" s="1" t="s">
        <v>5589</v>
      </c>
      <c r="D413" s="1" t="s">
        <v>5590</v>
      </c>
      <c r="E413" s="3">
        <v>44847</v>
      </c>
      <c r="F413" s="1">
        <v>30</v>
      </c>
      <c r="G413" s="1">
        <v>1</v>
      </c>
      <c r="H413" s="1">
        <f t="shared" si="6"/>
        <v>60</v>
      </c>
    </row>
    <row r="414" spans="1:8" ht="18" customHeight="1" x14ac:dyDescent="0.25">
      <c r="A414" s="1" t="s">
        <v>5891</v>
      </c>
      <c r="B414" s="1" t="s">
        <v>3104</v>
      </c>
      <c r="C414" s="1" t="s">
        <v>5597</v>
      </c>
      <c r="D414" s="1" t="s">
        <v>5598</v>
      </c>
      <c r="E414" s="3">
        <v>44846</v>
      </c>
      <c r="F414" s="1">
        <v>30</v>
      </c>
      <c r="G414" s="1">
        <v>1</v>
      </c>
      <c r="H414" s="1">
        <f t="shared" si="6"/>
        <v>60</v>
      </c>
    </row>
    <row r="415" spans="1:8" ht="18" customHeight="1" x14ac:dyDescent="0.25">
      <c r="A415" s="1" t="s">
        <v>5903</v>
      </c>
      <c r="B415" s="1" t="s">
        <v>3130</v>
      </c>
      <c r="C415" s="1" t="s">
        <v>5602</v>
      </c>
      <c r="D415" s="1" t="s">
        <v>5590</v>
      </c>
      <c r="E415" s="3">
        <v>44846</v>
      </c>
      <c r="F415" s="1">
        <v>30</v>
      </c>
      <c r="G415" s="1">
        <v>1</v>
      </c>
      <c r="H415" s="1">
        <f t="shared" si="6"/>
        <v>60</v>
      </c>
    </row>
    <row r="416" spans="1:8" ht="18" customHeight="1" x14ac:dyDescent="0.25">
      <c r="A416" s="1" t="s">
        <v>5868</v>
      </c>
      <c r="B416" s="1" t="s">
        <v>3059</v>
      </c>
      <c r="C416" s="1" t="s">
        <v>5592</v>
      </c>
      <c r="D416" s="1" t="s">
        <v>5590</v>
      </c>
      <c r="E416" s="3">
        <v>44840</v>
      </c>
      <c r="F416" s="1">
        <v>30</v>
      </c>
      <c r="G416" s="1">
        <v>1</v>
      </c>
      <c r="H416" s="1">
        <f t="shared" si="6"/>
        <v>60</v>
      </c>
    </row>
    <row r="417" spans="1:8" ht="18" customHeight="1" x14ac:dyDescent="0.25">
      <c r="A417" s="1" t="s">
        <v>5850</v>
      </c>
      <c r="B417" s="1" t="s">
        <v>3011</v>
      </c>
      <c r="C417" s="1" t="s">
        <v>5602</v>
      </c>
      <c r="D417" s="1" t="s">
        <v>5590</v>
      </c>
      <c r="E417" s="3">
        <v>44836</v>
      </c>
      <c r="F417" s="1">
        <v>30</v>
      </c>
      <c r="G417" s="1">
        <v>1</v>
      </c>
      <c r="H417" s="1">
        <f t="shared" si="6"/>
        <v>60</v>
      </c>
    </row>
    <row r="418" spans="1:8" ht="18" customHeight="1" x14ac:dyDescent="0.25">
      <c r="A418" s="1" t="s">
        <v>6070</v>
      </c>
      <c r="B418" s="1" t="s">
        <v>3408</v>
      </c>
      <c r="C418" s="1" t="s">
        <v>5597</v>
      </c>
      <c r="D418" s="1" t="s">
        <v>5593</v>
      </c>
      <c r="E418" s="3">
        <v>44836</v>
      </c>
      <c r="F418" s="1">
        <v>30</v>
      </c>
      <c r="G418" s="1">
        <v>1</v>
      </c>
      <c r="H418" s="1">
        <f t="shared" si="6"/>
        <v>60</v>
      </c>
    </row>
    <row r="419" spans="1:8" ht="18" customHeight="1" x14ac:dyDescent="0.25">
      <c r="A419" s="1" t="s">
        <v>5881</v>
      </c>
      <c r="B419" s="1" t="s">
        <v>3086</v>
      </c>
      <c r="C419" s="1" t="s">
        <v>5589</v>
      </c>
      <c r="D419" s="1" t="s">
        <v>5593</v>
      </c>
      <c r="E419" s="3">
        <v>44834</v>
      </c>
      <c r="F419" s="1">
        <v>30</v>
      </c>
      <c r="G419" s="1">
        <v>1</v>
      </c>
      <c r="H419" s="1">
        <f t="shared" si="6"/>
        <v>60</v>
      </c>
    </row>
    <row r="420" spans="1:8" ht="18" customHeight="1" x14ac:dyDescent="0.25">
      <c r="A420" s="1" t="s">
        <v>5943</v>
      </c>
      <c r="B420" s="1" t="s">
        <v>3199</v>
      </c>
      <c r="C420" s="1" t="s">
        <v>5592</v>
      </c>
      <c r="D420" s="1" t="s">
        <v>5595</v>
      </c>
      <c r="E420" s="3">
        <v>44828</v>
      </c>
      <c r="F420" s="1">
        <v>30</v>
      </c>
      <c r="G420" s="1">
        <v>1</v>
      </c>
      <c r="H420" s="1">
        <f t="shared" si="6"/>
        <v>60</v>
      </c>
    </row>
    <row r="421" spans="1:8" ht="18" customHeight="1" x14ac:dyDescent="0.25">
      <c r="A421" s="1" t="s">
        <v>6035</v>
      </c>
      <c r="B421" s="1" t="s">
        <v>3353</v>
      </c>
      <c r="C421" s="1" t="s">
        <v>5592</v>
      </c>
      <c r="D421" s="1" t="s">
        <v>5590</v>
      </c>
      <c r="E421" s="3">
        <v>44826</v>
      </c>
      <c r="F421" s="1">
        <v>30</v>
      </c>
      <c r="G421" s="1">
        <v>1</v>
      </c>
      <c r="H421" s="1">
        <f t="shared" si="6"/>
        <v>60</v>
      </c>
    </row>
    <row r="422" spans="1:8" ht="18" customHeight="1" x14ac:dyDescent="0.25">
      <c r="A422" s="1" t="s">
        <v>5656</v>
      </c>
      <c r="B422" s="1" t="s">
        <v>2344</v>
      </c>
      <c r="C422" s="1" t="s">
        <v>5592</v>
      </c>
      <c r="D422" s="1" t="s">
        <v>5595</v>
      </c>
      <c r="E422" s="3">
        <v>44824</v>
      </c>
      <c r="F422" s="1">
        <v>30</v>
      </c>
      <c r="G422" s="1">
        <v>1</v>
      </c>
      <c r="H422" s="1">
        <f t="shared" si="6"/>
        <v>60</v>
      </c>
    </row>
    <row r="423" spans="1:8" ht="18" customHeight="1" x14ac:dyDescent="0.25">
      <c r="A423" s="1" t="s">
        <v>5920</v>
      </c>
      <c r="B423" s="1" t="s">
        <v>3160</v>
      </c>
      <c r="C423" s="1" t="s">
        <v>5589</v>
      </c>
      <c r="D423" s="1" t="s">
        <v>5593</v>
      </c>
      <c r="E423" s="3">
        <v>44822</v>
      </c>
      <c r="F423" s="1">
        <v>30</v>
      </c>
      <c r="G423" s="1">
        <v>1</v>
      </c>
      <c r="H423" s="1">
        <f t="shared" si="6"/>
        <v>60</v>
      </c>
    </row>
    <row r="424" spans="1:8" ht="18" customHeight="1" x14ac:dyDescent="0.25">
      <c r="A424" s="1" t="s">
        <v>5623</v>
      </c>
      <c r="B424" s="1" t="s">
        <v>2209</v>
      </c>
      <c r="C424" s="1" t="s">
        <v>5602</v>
      </c>
      <c r="D424" s="1" t="s">
        <v>5595</v>
      </c>
      <c r="E424" s="3">
        <v>44820</v>
      </c>
      <c r="F424" s="1">
        <v>30</v>
      </c>
      <c r="G424" s="1">
        <v>1</v>
      </c>
      <c r="H424" s="1">
        <f t="shared" si="6"/>
        <v>60</v>
      </c>
    </row>
    <row r="425" spans="1:8" ht="18" customHeight="1" x14ac:dyDescent="0.25">
      <c r="A425" s="1" t="s">
        <v>5924</v>
      </c>
      <c r="B425" s="1" t="s">
        <v>3168</v>
      </c>
      <c r="C425" s="1" t="s">
        <v>5592</v>
      </c>
      <c r="D425" s="1" t="s">
        <v>5598</v>
      </c>
      <c r="E425" s="3">
        <v>44820</v>
      </c>
      <c r="F425" s="1">
        <v>30</v>
      </c>
      <c r="G425" s="1">
        <v>1</v>
      </c>
      <c r="H425" s="1">
        <f t="shared" si="6"/>
        <v>60</v>
      </c>
    </row>
    <row r="426" spans="1:8" ht="18" customHeight="1" x14ac:dyDescent="0.25">
      <c r="A426" s="1" t="s">
        <v>6093</v>
      </c>
      <c r="B426" s="1" t="s">
        <v>3447</v>
      </c>
      <c r="C426" s="1" t="s">
        <v>5592</v>
      </c>
      <c r="D426" s="1" t="s">
        <v>5590</v>
      </c>
      <c r="E426" s="3">
        <v>44818</v>
      </c>
      <c r="F426" s="1">
        <v>30</v>
      </c>
      <c r="G426" s="1">
        <v>1</v>
      </c>
      <c r="H426" s="1">
        <f t="shared" si="6"/>
        <v>60</v>
      </c>
    </row>
    <row r="427" spans="1:8" ht="18" customHeight="1" x14ac:dyDescent="0.25">
      <c r="A427" s="1" t="s">
        <v>5973</v>
      </c>
      <c r="B427" s="1" t="s">
        <v>3251</v>
      </c>
      <c r="C427" s="1" t="s">
        <v>5597</v>
      </c>
      <c r="D427" s="1" t="s">
        <v>5598</v>
      </c>
      <c r="E427" s="3">
        <v>44815</v>
      </c>
      <c r="F427" s="1">
        <v>30</v>
      </c>
      <c r="G427" s="1">
        <v>1</v>
      </c>
      <c r="H427" s="1">
        <f t="shared" si="6"/>
        <v>60</v>
      </c>
    </row>
    <row r="428" spans="1:8" ht="18" customHeight="1" x14ac:dyDescent="0.25">
      <c r="A428" s="1" t="s">
        <v>5781</v>
      </c>
      <c r="B428" s="1" t="s">
        <v>2781</v>
      </c>
      <c r="C428" s="1" t="s">
        <v>5592</v>
      </c>
      <c r="D428" s="1" t="s">
        <v>5595</v>
      </c>
      <c r="E428" s="3">
        <v>44814</v>
      </c>
      <c r="F428" s="1">
        <v>30</v>
      </c>
      <c r="G428" s="1">
        <v>1</v>
      </c>
      <c r="H428" s="1">
        <f t="shared" si="6"/>
        <v>60</v>
      </c>
    </row>
    <row r="429" spans="1:8" ht="18" customHeight="1" x14ac:dyDescent="0.25">
      <c r="A429" s="1" t="s">
        <v>6007</v>
      </c>
      <c r="B429" s="1" t="s">
        <v>3307</v>
      </c>
      <c r="C429" s="1" t="s">
        <v>5602</v>
      </c>
      <c r="D429" s="1" t="s">
        <v>5595</v>
      </c>
      <c r="E429" s="3">
        <v>44812</v>
      </c>
      <c r="F429" s="1">
        <v>30</v>
      </c>
      <c r="G429" s="1">
        <v>1</v>
      </c>
      <c r="H429" s="1">
        <f t="shared" si="6"/>
        <v>60</v>
      </c>
    </row>
    <row r="430" spans="1:8" ht="18" customHeight="1" x14ac:dyDescent="0.25">
      <c r="A430" s="1" t="s">
        <v>5830</v>
      </c>
      <c r="B430" s="1" t="s">
        <v>2934</v>
      </c>
      <c r="C430" s="1" t="s">
        <v>5592</v>
      </c>
      <c r="D430" s="1" t="s">
        <v>5593</v>
      </c>
      <c r="E430" s="3">
        <v>44801</v>
      </c>
      <c r="F430" s="1">
        <v>30</v>
      </c>
      <c r="G430" s="1">
        <v>1</v>
      </c>
      <c r="H430" s="1">
        <f t="shared" si="6"/>
        <v>60</v>
      </c>
    </row>
    <row r="431" spans="1:8" ht="18" customHeight="1" x14ac:dyDescent="0.25">
      <c r="A431" s="1" t="s">
        <v>5953</v>
      </c>
      <c r="B431" s="1" t="s">
        <v>3214</v>
      </c>
      <c r="C431" s="1" t="s">
        <v>5602</v>
      </c>
      <c r="D431" s="1" t="s">
        <v>5590</v>
      </c>
      <c r="E431" s="3">
        <v>44796</v>
      </c>
      <c r="F431" s="1">
        <v>30</v>
      </c>
      <c r="G431" s="1">
        <v>1</v>
      </c>
      <c r="H431" s="1">
        <f t="shared" si="6"/>
        <v>60</v>
      </c>
    </row>
    <row r="432" spans="1:8" ht="18" customHeight="1" x14ac:dyDescent="0.25">
      <c r="A432" s="1" t="s">
        <v>5956</v>
      </c>
      <c r="B432" s="1" t="s">
        <v>3219</v>
      </c>
      <c r="C432" s="1" t="s">
        <v>5602</v>
      </c>
      <c r="D432" s="1" t="s">
        <v>5598</v>
      </c>
      <c r="E432" s="3">
        <v>44791</v>
      </c>
      <c r="F432" s="1">
        <v>30</v>
      </c>
      <c r="G432" s="1">
        <v>1</v>
      </c>
      <c r="H432" s="1">
        <f t="shared" si="6"/>
        <v>60</v>
      </c>
    </row>
    <row r="433" spans="1:8" ht="18" customHeight="1" x14ac:dyDescent="0.25">
      <c r="A433" s="1" t="s">
        <v>5746</v>
      </c>
      <c r="B433" s="1" t="s">
        <v>2644</v>
      </c>
      <c r="C433" s="1" t="s">
        <v>5589</v>
      </c>
      <c r="D433" s="1" t="s">
        <v>5590</v>
      </c>
      <c r="E433" s="3">
        <v>44790</v>
      </c>
      <c r="F433" s="1">
        <v>30</v>
      </c>
      <c r="G433" s="1">
        <v>1</v>
      </c>
      <c r="H433" s="1">
        <f t="shared" si="6"/>
        <v>60</v>
      </c>
    </row>
    <row r="434" spans="1:8" ht="18" customHeight="1" x14ac:dyDescent="0.25">
      <c r="A434" s="1" t="s">
        <v>5993</v>
      </c>
      <c r="B434" s="1" t="s">
        <v>3284</v>
      </c>
      <c r="C434" s="1" t="s">
        <v>5592</v>
      </c>
      <c r="D434" s="1" t="s">
        <v>5598</v>
      </c>
      <c r="E434" s="3">
        <v>44786</v>
      </c>
      <c r="F434" s="1">
        <v>30</v>
      </c>
      <c r="G434" s="1">
        <v>1</v>
      </c>
      <c r="H434" s="1">
        <f t="shared" si="6"/>
        <v>60</v>
      </c>
    </row>
    <row r="435" spans="1:8" ht="18" customHeight="1" x14ac:dyDescent="0.25">
      <c r="A435" s="1" t="s">
        <v>5726</v>
      </c>
      <c r="B435" s="1" t="s">
        <v>2580</v>
      </c>
      <c r="C435" s="1" t="s">
        <v>5597</v>
      </c>
      <c r="D435" s="1" t="s">
        <v>5593</v>
      </c>
      <c r="E435" s="3">
        <v>44781</v>
      </c>
      <c r="F435" s="1">
        <v>30</v>
      </c>
      <c r="G435" s="1">
        <v>1</v>
      </c>
      <c r="H435" s="1">
        <f t="shared" si="6"/>
        <v>60</v>
      </c>
    </row>
    <row r="436" spans="1:8" ht="18" customHeight="1" x14ac:dyDescent="0.25">
      <c r="A436" s="1" t="s">
        <v>5797</v>
      </c>
      <c r="B436" s="1" t="s">
        <v>2836</v>
      </c>
      <c r="C436" s="1" t="s">
        <v>5592</v>
      </c>
      <c r="D436" s="1" t="s">
        <v>5595</v>
      </c>
      <c r="E436" s="3">
        <v>44780</v>
      </c>
      <c r="F436" s="1">
        <v>30</v>
      </c>
      <c r="G436" s="1">
        <v>1</v>
      </c>
      <c r="H436" s="1">
        <f t="shared" si="6"/>
        <v>60</v>
      </c>
    </row>
    <row r="437" spans="1:8" ht="18" customHeight="1" x14ac:dyDescent="0.25">
      <c r="A437" s="1" t="s">
        <v>5659</v>
      </c>
      <c r="B437" s="1" t="s">
        <v>2357</v>
      </c>
      <c r="C437" s="1" t="s">
        <v>5592</v>
      </c>
      <c r="D437" s="1" t="s">
        <v>5595</v>
      </c>
      <c r="E437" s="3">
        <v>44778</v>
      </c>
      <c r="F437" s="1">
        <v>30</v>
      </c>
      <c r="G437" s="1">
        <v>1</v>
      </c>
      <c r="H437" s="1">
        <f t="shared" si="6"/>
        <v>60</v>
      </c>
    </row>
    <row r="438" spans="1:8" ht="18" customHeight="1" x14ac:dyDescent="0.25">
      <c r="A438" s="1" t="s">
        <v>5698</v>
      </c>
      <c r="B438" s="1" t="s">
        <v>2496</v>
      </c>
      <c r="C438" s="1" t="s">
        <v>5592</v>
      </c>
      <c r="D438" s="1" t="s">
        <v>5593</v>
      </c>
      <c r="E438" s="3">
        <v>44770</v>
      </c>
      <c r="F438" s="1">
        <v>30</v>
      </c>
      <c r="G438" s="1">
        <v>1</v>
      </c>
      <c r="H438" s="1">
        <f t="shared" si="6"/>
        <v>60</v>
      </c>
    </row>
    <row r="439" spans="1:8" ht="18" customHeight="1" x14ac:dyDescent="0.25">
      <c r="A439" s="1" t="s">
        <v>5814</v>
      </c>
      <c r="B439" s="1" t="s">
        <v>2880</v>
      </c>
      <c r="C439" s="1" t="s">
        <v>5597</v>
      </c>
      <c r="D439" s="1" t="s">
        <v>5598</v>
      </c>
      <c r="E439" s="3">
        <v>44763</v>
      </c>
      <c r="F439" s="1">
        <v>30</v>
      </c>
      <c r="G439" s="1">
        <v>1</v>
      </c>
      <c r="H439" s="1">
        <f t="shared" si="6"/>
        <v>60</v>
      </c>
    </row>
    <row r="440" spans="1:8" ht="18" customHeight="1" x14ac:dyDescent="0.25">
      <c r="A440" s="1" t="s">
        <v>6078</v>
      </c>
      <c r="B440" s="1" t="s">
        <v>3419</v>
      </c>
      <c r="C440" s="1" t="s">
        <v>5602</v>
      </c>
      <c r="D440" s="1" t="s">
        <v>5598</v>
      </c>
      <c r="E440" s="3">
        <v>44755</v>
      </c>
      <c r="F440" s="1">
        <v>30</v>
      </c>
      <c r="G440" s="1">
        <v>1</v>
      </c>
      <c r="H440" s="1">
        <f t="shared" si="6"/>
        <v>60</v>
      </c>
    </row>
    <row r="441" spans="1:8" ht="18" customHeight="1" x14ac:dyDescent="0.25">
      <c r="A441" s="1" t="s">
        <v>6010</v>
      </c>
      <c r="B441" s="1" t="s">
        <v>3313</v>
      </c>
      <c r="C441" s="1" t="s">
        <v>5589</v>
      </c>
      <c r="D441" s="1" t="s">
        <v>5593</v>
      </c>
      <c r="E441" s="3">
        <v>44753</v>
      </c>
      <c r="F441" s="1">
        <v>30</v>
      </c>
      <c r="G441" s="1">
        <v>1</v>
      </c>
      <c r="H441" s="1">
        <f t="shared" si="6"/>
        <v>60</v>
      </c>
    </row>
    <row r="442" spans="1:8" ht="18" customHeight="1" x14ac:dyDescent="0.25">
      <c r="A442" s="1" t="s">
        <v>5752</v>
      </c>
      <c r="B442" s="1" t="s">
        <v>2662</v>
      </c>
      <c r="C442" s="1" t="s">
        <v>5589</v>
      </c>
      <c r="D442" s="1" t="s">
        <v>5598</v>
      </c>
      <c r="E442" s="3">
        <v>44752</v>
      </c>
      <c r="F442" s="1">
        <v>30</v>
      </c>
      <c r="G442" s="1">
        <v>1</v>
      </c>
      <c r="H442" s="1">
        <f t="shared" si="6"/>
        <v>60</v>
      </c>
    </row>
    <row r="443" spans="1:8" ht="18" customHeight="1" x14ac:dyDescent="0.25">
      <c r="A443" s="1" t="s">
        <v>5694</v>
      </c>
      <c r="B443" s="1" t="s">
        <v>2484</v>
      </c>
      <c r="C443" s="1" t="s">
        <v>5602</v>
      </c>
      <c r="D443" s="1" t="s">
        <v>5595</v>
      </c>
      <c r="E443" s="3">
        <v>44751</v>
      </c>
      <c r="F443" s="1">
        <v>30</v>
      </c>
      <c r="G443" s="1">
        <v>1</v>
      </c>
      <c r="H443" s="1">
        <f t="shared" si="6"/>
        <v>60</v>
      </c>
    </row>
    <row r="444" spans="1:8" ht="18" customHeight="1" x14ac:dyDescent="0.25">
      <c r="A444" s="1" t="s">
        <v>5743</v>
      </c>
      <c r="B444" s="1" t="s">
        <v>2639</v>
      </c>
      <c r="C444" s="1" t="s">
        <v>5602</v>
      </c>
      <c r="D444" s="1" t="s">
        <v>5590</v>
      </c>
      <c r="E444" s="3">
        <v>44749</v>
      </c>
      <c r="F444" s="1">
        <v>30</v>
      </c>
      <c r="G444" s="1">
        <v>1</v>
      </c>
      <c r="H444" s="1">
        <f t="shared" si="6"/>
        <v>60</v>
      </c>
    </row>
    <row r="445" spans="1:8" ht="18" customHeight="1" x14ac:dyDescent="0.25">
      <c r="A445" s="1" t="s">
        <v>5883</v>
      </c>
      <c r="B445" s="1" t="s">
        <v>3089</v>
      </c>
      <c r="C445" s="1" t="s">
        <v>5589</v>
      </c>
      <c r="D445" s="1" t="s">
        <v>5590</v>
      </c>
      <c r="E445" s="3">
        <v>44742</v>
      </c>
      <c r="F445" s="1">
        <v>30</v>
      </c>
      <c r="G445" s="1">
        <v>1</v>
      </c>
      <c r="H445" s="1">
        <f t="shared" si="6"/>
        <v>60</v>
      </c>
    </row>
    <row r="446" spans="1:8" ht="18" customHeight="1" x14ac:dyDescent="0.25">
      <c r="A446" s="1" t="s">
        <v>5790</v>
      </c>
      <c r="B446" s="1" t="s">
        <v>2816</v>
      </c>
      <c r="C446" s="1" t="s">
        <v>5592</v>
      </c>
      <c r="D446" s="1" t="s">
        <v>5598</v>
      </c>
      <c r="E446" s="3">
        <v>44740</v>
      </c>
      <c r="F446" s="1">
        <v>30</v>
      </c>
      <c r="G446" s="1">
        <v>1</v>
      </c>
      <c r="H446" s="1">
        <f t="shared" si="6"/>
        <v>60</v>
      </c>
    </row>
    <row r="447" spans="1:8" ht="18" customHeight="1" x14ac:dyDescent="0.25">
      <c r="A447" s="1" t="s">
        <v>5957</v>
      </c>
      <c r="B447" s="1" t="s">
        <v>3221</v>
      </c>
      <c r="C447" s="1" t="s">
        <v>5597</v>
      </c>
      <c r="D447" s="1" t="s">
        <v>5590</v>
      </c>
      <c r="E447" s="3">
        <v>44735</v>
      </c>
      <c r="F447" s="1">
        <v>30</v>
      </c>
      <c r="G447" s="1">
        <v>1</v>
      </c>
      <c r="H447" s="1">
        <f t="shared" si="6"/>
        <v>60</v>
      </c>
    </row>
    <row r="448" spans="1:8" ht="18" customHeight="1" x14ac:dyDescent="0.25">
      <c r="A448" s="1" t="s">
        <v>5799</v>
      </c>
      <c r="B448" s="1" t="s">
        <v>2845</v>
      </c>
      <c r="C448" s="1" t="s">
        <v>5592</v>
      </c>
      <c r="D448" s="1" t="s">
        <v>5593</v>
      </c>
      <c r="E448" s="3">
        <v>44734</v>
      </c>
      <c r="F448" s="1">
        <v>30</v>
      </c>
      <c r="G448" s="1">
        <v>1</v>
      </c>
      <c r="H448" s="1">
        <f t="shared" si="6"/>
        <v>60</v>
      </c>
    </row>
    <row r="449" spans="1:8" ht="18" customHeight="1" x14ac:dyDescent="0.25">
      <c r="A449" s="1" t="s">
        <v>5712</v>
      </c>
      <c r="B449" s="1" t="s">
        <v>2533</v>
      </c>
      <c r="C449" s="1" t="s">
        <v>5602</v>
      </c>
      <c r="D449" s="1" t="s">
        <v>5595</v>
      </c>
      <c r="E449" s="3">
        <v>44730</v>
      </c>
      <c r="F449" s="1">
        <v>30</v>
      </c>
      <c r="G449" s="1">
        <v>1</v>
      </c>
      <c r="H449" s="1">
        <f t="shared" si="6"/>
        <v>60</v>
      </c>
    </row>
    <row r="450" spans="1:8" ht="18" customHeight="1" x14ac:dyDescent="0.25">
      <c r="A450" s="1" t="s">
        <v>5690</v>
      </c>
      <c r="B450" s="1" t="s">
        <v>2477</v>
      </c>
      <c r="C450" s="1" t="s">
        <v>5589</v>
      </c>
      <c r="D450" s="1" t="s">
        <v>5593</v>
      </c>
      <c r="E450" s="3">
        <v>44727</v>
      </c>
      <c r="F450" s="1">
        <v>30</v>
      </c>
      <c r="G450" s="1">
        <v>1</v>
      </c>
      <c r="H450" s="1">
        <f t="shared" ref="H450:H501" si="7">F450*(G450+1)</f>
        <v>60</v>
      </c>
    </row>
    <row r="451" spans="1:8" ht="18" customHeight="1" x14ac:dyDescent="0.25">
      <c r="A451" s="1" t="s">
        <v>5603</v>
      </c>
      <c r="B451" s="1" t="s">
        <v>2120</v>
      </c>
      <c r="C451" s="1" t="s">
        <v>5592</v>
      </c>
      <c r="D451" s="1" t="s">
        <v>5590</v>
      </c>
      <c r="E451" s="3">
        <v>44721</v>
      </c>
      <c r="F451" s="1">
        <v>30</v>
      </c>
      <c r="G451" s="1">
        <v>1</v>
      </c>
      <c r="H451" s="1">
        <f t="shared" si="7"/>
        <v>60</v>
      </c>
    </row>
    <row r="452" spans="1:8" ht="18" customHeight="1" x14ac:dyDescent="0.25">
      <c r="A452" s="1" t="s">
        <v>5811</v>
      </c>
      <c r="B452" s="1" t="s">
        <v>2873</v>
      </c>
      <c r="C452" s="1" t="s">
        <v>5602</v>
      </c>
      <c r="D452" s="1" t="s">
        <v>5598</v>
      </c>
      <c r="E452" s="3">
        <v>44717</v>
      </c>
      <c r="F452" s="1">
        <v>30</v>
      </c>
      <c r="G452" s="1">
        <v>1</v>
      </c>
      <c r="H452" s="1">
        <f t="shared" si="7"/>
        <v>60</v>
      </c>
    </row>
    <row r="453" spans="1:8" ht="18" customHeight="1" x14ac:dyDescent="0.25">
      <c r="A453" s="1" t="s">
        <v>5670</v>
      </c>
      <c r="B453" s="1" t="s">
        <v>2396</v>
      </c>
      <c r="C453" s="1" t="s">
        <v>5597</v>
      </c>
      <c r="D453" s="1" t="s">
        <v>5590</v>
      </c>
      <c r="E453" s="3">
        <v>44716</v>
      </c>
      <c r="F453" s="1">
        <v>30</v>
      </c>
      <c r="G453" s="1">
        <v>1</v>
      </c>
      <c r="H453" s="1">
        <f t="shared" si="7"/>
        <v>60</v>
      </c>
    </row>
    <row r="454" spans="1:8" ht="18" customHeight="1" x14ac:dyDescent="0.25">
      <c r="A454" s="1" t="s">
        <v>5970</v>
      </c>
      <c r="B454" s="1" t="s">
        <v>3246</v>
      </c>
      <c r="C454" s="1" t="s">
        <v>5589</v>
      </c>
      <c r="D454" s="1" t="s">
        <v>5598</v>
      </c>
      <c r="E454" s="3">
        <v>44711</v>
      </c>
      <c r="F454" s="1">
        <v>30</v>
      </c>
      <c r="G454" s="1">
        <v>1</v>
      </c>
      <c r="H454" s="1">
        <f t="shared" si="7"/>
        <v>60</v>
      </c>
    </row>
    <row r="455" spans="1:8" ht="18" customHeight="1" x14ac:dyDescent="0.25">
      <c r="A455" s="1" t="s">
        <v>5677</v>
      </c>
      <c r="B455" s="1" t="s">
        <v>2420</v>
      </c>
      <c r="C455" s="1" t="s">
        <v>5597</v>
      </c>
      <c r="D455" s="1" t="s">
        <v>5593</v>
      </c>
      <c r="E455" s="3">
        <v>44708</v>
      </c>
      <c r="F455" s="1">
        <v>30</v>
      </c>
      <c r="G455" s="1">
        <v>1</v>
      </c>
      <c r="H455" s="1">
        <f t="shared" si="7"/>
        <v>60</v>
      </c>
    </row>
    <row r="456" spans="1:8" ht="18" customHeight="1" x14ac:dyDescent="0.25">
      <c r="A456" s="1" t="s">
        <v>5755</v>
      </c>
      <c r="B456" s="1" t="s">
        <v>2675</v>
      </c>
      <c r="C456" s="1" t="s">
        <v>5597</v>
      </c>
      <c r="D456" s="1" t="s">
        <v>5593</v>
      </c>
      <c r="E456" s="3">
        <v>44706</v>
      </c>
      <c r="F456" s="1">
        <v>30</v>
      </c>
      <c r="G456" s="1">
        <v>1</v>
      </c>
      <c r="H456" s="1">
        <f t="shared" si="7"/>
        <v>60</v>
      </c>
    </row>
    <row r="457" spans="1:8" ht="18" customHeight="1" x14ac:dyDescent="0.25">
      <c r="A457" s="1" t="s">
        <v>5808</v>
      </c>
      <c r="B457" s="1" t="s">
        <v>2867</v>
      </c>
      <c r="C457" s="1" t="s">
        <v>5592</v>
      </c>
      <c r="D457" s="1" t="s">
        <v>5590</v>
      </c>
      <c r="E457" s="3">
        <v>44704</v>
      </c>
      <c r="F457" s="1">
        <v>30</v>
      </c>
      <c r="G457" s="1">
        <v>1</v>
      </c>
      <c r="H457" s="1">
        <f t="shared" si="7"/>
        <v>60</v>
      </c>
    </row>
    <row r="458" spans="1:8" ht="18" customHeight="1" x14ac:dyDescent="0.25">
      <c r="A458" s="1" t="s">
        <v>5906</v>
      </c>
      <c r="B458" s="1" t="s">
        <v>3135</v>
      </c>
      <c r="C458" s="1" t="s">
        <v>5602</v>
      </c>
      <c r="D458" s="1" t="s">
        <v>5598</v>
      </c>
      <c r="E458" s="3">
        <v>44698</v>
      </c>
      <c r="F458" s="1">
        <v>30</v>
      </c>
      <c r="G458" s="1">
        <v>1</v>
      </c>
      <c r="H458" s="1">
        <f t="shared" si="7"/>
        <v>60</v>
      </c>
    </row>
    <row r="459" spans="1:8" ht="18" customHeight="1" x14ac:dyDescent="0.25">
      <c r="A459" s="1" t="s">
        <v>5783</v>
      </c>
      <c r="B459" s="1" t="s">
        <v>2789</v>
      </c>
      <c r="C459" s="1" t="s">
        <v>5592</v>
      </c>
      <c r="D459" s="1" t="s">
        <v>5598</v>
      </c>
      <c r="E459" s="3">
        <v>44692</v>
      </c>
      <c r="F459" s="1">
        <v>30</v>
      </c>
      <c r="G459" s="1">
        <v>1</v>
      </c>
      <c r="H459" s="1">
        <f t="shared" si="7"/>
        <v>60</v>
      </c>
    </row>
    <row r="460" spans="1:8" ht="18" customHeight="1" x14ac:dyDescent="0.25">
      <c r="A460" s="1" t="s">
        <v>6068</v>
      </c>
      <c r="B460" s="1" t="s">
        <v>3404</v>
      </c>
      <c r="C460" s="1" t="s">
        <v>5589</v>
      </c>
      <c r="D460" s="1" t="s">
        <v>5598</v>
      </c>
      <c r="E460" s="3">
        <v>44687</v>
      </c>
      <c r="F460" s="1">
        <v>30</v>
      </c>
      <c r="G460" s="1">
        <v>1</v>
      </c>
      <c r="H460" s="1">
        <f t="shared" si="7"/>
        <v>60</v>
      </c>
    </row>
    <row r="461" spans="1:8" ht="18" customHeight="1" x14ac:dyDescent="0.25">
      <c r="A461" s="1" t="s">
        <v>6004</v>
      </c>
      <c r="B461" s="1" t="s">
        <v>3302</v>
      </c>
      <c r="C461" s="1" t="s">
        <v>5597</v>
      </c>
      <c r="D461" s="1" t="s">
        <v>5598</v>
      </c>
      <c r="E461" s="3">
        <v>44684</v>
      </c>
      <c r="F461" s="1">
        <v>30</v>
      </c>
      <c r="G461" s="1">
        <v>1</v>
      </c>
      <c r="H461" s="1">
        <f t="shared" si="7"/>
        <v>60</v>
      </c>
    </row>
    <row r="462" spans="1:8" ht="18" customHeight="1" x14ac:dyDescent="0.25">
      <c r="A462" s="1" t="s">
        <v>5626</v>
      </c>
      <c r="B462" s="1" t="s">
        <v>2226</v>
      </c>
      <c r="C462" s="1" t="s">
        <v>5602</v>
      </c>
      <c r="D462" s="1" t="s">
        <v>5590</v>
      </c>
      <c r="E462" s="3">
        <v>44681</v>
      </c>
      <c r="F462" s="1">
        <v>30</v>
      </c>
      <c r="G462" s="1">
        <v>1</v>
      </c>
      <c r="H462" s="1">
        <f t="shared" si="7"/>
        <v>60</v>
      </c>
    </row>
    <row r="463" spans="1:8" ht="18" customHeight="1" x14ac:dyDescent="0.25">
      <c r="A463" s="1" t="s">
        <v>6066</v>
      </c>
      <c r="B463" s="1" t="s">
        <v>3401</v>
      </c>
      <c r="C463" s="1" t="s">
        <v>5592</v>
      </c>
      <c r="D463" s="1" t="s">
        <v>5595</v>
      </c>
      <c r="E463" s="3">
        <v>44679</v>
      </c>
      <c r="F463" s="1">
        <v>30</v>
      </c>
      <c r="G463" s="1">
        <v>1</v>
      </c>
      <c r="H463" s="1">
        <f t="shared" si="7"/>
        <v>60</v>
      </c>
    </row>
    <row r="464" spans="1:8" ht="18" customHeight="1" x14ac:dyDescent="0.25">
      <c r="A464" s="1" t="s">
        <v>5638</v>
      </c>
      <c r="B464" s="1" t="s">
        <v>2281</v>
      </c>
      <c r="C464" s="1" t="s">
        <v>5592</v>
      </c>
      <c r="D464" s="1" t="s">
        <v>5595</v>
      </c>
      <c r="E464" s="3">
        <v>44665</v>
      </c>
      <c r="F464" s="1">
        <v>30</v>
      </c>
      <c r="G464" s="1">
        <v>1</v>
      </c>
      <c r="H464" s="1">
        <f t="shared" si="7"/>
        <v>60</v>
      </c>
    </row>
    <row r="465" spans="1:8" ht="18" customHeight="1" x14ac:dyDescent="0.25">
      <c r="A465" s="1" t="s">
        <v>5862</v>
      </c>
      <c r="B465" s="1" t="s">
        <v>3042</v>
      </c>
      <c r="C465" s="1" t="s">
        <v>5597</v>
      </c>
      <c r="D465" s="1" t="s">
        <v>5590</v>
      </c>
      <c r="E465" s="3">
        <v>44665</v>
      </c>
      <c r="F465" s="1">
        <v>30</v>
      </c>
      <c r="G465" s="1">
        <v>1</v>
      </c>
      <c r="H465" s="1">
        <f t="shared" si="7"/>
        <v>60</v>
      </c>
    </row>
    <row r="466" spans="1:8" ht="18" customHeight="1" x14ac:dyDescent="0.25">
      <c r="A466" s="1" t="s">
        <v>5757</v>
      </c>
      <c r="B466" s="1" t="s">
        <v>2685</v>
      </c>
      <c r="C466" s="1" t="s">
        <v>5597</v>
      </c>
      <c r="D466" s="1" t="s">
        <v>5598</v>
      </c>
      <c r="E466" s="3">
        <v>44663</v>
      </c>
      <c r="F466" s="1">
        <v>30</v>
      </c>
      <c r="G466" s="1">
        <v>1</v>
      </c>
      <c r="H466" s="1">
        <f t="shared" si="7"/>
        <v>60</v>
      </c>
    </row>
    <row r="467" spans="1:8" ht="18" customHeight="1" x14ac:dyDescent="0.25">
      <c r="A467" s="1" t="s">
        <v>6015</v>
      </c>
      <c r="B467" s="1" t="s">
        <v>3322</v>
      </c>
      <c r="C467" s="1" t="s">
        <v>5592</v>
      </c>
      <c r="D467" s="1" t="s">
        <v>5595</v>
      </c>
      <c r="E467" s="3">
        <v>44658</v>
      </c>
      <c r="F467" s="1">
        <v>30</v>
      </c>
      <c r="G467" s="1">
        <v>1</v>
      </c>
      <c r="H467" s="1">
        <f t="shared" si="7"/>
        <v>60</v>
      </c>
    </row>
    <row r="468" spans="1:8" ht="18" customHeight="1" x14ac:dyDescent="0.25">
      <c r="A468" s="1" t="s">
        <v>5663</v>
      </c>
      <c r="B468" s="1" t="s">
        <v>2369</v>
      </c>
      <c r="C468" s="1" t="s">
        <v>5589</v>
      </c>
      <c r="D468" s="1" t="s">
        <v>5598</v>
      </c>
      <c r="E468" s="3">
        <v>44656</v>
      </c>
      <c r="F468" s="1">
        <v>30</v>
      </c>
      <c r="G468" s="1">
        <v>1</v>
      </c>
      <c r="H468" s="1">
        <f t="shared" si="7"/>
        <v>60</v>
      </c>
    </row>
    <row r="469" spans="1:8" ht="18" customHeight="1" x14ac:dyDescent="0.25">
      <c r="A469" s="1" t="s">
        <v>5779</v>
      </c>
      <c r="B469" s="1" t="s">
        <v>2776</v>
      </c>
      <c r="C469" s="1" t="s">
        <v>5597</v>
      </c>
      <c r="D469" s="1" t="s">
        <v>5593</v>
      </c>
      <c r="E469" s="3">
        <v>44651</v>
      </c>
      <c r="F469" s="1">
        <v>30</v>
      </c>
      <c r="G469" s="1">
        <v>1</v>
      </c>
      <c r="H469" s="1">
        <f t="shared" si="7"/>
        <v>60</v>
      </c>
    </row>
    <row r="470" spans="1:8" ht="18" customHeight="1" x14ac:dyDescent="0.25">
      <c r="A470" s="1" t="s">
        <v>5636</v>
      </c>
      <c r="B470" s="1" t="s">
        <v>2269</v>
      </c>
      <c r="C470" s="1" t="s">
        <v>5592</v>
      </c>
      <c r="D470" s="1" t="s">
        <v>5595</v>
      </c>
      <c r="E470" s="3">
        <v>44646</v>
      </c>
      <c r="F470" s="1">
        <v>30</v>
      </c>
      <c r="G470" s="1">
        <v>1</v>
      </c>
      <c r="H470" s="1">
        <f t="shared" si="7"/>
        <v>60</v>
      </c>
    </row>
    <row r="471" spans="1:8" ht="18" customHeight="1" x14ac:dyDescent="0.25">
      <c r="A471" s="1" t="s">
        <v>5643</v>
      </c>
      <c r="B471" s="1" t="s">
        <v>2298</v>
      </c>
      <c r="C471" s="1" t="s">
        <v>5589</v>
      </c>
      <c r="D471" s="1" t="s">
        <v>5595</v>
      </c>
      <c r="E471" s="3">
        <v>44643</v>
      </c>
      <c r="F471" s="1">
        <v>30</v>
      </c>
      <c r="G471" s="1">
        <v>1</v>
      </c>
      <c r="H471" s="1">
        <f t="shared" si="7"/>
        <v>60</v>
      </c>
    </row>
    <row r="472" spans="1:8" ht="18" customHeight="1" x14ac:dyDescent="0.25">
      <c r="A472" s="1" t="s">
        <v>6081</v>
      </c>
      <c r="B472" s="1" t="s">
        <v>3425</v>
      </c>
      <c r="C472" s="1" t="s">
        <v>5602</v>
      </c>
      <c r="D472" s="1" t="s">
        <v>5598</v>
      </c>
      <c r="E472" s="3">
        <v>44642</v>
      </c>
      <c r="F472" s="1">
        <v>30</v>
      </c>
      <c r="G472" s="1">
        <v>1</v>
      </c>
      <c r="H472" s="1">
        <f t="shared" si="7"/>
        <v>60</v>
      </c>
    </row>
    <row r="473" spans="1:8" ht="18" customHeight="1" x14ac:dyDescent="0.25">
      <c r="A473" s="1" t="s">
        <v>6027</v>
      </c>
      <c r="B473" s="1" t="s">
        <v>3341</v>
      </c>
      <c r="C473" s="1" t="s">
        <v>5592</v>
      </c>
      <c r="D473" s="1" t="s">
        <v>5593</v>
      </c>
      <c r="E473" s="3">
        <v>44638</v>
      </c>
      <c r="F473" s="1">
        <v>30</v>
      </c>
      <c r="G473" s="1">
        <v>1</v>
      </c>
      <c r="H473" s="1">
        <f t="shared" si="7"/>
        <v>60</v>
      </c>
    </row>
    <row r="474" spans="1:8" ht="18" customHeight="1" x14ac:dyDescent="0.25">
      <c r="A474" s="1" t="s">
        <v>5699</v>
      </c>
      <c r="B474" s="1" t="s">
        <v>2497</v>
      </c>
      <c r="C474" s="1" t="s">
        <v>5589</v>
      </c>
      <c r="D474" s="1" t="s">
        <v>5590</v>
      </c>
      <c r="E474" s="3">
        <v>44636</v>
      </c>
      <c r="F474" s="1">
        <v>30</v>
      </c>
      <c r="G474" s="1">
        <v>1</v>
      </c>
      <c r="H474" s="1">
        <f t="shared" si="7"/>
        <v>60</v>
      </c>
    </row>
    <row r="475" spans="1:8" ht="18" customHeight="1" x14ac:dyDescent="0.25">
      <c r="A475" s="1" t="s">
        <v>5601</v>
      </c>
      <c r="B475" s="1" t="s">
        <v>2118</v>
      </c>
      <c r="C475" s="1" t="s">
        <v>5602</v>
      </c>
      <c r="D475" s="1" t="s">
        <v>5598</v>
      </c>
      <c r="E475" s="3">
        <v>44635</v>
      </c>
      <c r="F475" s="1">
        <v>30</v>
      </c>
      <c r="G475" s="1">
        <v>1</v>
      </c>
      <c r="H475" s="1">
        <f t="shared" si="7"/>
        <v>60</v>
      </c>
    </row>
    <row r="476" spans="1:8" ht="18" customHeight="1" x14ac:dyDescent="0.25">
      <c r="A476" s="1" t="s">
        <v>5950</v>
      </c>
      <c r="B476" s="1" t="s">
        <v>3209</v>
      </c>
      <c r="C476" s="1" t="s">
        <v>5602</v>
      </c>
      <c r="D476" s="1" t="s">
        <v>5595</v>
      </c>
      <c r="E476" s="3">
        <v>44634</v>
      </c>
      <c r="F476" s="1">
        <v>30</v>
      </c>
      <c r="G476" s="1">
        <v>1</v>
      </c>
      <c r="H476" s="1">
        <f t="shared" si="7"/>
        <v>60</v>
      </c>
    </row>
    <row r="477" spans="1:8" ht="18" customHeight="1" x14ac:dyDescent="0.25">
      <c r="A477" s="1" t="s">
        <v>5932</v>
      </c>
      <c r="B477" s="1" t="s">
        <v>3182</v>
      </c>
      <c r="C477" s="1" t="s">
        <v>5589</v>
      </c>
      <c r="D477" s="1" t="s">
        <v>5593</v>
      </c>
      <c r="E477" s="3">
        <v>44632</v>
      </c>
      <c r="F477" s="1">
        <v>30</v>
      </c>
      <c r="G477" s="1">
        <v>1</v>
      </c>
      <c r="H477" s="1">
        <f t="shared" si="7"/>
        <v>60</v>
      </c>
    </row>
    <row r="478" spans="1:8" ht="18" customHeight="1" x14ac:dyDescent="0.25">
      <c r="A478" s="1" t="s">
        <v>5618</v>
      </c>
      <c r="B478" s="1" t="s">
        <v>2195</v>
      </c>
      <c r="C478" s="1" t="s">
        <v>5592</v>
      </c>
      <c r="D478" s="1" t="s">
        <v>5593</v>
      </c>
      <c r="E478" s="3">
        <v>44625</v>
      </c>
      <c r="F478" s="1">
        <v>30</v>
      </c>
      <c r="G478" s="1">
        <v>1</v>
      </c>
      <c r="H478" s="1">
        <f t="shared" si="7"/>
        <v>60</v>
      </c>
    </row>
    <row r="479" spans="1:8" ht="18" customHeight="1" x14ac:dyDescent="0.25">
      <c r="A479" s="1" t="s">
        <v>5908</v>
      </c>
      <c r="B479" s="1" t="s">
        <v>3138</v>
      </c>
      <c r="C479" s="1" t="s">
        <v>5597</v>
      </c>
      <c r="D479" s="1" t="s">
        <v>5593</v>
      </c>
      <c r="E479" s="3">
        <v>44625</v>
      </c>
      <c r="F479" s="1">
        <v>30</v>
      </c>
      <c r="G479" s="1">
        <v>1</v>
      </c>
      <c r="H479" s="1">
        <f t="shared" si="7"/>
        <v>60</v>
      </c>
    </row>
    <row r="480" spans="1:8" ht="18" customHeight="1" x14ac:dyDescent="0.25">
      <c r="A480" s="1" t="s">
        <v>5998</v>
      </c>
      <c r="B480" s="1" t="s">
        <v>3293</v>
      </c>
      <c r="C480" s="1" t="s">
        <v>5597</v>
      </c>
      <c r="D480" s="1" t="s">
        <v>5598</v>
      </c>
      <c r="E480" s="3">
        <v>44625</v>
      </c>
      <c r="F480" s="1">
        <v>30</v>
      </c>
      <c r="G480" s="1">
        <v>1</v>
      </c>
      <c r="H480" s="1">
        <f t="shared" si="7"/>
        <v>60</v>
      </c>
    </row>
    <row r="481" spans="1:8" ht="18" customHeight="1" x14ac:dyDescent="0.25">
      <c r="A481" s="1" t="s">
        <v>5965</v>
      </c>
      <c r="B481" s="1" t="s">
        <v>3237</v>
      </c>
      <c r="C481" s="1" t="s">
        <v>5597</v>
      </c>
      <c r="D481" s="1" t="s">
        <v>5595</v>
      </c>
      <c r="E481" s="3">
        <v>44623</v>
      </c>
      <c r="F481" s="1">
        <v>30</v>
      </c>
      <c r="G481" s="1">
        <v>1</v>
      </c>
      <c r="H481" s="1">
        <f t="shared" si="7"/>
        <v>60</v>
      </c>
    </row>
    <row r="482" spans="1:8" ht="18" customHeight="1" x14ac:dyDescent="0.25">
      <c r="A482" s="1" t="s">
        <v>5951</v>
      </c>
      <c r="B482" s="1" t="s">
        <v>3211</v>
      </c>
      <c r="C482" s="1" t="s">
        <v>5592</v>
      </c>
      <c r="D482" s="1" t="s">
        <v>5598</v>
      </c>
      <c r="E482" s="3">
        <v>44618</v>
      </c>
      <c r="F482" s="1">
        <v>30</v>
      </c>
      <c r="G482" s="1">
        <v>1</v>
      </c>
      <c r="H482" s="1">
        <f t="shared" si="7"/>
        <v>60</v>
      </c>
    </row>
    <row r="483" spans="1:8" ht="18" customHeight="1" x14ac:dyDescent="0.25">
      <c r="A483" s="1" t="s">
        <v>6079</v>
      </c>
      <c r="B483" s="1" t="s">
        <v>3421</v>
      </c>
      <c r="C483" s="1" t="s">
        <v>5602</v>
      </c>
      <c r="D483" s="1" t="s">
        <v>5598</v>
      </c>
      <c r="E483" s="3">
        <v>44617</v>
      </c>
      <c r="F483" s="1">
        <v>30</v>
      </c>
      <c r="G483" s="1">
        <v>1</v>
      </c>
      <c r="H483" s="1">
        <f t="shared" si="7"/>
        <v>60</v>
      </c>
    </row>
    <row r="484" spans="1:8" ht="18" customHeight="1" x14ac:dyDescent="0.25">
      <c r="A484" s="1" t="s">
        <v>5871</v>
      </c>
      <c r="B484" s="1" t="s">
        <v>3065</v>
      </c>
      <c r="C484" s="1" t="s">
        <v>5597</v>
      </c>
      <c r="D484" s="1" t="s">
        <v>5593</v>
      </c>
      <c r="E484" s="3">
        <v>44616</v>
      </c>
      <c r="F484" s="1">
        <v>30</v>
      </c>
      <c r="G484" s="1">
        <v>1</v>
      </c>
      <c r="H484" s="1">
        <f t="shared" si="7"/>
        <v>60</v>
      </c>
    </row>
    <row r="485" spans="1:8" ht="18" customHeight="1" x14ac:dyDescent="0.25">
      <c r="A485" s="1" t="s">
        <v>5839</v>
      </c>
      <c r="B485" s="1" t="s">
        <v>2975</v>
      </c>
      <c r="C485" s="1" t="s">
        <v>5592</v>
      </c>
      <c r="D485" s="1" t="s">
        <v>5595</v>
      </c>
      <c r="E485" s="3">
        <v>44615</v>
      </c>
      <c r="F485" s="1">
        <v>30</v>
      </c>
      <c r="G485" s="1">
        <v>1</v>
      </c>
      <c r="H485" s="1">
        <f t="shared" si="7"/>
        <v>60</v>
      </c>
    </row>
    <row r="486" spans="1:8" ht="18" customHeight="1" x14ac:dyDescent="0.25">
      <c r="A486" s="1" t="s">
        <v>5904</v>
      </c>
      <c r="B486" s="1" t="s">
        <v>3131</v>
      </c>
      <c r="C486" s="1" t="s">
        <v>5602</v>
      </c>
      <c r="D486" s="1" t="s">
        <v>5590</v>
      </c>
      <c r="E486" s="3">
        <v>44614</v>
      </c>
      <c r="F486" s="1">
        <v>30</v>
      </c>
      <c r="G486" s="1">
        <v>1</v>
      </c>
      <c r="H486" s="1">
        <f t="shared" si="7"/>
        <v>60</v>
      </c>
    </row>
    <row r="487" spans="1:8" ht="18" customHeight="1" x14ac:dyDescent="0.25">
      <c r="A487" s="1" t="s">
        <v>5802</v>
      </c>
      <c r="B487" s="1" t="s">
        <v>2851</v>
      </c>
      <c r="C487" s="1" t="s">
        <v>5602</v>
      </c>
      <c r="D487" s="1" t="s">
        <v>5595</v>
      </c>
      <c r="E487" s="3">
        <v>44613</v>
      </c>
      <c r="F487" s="1">
        <v>30</v>
      </c>
      <c r="G487" s="1">
        <v>1</v>
      </c>
      <c r="H487" s="1">
        <f t="shared" si="7"/>
        <v>60</v>
      </c>
    </row>
    <row r="488" spans="1:8" ht="18" customHeight="1" x14ac:dyDescent="0.25">
      <c r="A488" s="1" t="s">
        <v>5996</v>
      </c>
      <c r="B488" s="1" t="s">
        <v>3289</v>
      </c>
      <c r="C488" s="1" t="s">
        <v>5597</v>
      </c>
      <c r="D488" s="1" t="s">
        <v>5593</v>
      </c>
      <c r="E488" s="3">
        <v>44609</v>
      </c>
      <c r="F488" s="1">
        <v>30</v>
      </c>
      <c r="G488" s="1">
        <v>1</v>
      </c>
      <c r="H488" s="1">
        <f t="shared" si="7"/>
        <v>60</v>
      </c>
    </row>
    <row r="489" spans="1:8" ht="18" customHeight="1" x14ac:dyDescent="0.25">
      <c r="A489" s="1" t="s">
        <v>5813</v>
      </c>
      <c r="B489" s="1" t="s">
        <v>2876</v>
      </c>
      <c r="C489" s="1" t="s">
        <v>5597</v>
      </c>
      <c r="D489" s="1" t="s">
        <v>5593</v>
      </c>
      <c r="E489" s="3">
        <v>44606</v>
      </c>
      <c r="F489" s="1">
        <v>30</v>
      </c>
      <c r="G489" s="1">
        <v>1</v>
      </c>
      <c r="H489" s="1">
        <f t="shared" si="7"/>
        <v>60</v>
      </c>
    </row>
    <row r="490" spans="1:8" ht="18" customHeight="1" x14ac:dyDescent="0.25">
      <c r="A490" s="1" t="s">
        <v>5789</v>
      </c>
      <c r="B490" s="1" t="s">
        <v>2814</v>
      </c>
      <c r="C490" s="1" t="s">
        <v>5597</v>
      </c>
      <c r="D490" s="1" t="s">
        <v>5593</v>
      </c>
      <c r="E490" s="3">
        <v>44598</v>
      </c>
      <c r="F490" s="1">
        <v>30</v>
      </c>
      <c r="G490" s="1">
        <v>1</v>
      </c>
      <c r="H490" s="1">
        <f t="shared" si="7"/>
        <v>60</v>
      </c>
    </row>
    <row r="491" spans="1:8" ht="18" customHeight="1" x14ac:dyDescent="0.25">
      <c r="A491" s="1" t="s">
        <v>6085</v>
      </c>
      <c r="B491" s="1" t="s">
        <v>3433</v>
      </c>
      <c r="C491" s="1" t="s">
        <v>5589</v>
      </c>
      <c r="D491" s="1" t="s">
        <v>5590</v>
      </c>
      <c r="E491" s="3">
        <v>44598</v>
      </c>
      <c r="F491" s="1">
        <v>30</v>
      </c>
      <c r="G491" s="1">
        <v>1</v>
      </c>
      <c r="H491" s="1">
        <f t="shared" si="7"/>
        <v>60</v>
      </c>
    </row>
    <row r="492" spans="1:8" ht="18" customHeight="1" x14ac:dyDescent="0.25">
      <c r="A492" s="1" t="s">
        <v>5845</v>
      </c>
      <c r="B492" s="1" t="s">
        <v>2991</v>
      </c>
      <c r="C492" s="1" t="s">
        <v>5602</v>
      </c>
      <c r="D492" s="1" t="s">
        <v>5593</v>
      </c>
      <c r="E492" s="3">
        <v>44593</v>
      </c>
      <c r="F492" s="1">
        <v>30</v>
      </c>
      <c r="G492" s="1">
        <v>1</v>
      </c>
      <c r="H492" s="1">
        <f t="shared" si="7"/>
        <v>60</v>
      </c>
    </row>
    <row r="493" spans="1:8" ht="18" customHeight="1" x14ac:dyDescent="0.25">
      <c r="A493" s="1" t="s">
        <v>5897</v>
      </c>
      <c r="B493" s="1" t="s">
        <v>3116</v>
      </c>
      <c r="C493" s="1" t="s">
        <v>5589</v>
      </c>
      <c r="D493" s="1" t="s">
        <v>5598</v>
      </c>
      <c r="E493" s="3">
        <v>44592</v>
      </c>
      <c r="F493" s="1">
        <v>30</v>
      </c>
      <c r="G493" s="1">
        <v>1</v>
      </c>
      <c r="H493" s="1">
        <f t="shared" si="7"/>
        <v>60</v>
      </c>
    </row>
    <row r="494" spans="1:8" ht="18" customHeight="1" x14ac:dyDescent="0.25">
      <c r="A494" s="1" t="s">
        <v>5646</v>
      </c>
      <c r="B494" s="1" t="s">
        <v>2314</v>
      </c>
      <c r="C494" s="1" t="s">
        <v>5602</v>
      </c>
      <c r="D494" s="1" t="s">
        <v>5593</v>
      </c>
      <c r="E494" s="3">
        <v>44591</v>
      </c>
      <c r="F494" s="1">
        <v>30</v>
      </c>
      <c r="G494" s="1">
        <v>1</v>
      </c>
      <c r="H494" s="1">
        <f t="shared" si="7"/>
        <v>60</v>
      </c>
    </row>
    <row r="495" spans="1:8" ht="18" customHeight="1" x14ac:dyDescent="0.25">
      <c r="A495" s="1" t="s">
        <v>5874</v>
      </c>
      <c r="B495" s="1" t="s">
        <v>3071</v>
      </c>
      <c r="C495" s="1" t="s">
        <v>5592</v>
      </c>
      <c r="D495" s="1" t="s">
        <v>5593</v>
      </c>
      <c r="E495" s="3">
        <v>44588</v>
      </c>
      <c r="F495" s="1">
        <v>30</v>
      </c>
      <c r="G495" s="1">
        <v>1</v>
      </c>
      <c r="H495" s="1">
        <f t="shared" si="7"/>
        <v>60</v>
      </c>
    </row>
    <row r="496" spans="1:8" ht="18" customHeight="1" x14ac:dyDescent="0.25">
      <c r="A496" s="1" t="s">
        <v>5733</v>
      </c>
      <c r="B496" s="1" t="s">
        <v>2598</v>
      </c>
      <c r="C496" s="1" t="s">
        <v>5589</v>
      </c>
      <c r="D496" s="1" t="s">
        <v>5598</v>
      </c>
      <c r="E496" s="3">
        <v>44584</v>
      </c>
      <c r="F496" s="1">
        <v>30</v>
      </c>
      <c r="G496" s="1">
        <v>1</v>
      </c>
      <c r="H496" s="1">
        <f t="shared" si="7"/>
        <v>60</v>
      </c>
    </row>
    <row r="497" spans="1:8" ht="18" customHeight="1" x14ac:dyDescent="0.25">
      <c r="A497" s="1" t="s">
        <v>6083</v>
      </c>
      <c r="B497" s="1" t="s">
        <v>3429</v>
      </c>
      <c r="C497" s="1" t="s">
        <v>5597</v>
      </c>
      <c r="D497" s="1" t="s">
        <v>5595</v>
      </c>
      <c r="E497" s="3">
        <v>44583</v>
      </c>
      <c r="F497" s="1">
        <v>30</v>
      </c>
      <c r="G497" s="1">
        <v>1</v>
      </c>
      <c r="H497" s="1">
        <f t="shared" si="7"/>
        <v>60</v>
      </c>
    </row>
    <row r="498" spans="1:8" ht="18" customHeight="1" x14ac:dyDescent="0.25">
      <c r="A498" s="1" t="s">
        <v>5960</v>
      </c>
      <c r="B498" s="1" t="s">
        <v>3227</v>
      </c>
      <c r="C498" s="1" t="s">
        <v>5597</v>
      </c>
      <c r="D498" s="1" t="s">
        <v>5593</v>
      </c>
      <c r="E498" s="3">
        <v>44576</v>
      </c>
      <c r="F498" s="1">
        <v>30</v>
      </c>
      <c r="G498" s="1">
        <v>1</v>
      </c>
      <c r="H498" s="1">
        <f t="shared" si="7"/>
        <v>60</v>
      </c>
    </row>
    <row r="499" spans="1:8" ht="18" customHeight="1" x14ac:dyDescent="0.25">
      <c r="A499" s="1" t="s">
        <v>5600</v>
      </c>
      <c r="B499" s="1" t="s">
        <v>2115</v>
      </c>
      <c r="C499" s="1" t="s">
        <v>5592</v>
      </c>
      <c r="D499" s="1" t="s">
        <v>5598</v>
      </c>
      <c r="E499" s="3">
        <v>44572</v>
      </c>
      <c r="F499" s="1">
        <v>30</v>
      </c>
      <c r="G499" s="1">
        <v>1</v>
      </c>
      <c r="H499" s="1">
        <f t="shared" si="7"/>
        <v>60</v>
      </c>
    </row>
    <row r="500" spans="1:8" ht="18" customHeight="1" x14ac:dyDescent="0.25">
      <c r="A500" s="1" t="s">
        <v>5990</v>
      </c>
      <c r="B500" s="1" t="s">
        <v>3278</v>
      </c>
      <c r="C500" s="1" t="s">
        <v>5597</v>
      </c>
      <c r="D500" s="1" t="s">
        <v>5590</v>
      </c>
      <c r="E500" s="3">
        <v>44567</v>
      </c>
      <c r="F500" s="1">
        <v>30</v>
      </c>
      <c r="G500" s="1">
        <v>1</v>
      </c>
      <c r="H500" s="1">
        <f t="shared" si="7"/>
        <v>60</v>
      </c>
    </row>
    <row r="501" spans="1:8" ht="18" customHeight="1" x14ac:dyDescent="0.25">
      <c r="A501" s="1" t="s">
        <v>5689</v>
      </c>
      <c r="B501" s="1" t="s">
        <v>2473</v>
      </c>
      <c r="C501" s="1" t="s">
        <v>5589</v>
      </c>
      <c r="D501" s="1" t="s">
        <v>5590</v>
      </c>
      <c r="E501" s="3">
        <v>44563</v>
      </c>
      <c r="F501" s="1">
        <v>30</v>
      </c>
      <c r="G501" s="1">
        <v>1</v>
      </c>
      <c r="H501" s="1">
        <f t="shared" si="7"/>
        <v>60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E1193-1205-4090-8F1F-3140839426E2}">
  <dimension ref="A1:N11"/>
  <sheetViews>
    <sheetView workbookViewId="0">
      <selection activeCell="E17" sqref="E17"/>
    </sheetView>
  </sheetViews>
  <sheetFormatPr defaultRowHeight="15.75" x14ac:dyDescent="0.25"/>
  <cols>
    <col min="1" max="1" width="17.75" bestFit="1" customWidth="1"/>
    <col min="2" max="2" width="16" bestFit="1" customWidth="1"/>
    <col min="3" max="3" width="18" bestFit="1" customWidth="1"/>
    <col min="4" max="4" width="10.375" bestFit="1" customWidth="1"/>
    <col min="5" max="5" width="10.125" bestFit="1" customWidth="1"/>
    <col min="6" max="6" width="11" bestFit="1" customWidth="1"/>
    <col min="7" max="14" width="13.75" customWidth="1"/>
  </cols>
  <sheetData>
    <row r="1" spans="1:14" ht="25.9" customHeight="1" x14ac:dyDescent="0.3">
      <c r="A1" s="10" t="s">
        <v>6122</v>
      </c>
      <c r="B1" s="10"/>
      <c r="C1" s="10"/>
      <c r="D1" s="10"/>
      <c r="E1" s="10"/>
      <c r="F1" s="10"/>
      <c r="G1" s="1"/>
      <c r="H1" s="10" t="s">
        <v>6123</v>
      </c>
      <c r="I1" s="10"/>
      <c r="J1" s="10"/>
      <c r="K1" s="1"/>
      <c r="L1" s="10" t="s">
        <v>6124</v>
      </c>
      <c r="M1" s="10"/>
      <c r="N1" s="10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8" t="s">
        <v>6119</v>
      </c>
      <c r="B4" s="8" t="s">
        <v>2084</v>
      </c>
      <c r="C4" s="1"/>
      <c r="D4" s="1"/>
      <c r="E4" s="1"/>
      <c r="F4" s="1"/>
      <c r="G4" s="1"/>
      <c r="H4" s="8" t="s">
        <v>3965</v>
      </c>
      <c r="I4" s="1" t="s">
        <v>6120</v>
      </c>
      <c r="J4" s="1"/>
      <c r="K4" s="1"/>
      <c r="L4" s="8" t="s">
        <v>3453</v>
      </c>
      <c r="M4" s="1" t="s">
        <v>6121</v>
      </c>
      <c r="N4" s="1"/>
    </row>
    <row r="5" spans="1:14" x14ac:dyDescent="0.25">
      <c r="A5" s="8" t="s">
        <v>6113</v>
      </c>
      <c r="B5" s="1" t="s">
        <v>2093</v>
      </c>
      <c r="C5" s="1" t="s">
        <v>2108</v>
      </c>
      <c r="D5" s="1" t="s">
        <v>2104</v>
      </c>
      <c r="E5" s="1" t="s">
        <v>2089</v>
      </c>
      <c r="F5" s="1" t="s">
        <v>6118</v>
      </c>
      <c r="G5" s="1"/>
      <c r="H5" s="1">
        <v>80053</v>
      </c>
      <c r="I5" s="6">
        <v>34368.740000000013</v>
      </c>
      <c r="J5" s="1"/>
      <c r="K5" s="1"/>
      <c r="L5" s="1" t="s">
        <v>3456</v>
      </c>
      <c r="M5" s="1">
        <v>97</v>
      </c>
      <c r="N5" s="1"/>
    </row>
    <row r="6" spans="1:14" x14ac:dyDescent="0.25">
      <c r="A6" s="4">
        <v>2022</v>
      </c>
      <c r="B6" s="1">
        <v>25</v>
      </c>
      <c r="C6" s="1">
        <v>34</v>
      </c>
      <c r="D6" s="1">
        <v>30</v>
      </c>
      <c r="E6" s="1">
        <v>32</v>
      </c>
      <c r="F6" s="1">
        <v>121</v>
      </c>
      <c r="G6" s="1"/>
      <c r="H6" s="1">
        <v>85025</v>
      </c>
      <c r="I6" s="6">
        <v>32124.339999999978</v>
      </c>
      <c r="J6" s="1"/>
      <c r="K6" s="1"/>
      <c r="L6" s="1" t="s">
        <v>3471</v>
      </c>
      <c r="M6" s="1">
        <v>111</v>
      </c>
      <c r="N6" s="1"/>
    </row>
    <row r="7" spans="1:14" x14ac:dyDescent="0.25">
      <c r="A7" s="4">
        <v>2023</v>
      </c>
      <c r="B7" s="1">
        <v>29</v>
      </c>
      <c r="C7" s="1">
        <v>33</v>
      </c>
      <c r="D7" s="1">
        <v>34</v>
      </c>
      <c r="E7" s="1">
        <v>14</v>
      </c>
      <c r="F7" s="1">
        <v>110</v>
      </c>
      <c r="G7" s="1"/>
      <c r="H7" s="1">
        <v>99203</v>
      </c>
      <c r="I7" s="6">
        <v>31248.939999999988</v>
      </c>
      <c r="J7" s="1"/>
      <c r="K7" s="1"/>
      <c r="L7" s="1" t="s">
        <v>3463</v>
      </c>
      <c r="M7" s="1">
        <v>107</v>
      </c>
      <c r="N7" s="1"/>
    </row>
    <row r="8" spans="1:14" x14ac:dyDescent="0.25">
      <c r="A8" s="4">
        <v>2024</v>
      </c>
      <c r="B8" s="1">
        <v>26</v>
      </c>
      <c r="C8" s="1">
        <v>26</v>
      </c>
      <c r="D8" s="1">
        <v>20</v>
      </c>
      <c r="E8" s="1">
        <v>17</v>
      </c>
      <c r="F8" s="1">
        <v>89</v>
      </c>
      <c r="G8" s="1"/>
      <c r="H8" s="1">
        <v>99213</v>
      </c>
      <c r="I8" s="6">
        <v>41307.219999999958</v>
      </c>
      <c r="J8" s="1"/>
      <c r="K8" s="1"/>
      <c r="L8" s="1" t="s">
        <v>3459</v>
      </c>
      <c r="M8" s="1">
        <v>89</v>
      </c>
      <c r="N8" s="1"/>
    </row>
    <row r="9" spans="1:14" x14ac:dyDescent="0.25">
      <c r="A9" s="4">
        <v>2025</v>
      </c>
      <c r="B9" s="1">
        <v>29</v>
      </c>
      <c r="C9" s="1">
        <v>24</v>
      </c>
      <c r="D9" s="1">
        <v>27</v>
      </c>
      <c r="E9" s="1">
        <v>29</v>
      </c>
      <c r="F9" s="1">
        <v>109</v>
      </c>
      <c r="G9" s="1"/>
      <c r="H9" s="1" t="s">
        <v>6118</v>
      </c>
      <c r="I9" s="6">
        <v>139049.23999999993</v>
      </c>
      <c r="J9" s="1"/>
      <c r="K9" s="1"/>
      <c r="L9" s="1" t="s">
        <v>3477</v>
      </c>
      <c r="M9" s="1">
        <v>96</v>
      </c>
      <c r="N9" s="1"/>
    </row>
    <row r="10" spans="1:14" x14ac:dyDescent="0.25">
      <c r="A10" s="4">
        <v>2026</v>
      </c>
      <c r="B10" s="1">
        <v>20</v>
      </c>
      <c r="C10" s="1">
        <v>16</v>
      </c>
      <c r="D10" s="1">
        <v>13</v>
      </c>
      <c r="E10" s="1">
        <v>22</v>
      </c>
      <c r="F10" s="1">
        <v>71</v>
      </c>
      <c r="G10" s="1"/>
      <c r="H10" s="1"/>
      <c r="I10" s="1"/>
      <c r="J10" s="1"/>
      <c r="K10" s="1"/>
      <c r="L10" s="1" t="s">
        <v>6118</v>
      </c>
      <c r="M10" s="1">
        <v>500</v>
      </c>
      <c r="N10" s="1"/>
    </row>
    <row r="11" spans="1:14" x14ac:dyDescent="0.25">
      <c r="A11" s="4" t="s">
        <v>6118</v>
      </c>
      <c r="B11" s="1">
        <v>129</v>
      </c>
      <c r="C11" s="1">
        <v>133</v>
      </c>
      <c r="D11" s="1">
        <v>124</v>
      </c>
      <c r="E11" s="1">
        <v>114</v>
      </c>
      <c r="F11" s="1">
        <v>500</v>
      </c>
      <c r="G11" s="1"/>
      <c r="H11" s="1"/>
      <c r="I11" s="1"/>
      <c r="J11" s="1"/>
      <c r="K11" s="1"/>
      <c r="L11" s="1"/>
      <c r="M11" s="1"/>
      <c r="N11" s="1"/>
    </row>
  </sheetData>
  <mergeCells count="3">
    <mergeCell ref="A1:F1"/>
    <mergeCell ref="H1:J1"/>
    <mergeCell ref="L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PatientsMaster</vt:lpstr>
      <vt:lpstr>Diagnoses</vt:lpstr>
      <vt:lpstr>Procedures</vt:lpstr>
      <vt:lpstr>VitalsLog</vt:lpstr>
      <vt:lpstr>Charges</vt:lpstr>
      <vt:lpstr>InsuranceClaims</vt:lpstr>
      <vt:lpstr>ProvidersMaster</vt:lpstr>
      <vt:lpstr>Prescriptions</vt:lpstr>
      <vt:lpstr>Preprocess Audit</vt:lpstr>
      <vt:lpstr>Clean Patients</vt:lpstr>
      <vt:lpstr>Clean Vitals</vt:lpstr>
      <vt:lpstr>Clean Diagnoses</vt:lpstr>
      <vt:lpstr>Clean Procedures</vt:lpstr>
      <vt:lpstr>Clean Charges</vt:lpstr>
      <vt:lpstr>Clean Claims</vt:lpstr>
      <vt:lpstr>Clean Providers</vt:lpstr>
      <vt:lpstr>Clean Prescriptions</vt:lpstr>
      <vt:lpstr>Pivot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Badri Vasu</dc:creator>
  <cp:lastModifiedBy>Badri Vasu</cp:lastModifiedBy>
  <dcterms:created xsi:type="dcterms:W3CDTF">2026-10-03T04:24:46Z</dcterms:created>
  <dcterms:modified xsi:type="dcterms:W3CDTF">2026-10-03T02:12:39Z</dcterms:modified>
</cp:coreProperties>
</file>